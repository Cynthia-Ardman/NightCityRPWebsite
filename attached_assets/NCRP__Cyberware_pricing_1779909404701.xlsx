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Cyberwear List Balanced" sheetId="1" r:id="rId5"/>
    <sheet state="visible" name="Consolidated Medical Price list" sheetId="2" r:id="rId6"/>
    <sheet state="hidden" name="Character CWP Tracking" sheetId="3" r:id="rId7"/>
    <sheet state="hidden" name="NPC CWP Tracking" sheetId="4" r:id="rId8"/>
  </sheets>
  <definedNames/>
  <calcPr/>
</workbook>
</file>

<file path=xl/sharedStrings.xml><?xml version="1.0" encoding="utf-8"?>
<sst xmlns="http://schemas.openxmlformats.org/spreadsheetml/2006/main" count="5483" uniqueCount="1105">
  <si>
    <t>Cyberware</t>
  </si>
  <si>
    <t>CWP</t>
  </si>
  <si>
    <t>Slot</t>
  </si>
  <si>
    <t>Description</t>
  </si>
  <si>
    <t>Side Effect</t>
  </si>
  <si>
    <t>Pricing</t>
  </si>
  <si>
    <t>Phantom Limbs</t>
  </si>
  <si>
    <t>Arms &amp; Arm Attachments</t>
  </si>
  <si>
    <t>Extra set of controllable robotic arms (basic tasks).</t>
  </si>
  <si>
    <t>Arms have jerky movement; often get in the way.</t>
  </si>
  <si>
    <t>Implant Cost</t>
  </si>
  <si>
    <t>Cyberarm (Dexterous)</t>
  </si>
  <si>
    <t>Precision tool use. RP lockpicking, surgery, mechanical hacking.</t>
  </si>
  <si>
    <t>Weak to EMPs. Shakes when under pressure. Doesn't enhance Stamina</t>
  </si>
  <si>
    <t>GorillaArms</t>
  </si>
  <si>
    <t>Lift heavy shit. Overpower people. Physical domination. +50% strength</t>
  </si>
  <si>
    <t>Always looks bulky or a bit too heavy. No fine tactile sense. Doesn't enhance Stamina</t>
  </si>
  <si>
    <t>Monowire</t>
  </si>
  <si>
    <t xml:space="preserve">A hyper-thin, retractable filament—stronger than steel, sharper than a scalpel. </t>
  </si>
  <si>
    <t>Mantis Blades</t>
  </si>
  <si>
    <t>Mantis Blades. sharp. scary. neato-o.</t>
  </si>
  <si>
    <t>You have weird sharp arms</t>
  </si>
  <si>
    <t>Enhanced Ears</t>
  </si>
  <si>
    <t>Auditory System</t>
  </si>
  <si>
    <t>Higher chance to Hear whispers through walls, filter sound, pinpoint origin.</t>
  </si>
  <si>
    <t>Overwhelmed in noisy spaces. Startles easily.</t>
  </si>
  <si>
    <t>Noise Dampener</t>
  </si>
  <si>
    <t>Higher chance to filter out harmful sonic frequencies.</t>
  </si>
  <si>
    <t>Temporary deafness if overwhelmed.</t>
  </si>
  <si>
    <t>Cyberlungs</t>
  </si>
  <si>
    <t>Circulatory &amp; Immune Systems</t>
  </si>
  <si>
    <t>Breathe underwater, through smoke, gas, or vacuum.</t>
  </si>
  <si>
    <t>Breathing is off–slow and mechanical. You fog up rooms unnaturally.</t>
  </si>
  <si>
    <t>Oxygen Recycler</t>
  </si>
  <si>
    <t>Prolonged breath-holding. (2 minutes)</t>
  </si>
  <si>
    <t>Audible mechanical breathing sounds.</t>
  </si>
  <si>
    <t>Chemical Analyzer</t>
  </si>
  <si>
    <t>Higher chance to detect chemical traces in the air.</t>
  </si>
  <si>
    <t>Constant sneezing fits in polluted areas.</t>
  </si>
  <si>
    <t>Detoxifier</t>
  </si>
  <si>
    <t>Higher chance to filters toxins from blood effectively.</t>
  </si>
  <si>
    <t>Frequent thirst; constant hydration needed.</t>
  </si>
  <si>
    <t>Shock Palms</t>
  </si>
  <si>
    <t>Hands &amp; Feet</t>
  </si>
  <si>
    <t>Delivers mild electrical shock on contact.</t>
  </si>
  <si>
    <t>Hands randomly spark, especially when wet.</t>
  </si>
  <si>
    <t>CryoGrip</t>
  </si>
  <si>
    <t>Emit cold from hands, enough to freeze certain surfaces touched or cause frostbite if applied for too long.</t>
  </si>
  <si>
    <t>Hands visibly frosted; risk frostbite in sustained use.</t>
  </si>
  <si>
    <t>SilentStep Soles</t>
  </si>
  <si>
    <t>Shock-dampening foot mod. Complete silence when walking.</t>
  </si>
  <si>
    <t>You can’t run loud even if you want to. No warning stomps.</t>
  </si>
  <si>
    <t>Micro-Vibration Generator</t>
  </si>
  <si>
    <t>Enhanced bladed melee effectiveness via vibration. +50% Effectiveness</t>
  </si>
  <si>
    <t>Low buzzing noise during activation, unsettling to others.</t>
  </si>
  <si>
    <t>Cyberfingers</t>
  </si>
  <si>
    <t>Hidden tools in fingertips—USB, lockpick, small blade.</t>
  </si>
  <si>
    <t>Constant low-level clicking or twitching in fingers.</t>
  </si>
  <si>
    <t>Cybernetic Claws</t>
  </si>
  <si>
    <t>Claws or stylized tools. Intimidation, fashion, or utility.</t>
  </si>
  <si>
    <t>Metal click when tapping; never quite silent.</t>
  </si>
  <si>
    <t>Subdermal Grip</t>
  </si>
  <si>
    <t>Lets you hold objects tighter than human limits—great for weapons or grappling.</t>
  </si>
  <si>
    <t>Sometimes crushes fragile stuff by accident.</t>
  </si>
  <si>
    <t>Dermal Plating</t>
  </si>
  <si>
    <t>Integumentary System</t>
  </si>
  <si>
    <t>Resistant to blades, blunt trauma, Rifle Caliber (7.62 and below)</t>
  </si>
  <si>
    <t>Feels cold to the touch. Looks synthetic. Scanners flag you.</t>
  </si>
  <si>
    <t>Sub-dermal Plating</t>
  </si>
  <si>
    <t>Resistant to blades, blunt trauma, Pistol Caliber</t>
  </si>
  <si>
    <t>NanoStitch Skin</t>
  </si>
  <si>
    <t xml:space="preserve">Automatically seals minor wounds such as small knife wound. </t>
  </si>
  <si>
    <t>Skin occasionally ripples oddly, unsettling observers.</t>
  </si>
  <si>
    <t>Supra-Dermal Weave</t>
  </si>
  <si>
    <t>Reinforced skin, minor resistance to injuries.</t>
  </si>
  <si>
    <t>Skin feels unnaturally rigid and leathery.</t>
  </si>
  <si>
    <t>Optical Camo</t>
  </si>
  <si>
    <t xml:space="preserve">Semi-Invisible when activated (50%) </t>
  </si>
  <si>
    <t>You still shimmer and aren't anywhere near fully invisble.</t>
  </si>
  <si>
    <t>Chameleon Skin</t>
  </si>
  <si>
    <t>Passive invisibility from further than 5ft when still.</t>
  </si>
  <si>
    <t>Glitches when you're stressed or bleeding. Ripples under emotion.</t>
  </si>
  <si>
    <t>Pressure Sensor Skin</t>
  </si>
  <si>
    <t>Senses air pressure changes—better at weather prediction, higher chance for detecting hidden compartments.</t>
  </si>
  <si>
    <t>Skin visibly shudders with sudden pressure changes.</t>
  </si>
  <si>
    <t>Luminescent Skin</t>
  </si>
  <si>
    <t>Emit gentle illumination in darkness. You ARE the flashlight.</t>
  </si>
  <si>
    <t>Uncontrollable brightness changes with emotions.</t>
  </si>
  <si>
    <t>Thermal Control Skin</t>
  </si>
  <si>
    <t>Adjust body temperature at will.  80°F to 130°F (Cool to the touch to hot enough to feel unpleasant, burn with prolonged contact)</t>
  </si>
  <si>
    <t>Skin temperature fluctuations make physical contact uncomfortable.</t>
  </si>
  <si>
    <t>Subdermal Display</t>
  </si>
  <si>
    <t>Project images or text from your body—RP IDs, tattoos.</t>
  </si>
  <si>
    <t>Can be hijacked. May flash when you're emotional.</t>
  </si>
  <si>
    <t>UnderSkin Lightshow</t>
  </si>
  <si>
    <t>Create glowing patterns or tattoos beneath skin.</t>
  </si>
  <si>
    <t>Occasionally glitches, displays unintended imagery.</t>
  </si>
  <si>
    <t>Cyberleg (Runner)</t>
  </si>
  <si>
    <t>Legs &amp; Mobility</t>
  </si>
  <si>
    <t>Jump farther, run faster, land silently. Parkour beast.</t>
  </si>
  <si>
    <t>Loud stomp at full speed. Doesn't enhance Stamina</t>
  </si>
  <si>
    <t>Reinforced Tendons</t>
  </si>
  <si>
    <t>No fall damage from &lt; 20 feet, Reduced fall damage from &lt; 30 feet.</t>
  </si>
  <si>
    <t>Audible tendon snaps occasionally during intense activity.</t>
  </si>
  <si>
    <t>DollChip</t>
  </si>
  <si>
    <t>Miscellaneous</t>
  </si>
  <si>
    <t>Hardware-bonded collar with encrypted owner ID. Can be issued commands by chip owner. Does not remember anything in-session</t>
  </si>
  <si>
    <t>If the owner is removed or dies, you're stuck in 'orphaned asset' mode—confused, depressed, glitchy.</t>
  </si>
  <si>
    <t>Spasm Drone Port</t>
  </si>
  <si>
    <t>3 Charges - Releases a tiny scout drone or flying camera.</t>
  </si>
  <si>
    <t>Leaves a nasty port in your skin. Buzzes when charging.</t>
  </si>
  <si>
    <t>Enhanced Tastebuds</t>
  </si>
  <si>
    <t>Taste chemical compositions—higher chance to detect poisons, substances.</t>
  </si>
  <si>
    <t>Intense dislike of strongly flavored foods; easily overwhelmed.</t>
  </si>
  <si>
    <t>ICE Layer</t>
  </si>
  <si>
    <t>Detects incoming hacks instantly—early warning.</t>
  </si>
  <si>
    <t>Emits weird static.</t>
  </si>
  <si>
    <t>GhostTag</t>
  </si>
  <si>
    <t>Your face is automatically blurred in security cameras. Higher chance to be unidentifiable in camera footage.</t>
  </si>
  <si>
    <t>Your face is automatically blurred in security cameras. May make law enforcement suspicious.</t>
  </si>
  <si>
    <t>Biomonitor</t>
  </si>
  <si>
    <t>Tracks all vital signs. Can auto-alert partners when you're in danger.</t>
  </si>
  <si>
    <t>Can trigger false alarms. You get “pinged” constantly when anxious.</t>
  </si>
  <si>
    <t>Internal Storage</t>
  </si>
  <si>
    <t>Stash a weapon, chip, or vial inside your body.</t>
  </si>
  <si>
    <t>Have to dig into yourself to retrieve. Looks sketchy as hell.</t>
  </si>
  <si>
    <t>Modded Mandibles</t>
  </si>
  <si>
    <t>Jaw opens wider than normal—voice amp, bite attack, or freak people out.</t>
  </si>
  <si>
    <t>Can’t whistle anymore. You look a little disconcerting.</t>
  </si>
  <si>
    <t>SmartLink</t>
  </si>
  <si>
    <t>Allows the use of Smart Weapons, which benefit from targeting assistance, auto-aim correction, and firing arc predictions via your HUD. Without this cyberware, Smart Weapons function like normal guns.</t>
  </si>
  <si>
    <t>Mr. Studd™ / Midnight Lady™</t>
  </si>
  <si>
    <t>Boosted stamina, modular sensations, vibe modules.</t>
  </si>
  <si>
    <t>Malfunctions in awkward moments. Buzzes audibly if overused.</t>
  </si>
  <si>
    <t>Scent Scanner</t>
  </si>
  <si>
    <t>Track people or chemicals by smell. Smell blood, oil, etc.</t>
  </si>
  <si>
    <t>Overwhelmed in clubs, alleys, combat. Sometimes gags from sensory overload.</t>
  </si>
  <si>
    <t>Tail Mount</t>
  </si>
  <si>
    <t>Prehensile tail–style, weapon, or utility limb.</t>
  </si>
  <si>
    <t>Sitting is awkward. It moves when you're nervous.</t>
  </si>
  <si>
    <t>VoiceWeaver</t>
  </si>
  <si>
    <t>Real-time voice modulation—change pitch, mimic accents, disguise yourself.</t>
  </si>
  <si>
    <t>Gets stuck mid-shift. You glitch between voices during arguments.</t>
  </si>
  <si>
    <t>Netrunner Suite (Level 3)</t>
  </si>
  <si>
    <t>Neural</t>
  </si>
  <si>
    <t>Full cyberwarfare, backdoor exploitation.</t>
  </si>
  <si>
    <t>Your body stutters. You speak to invisible things. You are a priority target for Corps.</t>
  </si>
  <si>
    <t>Netrunner Suite (Level 2)</t>
  </si>
  <si>
    <t>Quickhacks, control systems.</t>
  </si>
  <si>
    <t>Twitchy eyes, nosebleeds. You flinch at screen flickers.</t>
  </si>
  <si>
    <t>Memory Bank</t>
  </si>
  <si>
    <t>Store perfect audio/visual recall.</t>
  </si>
  <si>
    <t>Experiences brief confusion episodes if overloaded.</t>
  </si>
  <si>
    <t>Impulse Splicer</t>
  </si>
  <si>
    <t>Cuts the delay between thought and action. You do what you think—no second-guessing.</t>
  </si>
  <si>
    <t>Zero filter. No safety net. You might leap into a fire if you think it's a good idea.</t>
  </si>
  <si>
    <t>Neurofilter</t>
  </si>
  <si>
    <t>Suppresses emotions. Perfect in combat, negotiations, torture.</t>
  </si>
  <si>
    <t>Cuts you off emotionally. Others feel you're 'not all there.'</t>
  </si>
  <si>
    <t>Netrunner Suite (Level 1)</t>
  </si>
  <si>
    <t>Basic Net access. Ability to quickhack. Comes with Interface Jack to connect to Terminals/Vechicles/etc.</t>
  </si>
  <si>
    <t>You're always a little distracted--like you're only 95% in the room.</t>
  </si>
  <si>
    <t>SmartEyes</t>
  </si>
  <si>
    <t>Ocular System</t>
  </si>
  <si>
    <t>Zoom, thermal, night vision, facial ID, AR HUD.</t>
  </si>
  <si>
    <t>Eyes glow. You sometimes blink asynchronously.</t>
  </si>
  <si>
    <t>Targeting Optic</t>
  </si>
  <si>
    <t>Motion tracking and target prediction</t>
  </si>
  <si>
    <t>Uncanny gaze. You stare too long and react to subtle movement like a predator.</t>
  </si>
  <si>
    <t>Retinal Projector</t>
  </si>
  <si>
    <t>Project images directly onto surfaces from eyes. (You can place stickers)</t>
  </si>
  <si>
    <t>Eyes glow brightly, drawing attention.</t>
  </si>
  <si>
    <t>FlashVisor</t>
  </si>
  <si>
    <t>Auto-adjusts to sudden flashes, light blasts, laser dazzlers. Lower chance of being blinded.</t>
  </si>
  <si>
    <t>Flickers visibly during brightness shifts—distracting to others.</t>
  </si>
  <si>
    <t>Combat Wired Reflexes</t>
  </si>
  <si>
    <t>Skeleton &amp; Torso Musculature</t>
  </si>
  <si>
    <t>Always-on reflex boost for high-performance combat. Its very hard to sneak up on you, you are fast and react almost instantly</t>
  </si>
  <si>
    <t>Always alert. Hard to relax or stay calm.</t>
  </si>
  <si>
    <t>NeoFiber</t>
  </si>
  <si>
    <t>Synthetic muscle fibers for increased strength. 30% strength gain, Can be applied to 2 out of three: Legs, Arms, Tails</t>
  </si>
  <si>
    <t>Occasional muscle stiffness and unnatural posture.</t>
  </si>
  <si>
    <t>Dense Marrow</t>
  </si>
  <si>
    <t>Increases body weight and striking power. 20% Heavier.</t>
  </si>
  <si>
    <t>Heavy footsteps and slightly reduced agility.</t>
  </si>
  <si>
    <t>Recoil Dampeners</t>
  </si>
  <si>
    <t>Universal Muscular (Arms/Legs/Tail)</t>
  </si>
  <si>
    <t>Absorbs recoil for stable firing. Absolute stability for small arms, less as the caliber increases.</t>
  </si>
  <si>
    <t>Joints audibly click after sustained use.</t>
  </si>
  <si>
    <t>Reactive Muscle Fibers</t>
  </si>
  <si>
    <t>Short bursts of heightened strength. (e.g, a Single punch at +50% power)</t>
  </si>
  <si>
    <t>Muscles spasm after use, visibly twitchy.</t>
  </si>
  <si>
    <t>Total CyberWare Points(CWP)</t>
  </si>
  <si>
    <t>3 or below</t>
  </si>
  <si>
    <t>Quarterly or less RipperDoc Maintenance</t>
  </si>
  <si>
    <t>3-6</t>
  </si>
  <si>
    <t>Monthly or Bi-Monthly RipperDoc Maintenance</t>
  </si>
  <si>
    <t>7-9</t>
  </si>
  <si>
    <t>RipperDoc Maintenance + ImmunoSuppressants + Medium Risk of CyberPsychosis. You swear someone said something. Did something just move in the corner of your eye?</t>
  </si>
  <si>
    <t>10-12</t>
  </si>
  <si>
    <t>RipperDoc Maintenance + ImmunoSuppressants + High Risk of CyberPsychosis. Someone DEFINITELY said something, But you shouldn't do what they said...Right?</t>
  </si>
  <si>
    <t>13-15</t>
  </si>
  <si>
    <t>RipperDoc Maintenance + ImmunoSuppressants + Extreme Risk of CyberPsychosis. The voice is right. That person is a rogue AI, Stab them. Wait... Did the floor and the celing just switch places?</t>
  </si>
  <si>
    <t>Cyberware Cost and Installation price set by ripperdocs.</t>
  </si>
  <si>
    <t>Cyberware can be installed at RipperDocs provided you have the spare CWP and ImplantCost</t>
  </si>
  <si>
    <t>Cyberpsychosis is AOD'd to you. If you have high CWP and went through some kind of stress, you may have an AOD tell you that you're feeling something specific related to Cyberpsychosis. The higher your CWP, the greater the impact of the CyberPsychosis and the greater the likelihood.</t>
  </si>
  <si>
    <t>Aesthetic Cyberware is 0 CWP cost.</t>
  </si>
  <si>
    <t>Custom Cyberware is permitted with approval. CWP cost will be assigned upon approval.</t>
  </si>
  <si>
    <t>One Cyberware per Slot, and one per arm and one per leg except Miscellaneous
 which is uncapped.</t>
  </si>
  <si>
    <t>Slots:</t>
  </si>
  <si>
    <t>Medical Procedure</t>
  </si>
  <si>
    <t>Price</t>
  </si>
  <si>
    <t>Effects</t>
  </si>
  <si>
    <t>Particularities</t>
  </si>
  <si>
    <t>Checkup</t>
  </si>
  <si>
    <t>None</t>
  </si>
  <si>
    <t xml:space="preserve">Cyberware Installation </t>
  </si>
  <si>
    <t>Cost of Cyberware +1000</t>
  </si>
  <si>
    <t>Minor disability during acclimation period, slight increase in Immunosupps during This time, regular checkups with Ripper</t>
  </si>
  <si>
    <t>Cost of cyberware is due to purchasing cyberware at Ripper, Higher cost than swap due to it being the first installation</t>
  </si>
  <si>
    <t>Cyberware Swap</t>
  </si>
  <si>
    <t>Occasional minor calibrations</t>
  </si>
  <si>
    <t>Low cost, due to connection points already present</t>
  </si>
  <si>
    <t>Minor Repairs</t>
  </si>
  <si>
    <t>Mild Irritation of effected area</t>
  </si>
  <si>
    <t>Major Repairs</t>
  </si>
  <si>
    <t>Major Irritation of effected area, Risk of reinjury in high stress activities</t>
  </si>
  <si>
    <t>critical Lifeasaving Measures</t>
  </si>
  <si>
    <t>2500+</t>
  </si>
  <si>
    <t>Major temporary disability, Incapable of Gig work, recovery #1 priority</t>
  </si>
  <si>
    <t>Organ Transplant</t>
  </si>
  <si>
    <t>1500-2000</t>
  </si>
  <si>
    <t>temporary disability, irritation to transplant location</t>
  </si>
  <si>
    <t>Minor to major aesthetic surgery</t>
  </si>
  <si>
    <t>2500-3000</t>
  </si>
  <si>
    <t xml:space="preserve">Minor irritation of altered area. </t>
  </si>
  <si>
    <t>Biosculpting</t>
  </si>
  <si>
    <t>starts at 50000</t>
  </si>
  <si>
    <t>See Particularities</t>
  </si>
  <si>
    <t>Human to Exotic: Starts At 60K, Exotic to human: Starts at 70k, Returning to human is Disabling until body has acclimated, due to effects of gene therapy</t>
  </si>
  <si>
    <t>Full Body Conversion</t>
  </si>
  <si>
    <t xml:space="preserve">starts at 30000 </t>
  </si>
  <si>
    <t>Period of acclimation time requiring mandatory Antipsychotics+Immunosupppreants and Psychotherapy &amp; higher cost of Immunosupps</t>
  </si>
  <si>
    <t>Combat Capable starts at 100k</t>
  </si>
  <si>
    <t>All pricings at the whim of your ripper, they can push it up or down
These are just base costs</t>
  </si>
  <si>
    <t>Medications Cost</t>
  </si>
  <si>
    <t>Examples</t>
  </si>
  <si>
    <t>Med Grade Drugs</t>
  </si>
  <si>
    <t>50-750</t>
  </si>
  <si>
    <t>Das dat good shit</t>
  </si>
  <si>
    <t>Bounceback</t>
  </si>
  <si>
    <t>Over the Counter</t>
  </si>
  <si>
    <t>50-100</t>
  </si>
  <si>
    <t>mediocre healing at best, but enough to help</t>
  </si>
  <si>
    <t>Tylenol</t>
  </si>
  <si>
    <t>Perscribed</t>
  </si>
  <si>
    <t>100-1000</t>
  </si>
  <si>
    <t>Moderately Effective aid, Generally perscribed by ripper, but more accessable than clinical grade</t>
  </si>
  <si>
    <t>Epinephrine, Immuno suppresants,Antipsychotics</t>
  </si>
  <si>
    <t>Clinical</t>
  </si>
  <si>
    <t>250-2000</t>
  </si>
  <si>
    <t>Extremely Effective aid, generally only accessable to rippers</t>
  </si>
  <si>
    <t>Morphine</t>
  </si>
  <si>
    <t>Character</t>
  </si>
  <si>
    <t>Player Name</t>
  </si>
  <si>
    <t>CWP Total</t>
  </si>
  <si>
    <t>Implant Name</t>
  </si>
  <si>
    <t>Brand</t>
  </si>
  <si>
    <t>Brand Tier</t>
  </si>
  <si>
    <t>Function</t>
  </si>
  <si>
    <t>Notes</t>
  </si>
  <si>
    <t>Adazae Oreste</t>
  </si>
  <si>
    <t>khepri2992</t>
  </si>
  <si>
    <t>Wolver Claws (Custom)</t>
  </si>
  <si>
    <t>Similar to mantis blades, except the blades are mounted in the wrists. Then dispersed through the knuckles. -Good for slashing targets, and staying discreet. Slashy, slashy-</t>
  </si>
  <si>
    <t>Epimorphic Skeleton (Custom)</t>
  </si>
  <si>
    <t>Regenerative super dense skeleton. Very Durable bones that can heal themselves, and handle extremely heavy impacts. -Nano-weaving skeleton that regenerates (over days), and is extremely robust.-</t>
  </si>
  <si>
    <t>Dragons breath Mk.2 custom</t>
  </si>
  <si>
    <t>Flaming breath attack, lights opponents on fire. Has a three second burst, and 10 second cool down.</t>
  </si>
  <si>
    <t>Chitin (Custom)</t>
  </si>
  <si>
    <t>Extremely durable subcutaneous shell made of genetically modified chitin. -Durable against rifle rounds. Resistant to bladed weaponry, and impacts.</t>
  </si>
  <si>
    <t>Julian Uchiumi</t>
  </si>
  <si>
    <t>mrclassicmagic</t>
  </si>
  <si>
    <t>Resistant to blades, blunt trauma, small arms.</t>
  </si>
  <si>
    <t>Ice Layer</t>
  </si>
  <si>
    <t>Tyson "Ty" Monroe (aka Meltdown)</t>
  </si>
  <si>
    <t>LukaSpice</t>
  </si>
  <si>
    <t>Kat (Formerly Rachel Moore)</t>
  </si>
  <si>
    <t>nocturnalight</t>
  </si>
  <si>
    <t>Always-on reflex boost for high-performance combat.</t>
  </si>
  <si>
    <t>SubDermal Plating</t>
  </si>
  <si>
    <t>Integumentary System Expansion</t>
  </si>
  <si>
    <t>Allows the use of an extra Integumentary System</t>
  </si>
  <si>
    <t>Lily</t>
  </si>
  <si>
    <t>Trashqueenlily</t>
  </si>
  <si>
    <t>Modular Socket Frame (Custom)</t>
  </si>
  <si>
    <t>A subdermal shoulder coupling system that allows for interchangeable cyberarm loadouts. (Allows switching between Poppet Arms and Regular Gorilla Arms)</t>
  </si>
  <si>
    <t>K-TYPE: RBK/7 "Poppet Arms" (Custom)</t>
  </si>
  <si>
    <t>Hyper-Aggressive Gorilla Arms, surges 40% more pressure to the forearms for 3 seconds, causing high-stress recoil through the user’s spine if unmodified. Warning: May dislocate shoulders without reinforcement.</t>
  </si>
  <si>
    <t>Love Suite (Custom)</t>
  </si>
  <si>
    <t>Both mr studd and midnight lady, interchangable to suit clients desire,</t>
  </si>
  <si>
    <t>Jane Doe</t>
  </si>
  <si>
    <t>ghosted_stoner.</t>
  </si>
  <si>
    <t>Eclipse</t>
  </si>
  <si>
    <t>FreeBooze</t>
  </si>
  <si>
    <t>Romero “Butcher” Centanni</t>
  </si>
  <si>
    <t>DajaegerBOMB71</t>
  </si>
  <si>
    <t>Hear whispers through walls, filter sound, pinpoint origin.</t>
  </si>
  <si>
    <t>The Reaper’s Arm (Custom)</t>
  </si>
  <si>
    <t>Monowire, power Knuckles, reinforced nerve mesh.</t>
  </si>
  <si>
    <t>The Gravehand (Custom)</t>
  </si>
  <si>
    <t>EMP, Crash reinforced bones/metal, Hidden compartment, Tactile feedback, illegal as fuck.</t>
  </si>
  <si>
    <t>M.C.</t>
  </si>
  <si>
    <t>MCRanger</t>
  </si>
  <si>
    <t>Integrated Holster (Custom)</t>
  </si>
  <si>
    <t>works by attaching a gun to a retractable holster that conceals said weapon inside the arm and when it is needed, it springs out into the user's hand.</t>
  </si>
  <si>
    <t>Jayce Talos</t>
  </si>
  <si>
    <t>.borp</t>
  </si>
  <si>
    <t>EXTREME Risk for Cyberpsychosis above this line</t>
  </si>
  <si>
    <t>Ayami Sakurai</t>
  </si>
  <si>
    <t>dartkobichenko</t>
  </si>
  <si>
    <t>A hyper-thin, retractable filament—stronger than steel, sharper than a scalpel. Often runs from wrist or fingertip. Can slice through flesh, bone, or light armor in a blur. Doubles as a garrote with the right finesse.</t>
  </si>
  <si>
    <t xml:space="preserve">Your face is automatically blurred in security cameras. </t>
  </si>
  <si>
    <t>Vanessa "Cinder" Monroe</t>
  </si>
  <si>
    <t>mysticmoony</t>
  </si>
  <si>
    <t>Sub-dermal Display Plating Drako Tech (Custom)</t>
  </si>
  <si>
    <t>Resistant to blades, blunt trauma, Pistol Caliber Project images or text from your body—RP IDs, tattoos. Drawback: Can be hijacked. May flash when you're emotional.</t>
  </si>
  <si>
    <t>Tracks all vital signs. Can auto-alert medtechs or partners when you're in danger.</t>
  </si>
  <si>
    <t>Mars Logan</t>
  </si>
  <si>
    <t>vrchie</t>
  </si>
  <si>
    <t>Gorilla Arms</t>
  </si>
  <si>
    <t>Lift heavy shit. Overpower people. Physical domination.</t>
  </si>
  <si>
    <t>Kyuu Watson</t>
  </si>
  <si>
    <t>arweendabean</t>
  </si>
  <si>
    <t>Biella Brecken (Retired)</t>
  </si>
  <si>
    <t>yeenageddon</t>
  </si>
  <si>
    <t>Jonah Pike</t>
  </si>
  <si>
    <t>binaryrogue</t>
  </si>
  <si>
    <t>Gorilla Arms (Shock Variant)</t>
  </si>
  <si>
    <t>Monroe Lockley</t>
  </si>
  <si>
    <t>thecandybar</t>
  </si>
  <si>
    <t>Frankie “Ar3gus” Miles</t>
  </si>
  <si>
    <t>isogod</t>
  </si>
  <si>
    <t>Vic Jammer</t>
  </si>
  <si>
    <t>Effectively its Ghost tag however Vic Jammers can cover your whole silhouette instead of the head</t>
  </si>
  <si>
    <t>Anastasia "Persona" Aran.</t>
  </si>
  <si>
    <t>abendroth1994</t>
  </si>
  <si>
    <t>Ryuko Matoi</t>
  </si>
  <si>
    <t>Precision tool use. RP lockpicking, surgery, hacking.</t>
  </si>
  <si>
    <t>Raven Zhenari (Dead)</t>
  </si>
  <si>
    <t>wendigo0300</t>
  </si>
  <si>
    <t>Zion Kade</t>
  </si>
  <si>
    <t>zehlolgamer</t>
  </si>
  <si>
    <t>Klumen</t>
  </si>
  <si>
    <t>klumenbranz</t>
  </si>
  <si>
    <t>Dermal &amp; Subdermal Plating (Mix)</t>
  </si>
  <si>
    <t>"SHORYU" Relic Chip (Custom)</t>
  </si>
  <si>
    <t>when you die: they take a subject's brain, replace the consciousness inside with your engram, and place it in an FBC body as a replica body for you to inhabit.</t>
  </si>
  <si>
    <t>Arasaka Subdermal Tracker (Custom)</t>
  </si>
  <si>
    <t>Tracker</t>
  </si>
  <si>
    <t xml:space="preserve">Leon 'Watcher' Draeven </t>
  </si>
  <si>
    <t>_Sliss</t>
  </si>
  <si>
    <t>Ethan Myers</t>
  </si>
  <si>
    <t>theultramight</t>
  </si>
  <si>
    <t>BioDyne Berserk</t>
  </si>
  <si>
    <t>it allows you to shrug off the effects of more serious wounds for a minute, but any mortal wounds that would kill you still affect you - or at the very least take you out of the fight</t>
  </si>
  <si>
    <t>Corpse</t>
  </si>
  <si>
    <t>Medusa_Cascade</t>
  </si>
  <si>
    <t>ChromeBone™ Elite</t>
  </si>
  <si>
    <t>Tier 2</t>
  </si>
  <si>
    <t>Long Canine like teeth</t>
  </si>
  <si>
    <t>Kiroshi Optics 7+</t>
  </si>
  <si>
    <t>Tier 1</t>
  </si>
  <si>
    <t>Dual State Autonomy (Custom)</t>
  </si>
  <si>
    <t>Apex Dynamics</t>
  </si>
  <si>
    <t>Experimental</t>
  </si>
  <si>
    <t>Allows Corpse to switch between Animal and Human, See character sheet for more detail. Repurposed Impulse Splicer aka KillSwitch</t>
  </si>
  <si>
    <t>Zetatech Standard Series</t>
  </si>
  <si>
    <t>Lilith 'Cadaver' Bellatrix</t>
  </si>
  <si>
    <t>washy_56</t>
  </si>
  <si>
    <t>Vampyres (Custom)</t>
  </si>
  <si>
    <t>Can extreact a small amount of blood for DNA sample or inject poison</t>
  </si>
  <si>
    <t>Moose</t>
  </si>
  <si>
    <t>Darius9077</t>
  </si>
  <si>
    <t>Eris</t>
  </si>
  <si>
    <t>PrimeCryptid</t>
  </si>
  <si>
    <t>Sierra</t>
  </si>
  <si>
    <t>.raelyna</t>
  </si>
  <si>
    <t>Celeste Mav'Rose</t>
  </si>
  <si>
    <t>bensubean</t>
  </si>
  <si>
    <t>Trapper</t>
  </si>
  <si>
    <t>Smok3bomb</t>
  </si>
  <si>
    <t>Murphy</t>
  </si>
  <si>
    <t>murphi3s_law</t>
  </si>
  <si>
    <t>Nuva</t>
  </si>
  <si>
    <t>_s1las_</t>
  </si>
  <si>
    <t>Alexis “Lazuli” Cromwell</t>
  </si>
  <si>
    <t>novageddon13</t>
  </si>
  <si>
    <t>(Left Arm) Subdermal Grip</t>
  </si>
  <si>
    <t>Lets you hold objects tighter than human limits—great for weapons or grappling. when grabbing someone's cyberware with this arm she can overload it with electricity</t>
  </si>
  <si>
    <t>(Right Arm) MicroVibration Generator</t>
  </si>
  <si>
    <t>uhhh something</t>
  </si>
  <si>
    <t>Vox Machina</t>
  </si>
  <si>
    <t>Zavara</t>
  </si>
  <si>
    <t>spiked_vrc</t>
  </si>
  <si>
    <t>CyberLungs</t>
  </si>
  <si>
    <t>Kissi</t>
  </si>
  <si>
    <t>ceruleanserpent13</t>
  </si>
  <si>
    <t>Thermal Insulation (Custom)</t>
  </si>
  <si>
    <t>Allows for survival in subzero temperatures, with the drawback that it is easy to overheat in hot environments</t>
  </si>
  <si>
    <t>Jun [Junko]</t>
  </si>
  <si>
    <t>sailor_bun</t>
  </si>
  <si>
    <t>Asha</t>
  </si>
  <si>
    <t>Kayn</t>
  </si>
  <si>
    <t>_kaynw</t>
  </si>
  <si>
    <t>Amida Osika (Hopper)</t>
  </si>
  <si>
    <t>wee_vixen</t>
  </si>
  <si>
    <t>Cupid</t>
  </si>
  <si>
    <t>celestereaper</t>
  </si>
  <si>
    <t>Carl “Stinger” Nemo (Dead)</t>
  </si>
  <si>
    <t>phoolery</t>
  </si>
  <si>
    <t>Auto-adjusts to sudden flashes, light blasts, laser dazzlers.</t>
  </si>
  <si>
    <t>CUSTOM - “Bear-Trap Jaw”</t>
  </si>
  <si>
    <t>Part of the custom head case, Stinger’s mouth isn’t much more than a maw full of sharpened metal blades. His voice is projected by an old repurposed audio system.</t>
  </si>
  <si>
    <t>Kentesu R. Yuno (Callsign "Specter 1-1")</t>
  </si>
  <si>
    <t>ghost_11b</t>
  </si>
  <si>
    <t xml:space="preserve">Manolo Costazuela, aka “Manny,” aka “El Toro de Sangre” </t>
  </si>
  <si>
    <t xml:space="preserve"> phoolery</t>
  </si>
  <si>
    <t>Amelia Hartgreaves</t>
  </si>
  <si>
    <t>minnbicchi</t>
  </si>
  <si>
    <t>Marcus Felix Alarin, M.D.</t>
  </si>
  <si>
    <t>valincastor</t>
  </si>
  <si>
    <t>Saburō Shigeru Ryuu</t>
  </si>
  <si>
    <t xml:space="preserve"> oxarck</t>
  </si>
  <si>
    <t>Zuki</t>
  </si>
  <si>
    <t>shyzuki</t>
  </si>
  <si>
    <t>RAID (Redundant Array of Independent Disks)</t>
  </si>
  <si>
    <t>scottyboiv</t>
  </si>
  <si>
    <t>Malcolm 'Diesel' Reyes</t>
  </si>
  <si>
    <t>sircullingham</t>
  </si>
  <si>
    <t>Laurance "Large Larry" Ying</t>
  </si>
  <si>
    <t>GoodGuyPie</t>
  </si>
  <si>
    <t>Bubbles</t>
  </si>
  <si>
    <t>Sailor_bun</t>
  </si>
  <si>
    <t>Korra Maddox</t>
  </si>
  <si>
    <t>Riven (Torque) Knox</t>
  </si>
  <si>
    <t>vr_rubyrose</t>
  </si>
  <si>
    <t>Subdermal Plating</t>
  </si>
  <si>
    <t>Vianca "Taghmata" Locard</t>
  </si>
  <si>
    <t>toasterbishop</t>
  </si>
  <si>
    <t>Lena Hernandez</t>
  </si>
  <si>
    <t>alysenpai2201</t>
  </si>
  <si>
    <t>Yuna AKA "Trunk Monkey"</t>
  </si>
  <si>
    <t>cosmicdemechi</t>
  </si>
  <si>
    <t>Ronan</t>
  </si>
  <si>
    <t>pink_monstarrr</t>
  </si>
  <si>
    <t>Vito</t>
  </si>
  <si>
    <t>Vitofox</t>
  </si>
  <si>
    <t>Tali</t>
  </si>
  <si>
    <t>aqualiteva</t>
  </si>
  <si>
    <t>Thumper</t>
  </si>
  <si>
    <t>James Russell</t>
  </si>
  <si>
    <t>snope.putorius</t>
  </si>
  <si>
    <t>Baross "Iron Jaw" Mundy</t>
  </si>
  <si>
    <t>waffies</t>
  </si>
  <si>
    <t>Brad ‘Silverback’ Burke</t>
  </si>
  <si>
    <t>ranulf</t>
  </si>
  <si>
    <t>Alexandria "Chitters" Dubcord</t>
  </si>
  <si>
    <t>Hokucho</t>
  </si>
  <si>
    <t>Husk Ripjaw</t>
  </si>
  <si>
    <t>Michelle Bloodson</t>
  </si>
  <si>
    <t>iconic_a6m</t>
  </si>
  <si>
    <t>Teeth that can inject people with various things that fits in a vial.</t>
  </si>
  <si>
    <t>Quinton “Quaggan” Wells</t>
  </si>
  <si>
    <t>disgruntle</t>
  </si>
  <si>
    <t>Lucio “La Garra” Cortez</t>
  </si>
  <si>
    <t>Rena Moraine</t>
  </si>
  <si>
    <t>star.vr</t>
  </si>
  <si>
    <t>Caesar</t>
  </si>
  <si>
    <t>fire_fox</t>
  </si>
  <si>
    <t>Andrea Raneclear</t>
  </si>
  <si>
    <t>dogemain</t>
  </si>
  <si>
    <t>Eliza Stern</t>
  </si>
  <si>
    <t>thekillingchick</t>
  </si>
  <si>
    <t>High Risk for Cyberpsychosis above this line</t>
  </si>
  <si>
    <t>Nugget</t>
  </si>
  <si>
    <t>idkmouse14</t>
  </si>
  <si>
    <t>Nikki "0v3r410w" Gonzalez</t>
  </si>
  <si>
    <t>dr_st1ngray</t>
  </si>
  <si>
    <t>Camila Cortez</t>
  </si>
  <si>
    <t>gazleon</t>
  </si>
  <si>
    <t>Circe</t>
  </si>
  <si>
    <t>Ghostware Relay Node (Classified)</t>
  </si>
  <si>
    <t>Cameron Ray AKA “Screen”</t>
  </si>
  <si>
    <t>chyver</t>
  </si>
  <si>
    <t>Lucas Shasta Walters</t>
  </si>
  <si>
    <t>Marcus Night</t>
  </si>
  <si>
    <t>Scollar</t>
  </si>
  <si>
    <t>Adrian Gates (Retired)</t>
  </si>
  <si>
    <t>XerasTheFluff</t>
  </si>
  <si>
    <t>Rollo Solnet</t>
  </si>
  <si>
    <t>Flyby</t>
  </si>
  <si>
    <t>Raven "Nightshade" Maverick</t>
  </si>
  <si>
    <t>SpiritFox</t>
  </si>
  <si>
    <t>Jixx "Whisper"</t>
  </si>
  <si>
    <t>J1sper</t>
  </si>
  <si>
    <t>Echo (Custom)</t>
  </si>
  <si>
    <t>Allows him to change between human and exotic (Hologram)</t>
  </si>
  <si>
    <t>Wallie O'Donovan (NPC)</t>
  </si>
  <si>
    <t>Sliss_</t>
  </si>
  <si>
    <t>Donkey Kicks (Gorilla Arms for Legs) (custom)</t>
  </si>
  <si>
    <t>Kick people hard af.</t>
  </si>
  <si>
    <t>Kayce Read</t>
  </si>
  <si>
    <t>Obsessed Demon</t>
  </si>
  <si>
    <t>Right Arm Projectile Launcher</t>
  </si>
  <si>
    <t>Shoot a rocket from his arm. Limited use, Arm is heavy than normal.</t>
  </si>
  <si>
    <t>Freya Orchest</t>
  </si>
  <si>
    <t>finchy1017</t>
  </si>
  <si>
    <t>Combat Chassis</t>
  </si>
  <si>
    <t>Normal Body</t>
  </si>
  <si>
    <t>Yūrei (Shirohane Renzo) (幽霊)</t>
  </si>
  <si>
    <t>ryuuzaki_6107</t>
  </si>
  <si>
    <t>Militech Cyberhand (Cyberarm (Dexterous))</t>
  </si>
  <si>
    <t>Arm-Mounted Cyberdeck (Ghostline) (Custom)</t>
  </si>
  <si>
    <t>Compact Ghostline deck integrated into arm; functionally comparable to a Netrunner Suite, Physical integration for on-the-fly netrunning. Function: A compact, integrated deck (Ghostline model) for netrunning.</t>
  </si>
  <si>
    <t>Memory Lock (Custom)</t>
  </si>
  <si>
    <t>Protects locked memories/data from extraction or unauthorized access. Potential amnesia risk if malfunctioning.</t>
  </si>
  <si>
    <t>Flykra "Snow" Foxx</t>
  </si>
  <si>
    <t>AcetheGodexx</t>
  </si>
  <si>
    <t>Alphonsus "Mr. Marbles" Hennigan</t>
  </si>
  <si>
    <t>the_owlbear_jew</t>
  </si>
  <si>
    <t>Hato</t>
  </si>
  <si>
    <t>motokosusubo</t>
  </si>
  <si>
    <t>Alexi "Northstar" Klar</t>
  </si>
  <si>
    <t>Justine Novák - “Ifrit Pale” (DEAD)</t>
  </si>
  <si>
    <t>blackmetalidiot</t>
  </si>
  <si>
    <t>Alice Evren "White Fox" aka "Athena"</t>
  </si>
  <si>
    <t>smallfox330</t>
  </si>
  <si>
    <t>Reven “holo” reed / Hazel Asher (Dead)</t>
  </si>
  <si>
    <t>Ren "Echo/Batto" Makoto</t>
  </si>
  <si>
    <t>reggieastra</t>
  </si>
  <si>
    <t>Enhanced Ears (Custom)</t>
  </si>
  <si>
    <t>Rosy Caggiano “Angel”</t>
  </si>
  <si>
    <t>moon.gothie</t>
  </si>
  <si>
    <t>Angel “Glass” Marinov</t>
  </si>
  <si>
    <t>firecharge1</t>
  </si>
  <si>
    <t>Blare</t>
  </si>
  <si>
    <t>Sera “Seraph” Parse</t>
  </si>
  <si>
    <t>floweringzaeli</t>
  </si>
  <si>
    <t>Casper</t>
  </si>
  <si>
    <t>rebskii</t>
  </si>
  <si>
    <t>White</t>
  </si>
  <si>
    <t>cleozero</t>
  </si>
  <si>
    <t>Vincenzo "Vinny" Russo</t>
  </si>
  <si>
    <t>Vinnybot&lt;3</t>
  </si>
  <si>
    <t>Shotgun fist gorilla arms - 4 gauge (Custom)</t>
  </si>
  <si>
    <t>Julia [D3M0N]</t>
  </si>
  <si>
    <t>little_demonic</t>
  </si>
  <si>
    <t>Ryder</t>
  </si>
  <si>
    <t xml:space="preserve"> rebskii</t>
  </si>
  <si>
    <t>Dante</t>
  </si>
  <si>
    <t>Q'tarr "The Wolf" Warrian</t>
  </si>
  <si>
    <t>luv_thewolf</t>
  </si>
  <si>
    <t>Reva “Letty” Del’rosa</t>
  </si>
  <si>
    <t>Axe Dussault</t>
  </si>
  <si>
    <t>anuminan</t>
  </si>
  <si>
    <t>Cassian 'Hadal' Knox</t>
  </si>
  <si>
    <t>Gabriel "Gabby" Torenti</t>
  </si>
  <si>
    <t>hokucho</t>
  </si>
  <si>
    <t xml:space="preserve">Leon Álvarez/Ivan “Rev” Revell </t>
  </si>
  <si>
    <t>based_bassist</t>
  </si>
  <si>
    <t>Mesirah "Messy Mes" Lidha</t>
  </si>
  <si>
    <t>mesirah</t>
  </si>
  <si>
    <t>Love Potion - (Custom)</t>
  </si>
  <si>
    <t>Creates a toxin in the uterus that makes juices give a short knockout effect. The toxin has to be used on skin context or oral intake. Drawback: Does not work on Cyberware penis, detoxifier, Supra-Dermal Weave. any detect toxins/chemical ware will detect the uses of the Toxin. Biomonitor will auto-alert their partners.</t>
  </si>
  <si>
    <t>Love Suite - (Custom)</t>
  </si>
  <si>
    <t>Love Suite - (Custom) (1 CWP) Both Mr Studd and Midnight Lady, interchangeable to suit clients desire, Boosted stamina, modular sensations, vibe modules. Drawback: Malfunctions in awkward moments. Buzzes audibly if overused.</t>
  </si>
  <si>
    <t>Reiga</t>
  </si>
  <si>
    <t>nyasix</t>
  </si>
  <si>
    <t>Eve</t>
  </si>
  <si>
    <t>Ronan Vance - "Stray"</t>
  </si>
  <si>
    <t>Orso Vex</t>
  </si>
  <si>
    <t>Chyver</t>
  </si>
  <si>
    <t>William "Crow" Rodriguez</t>
  </si>
  <si>
    <t>aliencowboy</t>
  </si>
  <si>
    <t>Viper Zero</t>
  </si>
  <si>
    <t>valerie_437</t>
  </si>
  <si>
    <t>Adam Willows</t>
  </si>
  <si>
    <t>o0deusvult0o</t>
  </si>
  <si>
    <t>Dr. Logan Ledger "L.E.D.G.E.R."</t>
  </si>
  <si>
    <t>Zevra Yuhilna</t>
  </si>
  <si>
    <t>cade3945</t>
  </si>
  <si>
    <t>Inez Aramov</t>
  </si>
  <si>
    <t>Thecandybar</t>
  </si>
  <si>
    <t>Maximilian Avero</t>
  </si>
  <si>
    <t>skulldog_artificer</t>
  </si>
  <si>
    <t>Vale “Tengu” Yamashi</t>
  </si>
  <si>
    <t>SlayaAU</t>
  </si>
  <si>
    <t>Tatum "Wight" McCallops</t>
  </si>
  <si>
    <t>The Boondock Saint</t>
  </si>
  <si>
    <t>JAKL (pronounced "Jackal")</t>
  </si>
  <si>
    <t>zaihex</t>
  </si>
  <si>
    <t>Dr. Tequila Wolf</t>
  </si>
  <si>
    <t>Max Donovan/Ryan Weyland</t>
  </si>
  <si>
    <t>Oboro_</t>
  </si>
  <si>
    <t>Face Changer (Custom)</t>
  </si>
  <si>
    <t>allows a person to use metanthropic cloaking technology to completely change their facial features to disguise them as another person.</t>
  </si>
  <si>
    <t>Melody “Mel” Jackson (dead)</t>
  </si>
  <si>
    <t>_voidchaos</t>
  </si>
  <si>
    <t>Takashi Himura II</t>
  </si>
  <si>
    <t>_sliss</t>
  </si>
  <si>
    <t>Grief “Sündermann” Weber</t>
  </si>
  <si>
    <t>x3z8</t>
  </si>
  <si>
    <t>Riley 'Spider' Watts - Pizzakev</t>
  </si>
  <si>
    <t>Pizzakev</t>
  </si>
  <si>
    <t>Clive "Prick" Rose</t>
  </si>
  <si>
    <t>wolfy_of_the_british</t>
  </si>
  <si>
    <t>The Rippo Man</t>
  </si>
  <si>
    <t>Lux “Deluxe” Deckard</t>
  </si>
  <si>
    <t>Andre "Swift" Ramirez</t>
  </si>
  <si>
    <t>savxge_alpha</t>
  </si>
  <si>
    <t>Giovanni "Bandit" Romero</t>
  </si>
  <si>
    <t>uss.bigman</t>
  </si>
  <si>
    <t>Brian Thompson</t>
  </si>
  <si>
    <t>8ballsystem</t>
  </si>
  <si>
    <t>Ivana “Valkyrie” Kade</t>
  </si>
  <si>
    <t>freebooze</t>
  </si>
  <si>
    <t>Vanessa Belmonte</t>
  </si>
  <si>
    <t>Eye Cameras (Custom)</t>
  </si>
  <si>
    <t>Take pictures with complete and total secrecy. Shown as smart eyes on scans. Has no smart eye capabilities, Can zoom, Video/Audio Stored locally and immediately uploaded. Can livestream.</t>
  </si>
  <si>
    <t>Gears</t>
  </si>
  <si>
    <t>scollar</t>
  </si>
  <si>
    <t>Victor "Gears" Pierce</t>
  </si>
  <si>
    <t>artificerdrachen</t>
  </si>
  <si>
    <t>Gerald Freeman</t>
  </si>
  <si>
    <t>obsessed_demon</t>
  </si>
  <si>
    <t>Gary "Rooster" Mueller</t>
  </si>
  <si>
    <t>Olivia “Jinx” More</t>
  </si>
  <si>
    <t>Juno Kelner (Valkyrie)</t>
  </si>
  <si>
    <t>thegamingfox807</t>
  </si>
  <si>
    <t>Osha karmi</t>
  </si>
  <si>
    <t>lordbarker.</t>
  </si>
  <si>
    <t>Slimon</t>
  </si>
  <si>
    <t>Geo Leman</t>
  </si>
  <si>
    <t>pardussteal</t>
  </si>
  <si>
    <t>John 'fireball' Uchuu</t>
  </si>
  <si>
    <t>burntlego</t>
  </si>
  <si>
    <t>Luna Bella Consorta</t>
  </si>
  <si>
    <t>Mimi Aoyama (Neko)</t>
  </si>
  <si>
    <t>mrsundeadkitty</t>
  </si>
  <si>
    <t xml:space="preserve">Min-jae [min-jeh] "Mikey" Hyun [h-yoon] </t>
  </si>
  <si>
    <t>Luka Von Lucien</t>
  </si>
  <si>
    <t>peacefulsamy</t>
  </si>
  <si>
    <t>Katherine "Kay" Morris</t>
  </si>
  <si>
    <t>deedalus</t>
  </si>
  <si>
    <t>Nova “Kit”</t>
  </si>
  <si>
    <t>lunasake</t>
  </si>
  <si>
    <t>Spade McCree</t>
  </si>
  <si>
    <t>bellsheeo</t>
  </si>
  <si>
    <t>ThunderWolf</t>
  </si>
  <si>
    <t>thunderwolf721</t>
  </si>
  <si>
    <t>Kha’var "Trigger" Warrian</t>
  </si>
  <si>
    <t>triggertony3164</t>
  </si>
  <si>
    <t>Akane Kuroda</t>
  </si>
  <si>
    <t>azureshinigami</t>
  </si>
  <si>
    <t>Aegis-7 Stealth Pressurized Suit.(Custom)</t>
  </si>
  <si>
    <t>RAM-treated thermal and radar dampening, 12-hour independent oxygen supply, Nano-Mend Matrix: Self-repairing liquid polymer reservoir (5-7 uses).</t>
  </si>
  <si>
    <t>Harlequin</t>
  </si>
  <si>
    <t>pupsiren</t>
  </si>
  <si>
    <t>Aurora Marie Calloway</t>
  </si>
  <si>
    <t>Flavia Daleno</t>
  </si>
  <si>
    <t>_redbear_92</t>
  </si>
  <si>
    <t>Geo Leman (Hawthorn)</t>
  </si>
  <si>
    <t>Morning Helen Sanderson</t>
  </si>
  <si>
    <t>hdmg</t>
  </si>
  <si>
    <t>Parker Pepper</t>
  </si>
  <si>
    <t>Ghosted_stoner</t>
  </si>
  <si>
    <t>Sirati Feth (Retired)</t>
  </si>
  <si>
    <t>Finlytalikov</t>
  </si>
  <si>
    <t>Shinohara Risa</t>
  </si>
  <si>
    <t>kanakovt</t>
  </si>
  <si>
    <t>Sarah Lawn (retired)</t>
  </si>
  <si>
    <t>mooserenity</t>
  </si>
  <si>
    <t>Curtis Ashburn</t>
  </si>
  <si>
    <t>knuckson</t>
  </si>
  <si>
    <t>Karmine</t>
  </si>
  <si>
    <t>kitten_katie</t>
  </si>
  <si>
    <t>In Suit</t>
  </si>
  <si>
    <t>Out of suit</t>
  </si>
  <si>
    <t>Terrance J. Scott</t>
  </si>
  <si>
    <t>itsnolongeraboutcheese</t>
  </si>
  <si>
    <t>Gidgit Stitchwyre “Mama”</t>
  </si>
  <si>
    <t>Volt (Militech Callsign "Storm")</t>
  </si>
  <si>
    <t>rustyspoonz1</t>
  </si>
  <si>
    <t>Hawk</t>
  </si>
  <si>
    <t>DeathHawkDown</t>
  </si>
  <si>
    <t>Sebastian Hook (dead)</t>
  </si>
  <si>
    <t>ObsessedDemon</t>
  </si>
  <si>
    <t>Joshua Woods</t>
  </si>
  <si>
    <t>RainIncarnate</t>
  </si>
  <si>
    <t>LOCK / UNLOCK</t>
  </si>
  <si>
    <t>ninjamag</t>
  </si>
  <si>
    <t>Samael</t>
  </si>
  <si>
    <t>mobstupidity</t>
  </si>
  <si>
    <t>Combat Tail</t>
  </si>
  <si>
    <t>A tail thats pure strength, can grab, and trip but has very little fine motor skills/dexterity.</t>
  </si>
  <si>
    <t>Alice Martinez</t>
  </si>
  <si>
    <t>Homare Nishitani</t>
  </si>
  <si>
    <t>oboro_</t>
  </si>
  <si>
    <t>Reina "Wildcall" Arakawa (Retired)</t>
  </si>
  <si>
    <t>Doctor Lucy Moth</t>
  </si>
  <si>
    <t>Hound</t>
  </si>
  <si>
    <t>sailor_bun aka Arson</t>
  </si>
  <si>
    <t>Michael Tullen</t>
  </si>
  <si>
    <t>ironfatherminarus</t>
  </si>
  <si>
    <t>Ivy “Index” Walker</t>
  </si>
  <si>
    <t>Jack “Ash” Vega</t>
  </si>
  <si>
    <t>Nyx</t>
  </si>
  <si>
    <t>phoenixkitsu.</t>
  </si>
  <si>
    <t>Rougarou Wylde</t>
  </si>
  <si>
    <t>stridertempxa</t>
  </si>
  <si>
    <t>Rich “Dodge” Bekmith</t>
  </si>
  <si>
    <t>leonardofoxtron</t>
  </si>
  <si>
    <t>Bayou</t>
  </si>
  <si>
    <t>dustinn.com</t>
  </si>
  <si>
    <t>Sedna</t>
  </si>
  <si>
    <t>baronvondorf210</t>
  </si>
  <si>
    <t>Alice</t>
  </si>
  <si>
    <t>"Old man" Ragnar</t>
  </si>
  <si>
    <t>viking1987</t>
  </si>
  <si>
    <t>Mellow Ainsley</t>
  </si>
  <si>
    <t>smolredfox</t>
  </si>
  <si>
    <t>Monarch Swarm Micro-Emitter (Custom)</t>
  </si>
  <si>
    <t>Deploys micro-drones disguised as bioluminescent butterflies. Causes temporary instability in unshielded personal cyberware within close proximity. Limited radius and duration.
Tradeoff: Significant neural strain, migraines, nausea, sensory dulling after extended use. Lasts 1 Minute, 5 foot radius</t>
  </si>
  <si>
    <t>Abel "Deimos" Montez</t>
  </si>
  <si>
    <t>deathgripsfanx3</t>
  </si>
  <si>
    <t>Nikkie Reyes or “Violet”</t>
  </si>
  <si>
    <t>snow_flake2022</t>
  </si>
  <si>
    <t>Unsafe Above this line - Medium Risk</t>
  </si>
  <si>
    <t>Maki “Suit” Junichi</t>
  </si>
  <si>
    <t>TornadoRanger</t>
  </si>
  <si>
    <t>Sasha “Limewire” Graves</t>
  </si>
  <si>
    <t>Gyoubu Oniwa</t>
  </si>
  <si>
    <t>Stella Watson</t>
  </si>
  <si>
    <t>ericvali</t>
  </si>
  <si>
    <t>Ela Myers North (Retired)</t>
  </si>
  <si>
    <t>OrangeTrex</t>
  </si>
  <si>
    <t>DimondSergal (Retired)</t>
  </si>
  <si>
    <t>DimondSergal</t>
  </si>
  <si>
    <t>Vivian "Viv" Reid (Retired)</t>
  </si>
  <si>
    <t>Blitz</t>
  </si>
  <si>
    <t>Ryker | Vex</t>
  </si>
  <si>
    <t>BettaTheFish / vodeldar</t>
  </si>
  <si>
    <t>Dr Fritz Fermi</t>
  </si>
  <si>
    <t>Fenrir Evergreen</t>
  </si>
  <si>
    <t>Second Heart (Custom)</t>
  </si>
  <si>
    <t>If one heart is damaged, the other can take over.</t>
  </si>
  <si>
    <t>Second set of arms (custom)</t>
  </si>
  <si>
    <t>Can hold extra guns</t>
  </si>
  <si>
    <t>Zuri</t>
  </si>
  <si>
    <t>eli_d</t>
  </si>
  <si>
    <t>Jay</t>
  </si>
  <si>
    <t>dewbertcrunch</t>
  </si>
  <si>
    <t>Bandit</t>
  </si>
  <si>
    <t>Sir Lazarus (Formerly Elias Kessler)</t>
  </si>
  <si>
    <t>vexgate</t>
  </si>
  <si>
    <t>Rynix Mithindax Dexma</t>
  </si>
  <si>
    <t>Rynix Dexma</t>
  </si>
  <si>
    <t>Juniper "junebug" Mcleary (Retired)</t>
  </si>
  <si>
    <t>Akali Zangor</t>
  </si>
  <si>
    <t>itzKrypto</t>
  </si>
  <si>
    <t>Riley Watson / Arlo Watson</t>
  </si>
  <si>
    <t>Mentor_Knight</t>
  </si>
  <si>
    <t>Gradiated Subdermal Plating(Custom)</t>
  </si>
  <si>
    <t>Resistant to blades, blunt trauma, slows small caliber bullets but won't stop them.</t>
  </si>
  <si>
    <t>Full Body Conversion - Gemini &amp; Novabeast</t>
  </si>
  <si>
    <t>Reject Human, become furry</t>
  </si>
  <si>
    <t>Basic Cyberoptics (Custom)</t>
  </si>
  <si>
    <t>Zoom, facial ID, AR HUD.</t>
  </si>
  <si>
    <t>Ashton "Ashy" Stripes</t>
  </si>
  <si>
    <t>Wolfyboi_</t>
  </si>
  <si>
    <t>Musicians ears (Custom)</t>
  </si>
  <si>
    <t>Enhanced Ears + Noise Dampeners</t>
  </si>
  <si>
    <t>Alan 'Owl/Weeping Crow' Autarch Jr (Retired)</t>
  </si>
  <si>
    <t>AustrailianError</t>
  </si>
  <si>
    <t>Astrid Hansen</t>
  </si>
  <si>
    <t>fdetonaded</t>
  </si>
  <si>
    <t>jo</t>
  </si>
  <si>
    <t>Eliza Kusanagi</t>
  </si>
  <si>
    <t>Aki Dan Kojima</t>
  </si>
  <si>
    <t>_oboro</t>
  </si>
  <si>
    <t>Roselyn "Rose"</t>
  </si>
  <si>
    <t>sheepesq</t>
  </si>
  <si>
    <t>Jabbles Katan</t>
  </si>
  <si>
    <t>Jabbles</t>
  </si>
  <si>
    <t>Rick Kane</t>
  </si>
  <si>
    <t>lorddepressotm</t>
  </si>
  <si>
    <t>Jimmy "the Snake" Green (NPC)</t>
  </si>
  <si>
    <t>GTTRDS</t>
  </si>
  <si>
    <t>Ethanol Syphon</t>
  </si>
  <si>
    <t xml:space="preserve">Custom built cyberware to help filter out the sheer amount of ethanol that may be generated within the body. Excess amounts are internally stored in a different synthetic organ near the stomach. </t>
  </si>
  <si>
    <t>Iris Calder</t>
  </si>
  <si>
    <t>hyperextra</t>
  </si>
  <si>
    <t>Cyrus "Cyr" Jacobs</t>
  </si>
  <si>
    <t>trinidad_demon</t>
  </si>
  <si>
    <t>"Lior London"</t>
  </si>
  <si>
    <t>heliosstation</t>
  </si>
  <si>
    <t>Sammantha Jackson</t>
  </si>
  <si>
    <t>endevours</t>
  </si>
  <si>
    <t>Johnathan "Rook" Mitchell</t>
  </si>
  <si>
    <t>The Wanderer</t>
  </si>
  <si>
    <t>vinnybot</t>
  </si>
  <si>
    <t>Kai Wren</t>
  </si>
  <si>
    <t>Anya "Dust Fox" Blackhammer</t>
  </si>
  <si>
    <t>larzenic</t>
  </si>
  <si>
    <t>Falconi (The Rabbit)</t>
  </si>
  <si>
    <t>falconirabbit</t>
  </si>
  <si>
    <t>Gwen “Maple”</t>
  </si>
  <si>
    <t>.nemi.</t>
  </si>
  <si>
    <t>"Birdie" Wren</t>
  </si>
  <si>
    <t>Siren</t>
  </si>
  <si>
    <t>auroranova</t>
  </si>
  <si>
    <t>Lycoris Maxim</t>
  </si>
  <si>
    <t>dilandian</t>
  </si>
  <si>
    <t>Mist</t>
  </si>
  <si>
    <t>Jeanne</t>
  </si>
  <si>
    <t>Rachel Brooke</t>
  </si>
  <si>
    <t>armisael_</t>
  </si>
  <si>
    <t>"dead drop" needle (Custom)</t>
  </si>
  <si>
    <t>"dead drop" needle: A black-ceramic needle hidden beneath her inner wrist, below the palm.</t>
  </si>
  <si>
    <t>Needle</t>
  </si>
  <si>
    <t>buns4193</t>
  </si>
  <si>
    <t>Aether Van Buren</t>
  </si>
  <si>
    <t>Unilocation Antenna (Custom)</t>
  </si>
  <si>
    <t>Metal Antenna, very sensitive, inuscule to micro-level movements be picked up, echolocation-esque</t>
  </si>
  <si>
    <t>Gina Goldman</t>
  </si>
  <si>
    <t>bearger</t>
  </si>
  <si>
    <t>kamiya</t>
  </si>
  <si>
    <t>luna_paradox</t>
  </si>
  <si>
    <t>Caden “Nemo” Muller</t>
  </si>
  <si>
    <t>zm0bie</t>
  </si>
  <si>
    <t>Sata Miller</t>
  </si>
  <si>
    <t>flamenight</t>
  </si>
  <si>
    <t>Lareina Soto</t>
  </si>
  <si>
    <t>chisanaki</t>
  </si>
  <si>
    <t>Richard Kovac</t>
  </si>
  <si>
    <t>puffymystery</t>
  </si>
  <si>
    <t>Loki Dexa</t>
  </si>
  <si>
    <t>honeybeefox</t>
  </si>
  <si>
    <t>Jackson "Penguin" McConnell (Retired)</t>
  </si>
  <si>
    <t>Penguin Boi</t>
  </si>
  <si>
    <t>Ciren Xiangyu</t>
  </si>
  <si>
    <t>VideoTv</t>
  </si>
  <si>
    <t>JohnDeer Deer</t>
  </si>
  <si>
    <t>trainboythedeer</t>
  </si>
  <si>
    <t>Xiao Min</t>
  </si>
  <si>
    <t>siegebastion</t>
  </si>
  <si>
    <t>Carnage</t>
  </si>
  <si>
    <t>Caleb "Spooky" McGregor</t>
  </si>
  <si>
    <t>jesmge</t>
  </si>
  <si>
    <t>Astrid Falk</t>
  </si>
  <si>
    <t>Riann (pronounced “Ryan”) “Rook” Myrvang</t>
  </si>
  <si>
    <t xml:space="preserve"> mellojello</t>
  </si>
  <si>
    <t>Ophelia Everhart</t>
  </si>
  <si>
    <t>Noko / M[ira]</t>
  </si>
  <si>
    <t>hot.water.for.oats</t>
  </si>
  <si>
    <t>Nyx Alset</t>
  </si>
  <si>
    <t>stevethemitochondria</t>
  </si>
  <si>
    <t>Mara Vale</t>
  </si>
  <si>
    <t>nerdynightmare</t>
  </si>
  <si>
    <t>Bones</t>
  </si>
  <si>
    <t xml:space="preserve">Travis “Barrage” Dunlap </t>
  </si>
  <si>
    <t>Phoolery</t>
  </si>
  <si>
    <t>Ignis</t>
  </si>
  <si>
    <t>Firefox</t>
  </si>
  <si>
    <t>Lova</t>
  </si>
  <si>
    <t>Jessica “Quinn” Cortez</t>
  </si>
  <si>
    <t>chromia</t>
  </si>
  <si>
    <t>Yoko Hayashi</t>
  </si>
  <si>
    <t>k118728</t>
  </si>
  <si>
    <t>Astrid Pearce, Alias "Saturn"</t>
  </si>
  <si>
    <t>ratatoskr</t>
  </si>
  <si>
    <t>Lance "Iron" Kiro</t>
  </si>
  <si>
    <t>aresdivision</t>
  </si>
  <si>
    <t>Nyx Ardent</t>
  </si>
  <si>
    <t>j3llybox</t>
  </si>
  <si>
    <t>Good Boy Dallas</t>
  </si>
  <si>
    <t>Jin Atonic</t>
  </si>
  <si>
    <t>Jack 'Hangman' Chlotna (Retired)</t>
  </si>
  <si>
    <t>austrailianerror</t>
  </si>
  <si>
    <t>Liin</t>
  </si>
  <si>
    <t>Liindy</t>
  </si>
  <si>
    <t>Tia</t>
  </si>
  <si>
    <t>mestiia</t>
  </si>
  <si>
    <t>Velvet Venom</t>
  </si>
  <si>
    <t>nizka</t>
  </si>
  <si>
    <t>Taylor Von Karma</t>
  </si>
  <si>
    <t>BigFluffButt</t>
  </si>
  <si>
    <t>Aya “Ghosttail” Shino</t>
  </si>
  <si>
    <t>Leonardo (Dead)</t>
  </si>
  <si>
    <t>starroxen</t>
  </si>
  <si>
    <t>Bryce Connory</t>
  </si>
  <si>
    <t>Kazra Wynter</t>
  </si>
  <si>
    <t>Nyx Calder</t>
  </si>
  <si>
    <t>Vike Stentton</t>
  </si>
  <si>
    <t>jarren</t>
  </si>
  <si>
    <t>Damion (Militech call sign: Deimos) (Dead)</t>
  </si>
  <si>
    <t>gamma148</t>
  </si>
  <si>
    <t>Kina Mazushī</t>
  </si>
  <si>
    <t>vexypu</t>
  </si>
  <si>
    <t>Rhys Hendrix</t>
  </si>
  <si>
    <t>mrbonesvr</t>
  </si>
  <si>
    <t>Cristoff</t>
  </si>
  <si>
    <t>Pholey</t>
  </si>
  <si>
    <t>Dr. Rebecca Hellebore</t>
  </si>
  <si>
    <t>andemix</t>
  </si>
  <si>
    <t>Dilandian Von Wyld</t>
  </si>
  <si>
    <t>Khatun</t>
  </si>
  <si>
    <t>stolasplus</t>
  </si>
  <si>
    <t>Jasmin 'Jaz' Mechanica (Retired)</t>
  </si>
  <si>
    <t>Snip06</t>
  </si>
  <si>
    <t>Athleta Jacksawn (Jacks) (Retired)</t>
  </si>
  <si>
    <t>La-Jackie</t>
  </si>
  <si>
    <t>Sarah Richard</t>
  </si>
  <si>
    <t>milliesusilly</t>
  </si>
  <si>
    <t>Lilly Raptor (Dead)</t>
  </si>
  <si>
    <t>goodguypie</t>
  </si>
  <si>
    <t>Kazimierz "Sasko" Barakov</t>
  </si>
  <si>
    <t>DraconusNocturna</t>
  </si>
  <si>
    <t>Thomas "Double T" Tchekov</t>
  </si>
  <si>
    <t>alexykuzneatov</t>
  </si>
  <si>
    <t>Asher Morin</t>
  </si>
  <si>
    <t>Exo Synth</t>
  </si>
  <si>
    <t>link3y</t>
  </si>
  <si>
    <t>Milo Vale</t>
  </si>
  <si>
    <t>landad</t>
  </si>
  <si>
    <t>Miumi Yoko</t>
  </si>
  <si>
    <t>Rosaline Hellner</t>
  </si>
  <si>
    <t>buffsquishy</t>
  </si>
  <si>
    <t>Glitch | "Madame" (Retired)</t>
  </si>
  <si>
    <t>Bookieson</t>
  </si>
  <si>
    <t>Valeria D. Kirk "Vally K"</t>
  </si>
  <si>
    <t>itsdeadlocks</t>
  </si>
  <si>
    <t>Ivo</t>
  </si>
  <si>
    <t>nauctustheavali</t>
  </si>
  <si>
    <t>Regina Black</t>
  </si>
  <si>
    <t>abyssalreaper</t>
  </si>
  <si>
    <t>Kayla</t>
  </si>
  <si>
    <t>wufski</t>
  </si>
  <si>
    <t>Monoceros Helios Muse</t>
  </si>
  <si>
    <t>tish</t>
  </si>
  <si>
    <t>Melissa “Ember” Hensley</t>
  </si>
  <si>
    <t>Jerome Corrilo</t>
  </si>
  <si>
    <t>jollywolly14</t>
  </si>
  <si>
    <t>Synthia Bennett</t>
  </si>
  <si>
    <t>itisluna</t>
  </si>
  <si>
    <t>Noah Halloway</t>
  </si>
  <si>
    <t>Violet Liebert</t>
  </si>
  <si>
    <t>ShatteredCafe</t>
  </si>
  <si>
    <t>Kelly “Holly” Richards</t>
  </si>
  <si>
    <t>j4cka55</t>
  </si>
  <si>
    <t>Lorenzo Harper</t>
  </si>
  <si>
    <t>skaleyseto</t>
  </si>
  <si>
    <t>Integrated Hologram Emitter (custom)</t>
  </si>
  <si>
    <t>projects visuals tied to emotions, pricing, or availability</t>
  </si>
  <si>
    <t>Eve starly</t>
  </si>
  <si>
    <t>gooeypancake</t>
  </si>
  <si>
    <t>Luna</t>
  </si>
  <si>
    <t>Judith Steele</t>
  </si>
  <si>
    <t>Actuallystoked</t>
  </si>
  <si>
    <t>Has basic implants</t>
  </si>
  <si>
    <t>Sienna Morris</t>
  </si>
  <si>
    <t>anyaroseyt</t>
  </si>
  <si>
    <t>Marcus Halloway</t>
  </si>
  <si>
    <t>sniperm</t>
  </si>
  <si>
    <t>Ayrn Rece</t>
  </si>
  <si>
    <t>Fully Organic (Other than being an exotic)</t>
  </si>
  <si>
    <t>John 'Nobody' Seymour</t>
  </si>
  <si>
    <t>Johnjohn 757</t>
  </si>
  <si>
    <t>Fully Organic</t>
  </si>
  <si>
    <t>Keith M. Murphy | “ECH-0 3”</t>
  </si>
  <si>
    <t>marshmallow8245</t>
  </si>
  <si>
    <t>Yora Camillio | "Jane Hare"</t>
  </si>
  <si>
    <t>Cl0wnzzvr</t>
  </si>
  <si>
    <t>Kiera Hearn</t>
  </si>
  <si>
    <t>John Nolan (NPC)</t>
  </si>
  <si>
    <t>dabutcherbomb71</t>
  </si>
  <si>
    <t>Adam ‘snow’ Donovan.</t>
  </si>
  <si>
    <t>Fully Organic (other than cosmetic tail and ears)</t>
  </si>
  <si>
    <t>Salem Relan</t>
  </si>
  <si>
    <t>mutt._.3</t>
  </si>
  <si>
    <t>Mira Mercer (DEAD)</t>
  </si>
  <si>
    <t>Vamp</t>
  </si>
  <si>
    <t>Lupii</t>
  </si>
  <si>
    <t>Zeke</t>
  </si>
  <si>
    <t>issachatter</t>
  </si>
  <si>
    <t>Logan Philip Chlotna - 'Phantom'</t>
  </si>
  <si>
    <t>notarealerror</t>
  </si>
  <si>
    <t>Jackson</t>
  </si>
  <si>
    <t>Crissy</t>
  </si>
  <si>
    <t xml:space="preserve"> lucypinkwolfy</t>
  </si>
  <si>
    <t>Nova Crow</t>
  </si>
  <si>
    <t>sennabloodrose</t>
  </si>
  <si>
    <t>Jesse "Fawn" Snowmoon</t>
  </si>
  <si>
    <t>jessestagdoe</t>
  </si>
  <si>
    <t xml:space="preserve">Bernadette Babinski </t>
  </si>
  <si>
    <t>xaubun</t>
  </si>
  <si>
    <t>Ace Tengamee</t>
  </si>
  <si>
    <t>lucky_ace.</t>
  </si>
  <si>
    <t>Jacob</t>
  </si>
  <si>
    <t>bobbywyatt26</t>
  </si>
  <si>
    <t>Jared Castorian</t>
  </si>
  <si>
    <t>Zuri Helma</t>
  </si>
  <si>
    <t>camcorder1224</t>
  </si>
  <si>
    <t>Ender (NOT APPROVED)</t>
  </si>
  <si>
    <t>Slot/Type</t>
  </si>
  <si>
    <t>Pride</t>
  </si>
  <si>
    <t>VinnyBot&lt;3</t>
  </si>
  <si>
    <t>Dermal Plating - Chitin variant</t>
  </si>
  <si>
    <t>Extremely strong, the toughest possible plating you can get your hands on. Can regenerate damage to armor over time.</t>
  </si>
  <si>
    <t>Integrated Palm Concussive Emitters</t>
  </si>
  <si>
    <t>piece of experimental Zetatech chrome which, if Pride so chooses to place his hand upon a humanoid head, he emits a concussive blast through soundwaves which rattle the skull and cause the individual to become disoriented and concussed.</t>
  </si>
  <si>
    <t>Ice Layer -  Zetatech corpo grade</t>
  </si>
  <si>
    <t>Jeremy Schaefer von der Laden</t>
  </si>
  <si>
    <t>ZaiHex</t>
  </si>
  <si>
    <t>ULYSSES</t>
  </si>
  <si>
    <t>Lust (Alias: Scarlett)</t>
  </si>
  <si>
    <t>Medusa_cascade</t>
  </si>
  <si>
    <t>Subdermal Occult Sigil Emitters  (Custom)</t>
  </si>
  <si>
    <t>Emit glowing sigils beneath skin for psychological intimidation and occult use.</t>
  </si>
  <si>
    <t>Pheromone Synthesizer (Custom)</t>
  </si>
  <si>
    <t>Greatly enhances seductive influence; makes her extremely convincing and influential.</t>
  </si>
  <si>
    <t>Elira "VIRELLE" Kessane</t>
  </si>
  <si>
    <t>.slaya</t>
  </si>
  <si>
    <t>Neurotonix Pulse Emitter</t>
  </si>
  <si>
    <t>Micro-injector arrays hidden in fingertips can deliver custom biotech nerve agents via touch or scratch – coded to disable, not kill, unless desired.</t>
  </si>
  <si>
    <t>Netrunner Suite (Level 4)</t>
  </si>
  <si>
    <t>Cerebral Partition Node</t>
  </si>
  <si>
    <t>Splits the user’s consciousness into two simultaneous processing streams — one can run nettracing and ICE defense while the other handles negotiation, data review, or social interaction.</t>
  </si>
  <si>
    <t>Gene-Linked Neural Firewall</t>
  </si>
  <si>
    <t>ICE system that only operates when matched to the user’s genetic profile — impossible to use or bypass without their living tissue.</t>
  </si>
  <si>
    <t>Sekhmet Luxor</t>
  </si>
  <si>
    <t>khepri2992/medusa_cascade</t>
  </si>
  <si>
    <t>Sekhmet's Armor - Cyborg body</t>
  </si>
  <si>
    <t>Vaccum sealed Body glove. Insane physical strength and speed. Large retractable claws. Durable enough to get hit by a car, and walk it off. Can leap, vault, and run after prey for days on end.</t>
  </si>
  <si>
    <t>Sekhmet's Armor - A.I. Neural network</t>
  </si>
  <si>
    <t>Allows a KH3PR1 Model AI into her body, it can be removed.  KH3PR1-02 is her designated handler. Significant ice layer, players need to deactivate the AI before they can hack her.</t>
  </si>
  <si>
    <t>Sekhmet’s Armor - Cloaking, and jammer system.</t>
  </si>
  <si>
    <t>Mostly Invis, masks temp, disrupts guidance systems, stops most communication in the area, very obvious shes in the area when equipments start acting faulty. Venting will give her away, the steam is far too noticable.</t>
  </si>
  <si>
    <t>Sekhmet’s Armor - Life support, Power plant, and exterior shell</t>
  </si>
  <si>
    <t>A full body suite designed as both life support, and main implant powering everything. It is her body. The suit cannot be removed. She vents often from both the mouth, and back. The armor is highly resistant to incoming fire.</t>
  </si>
  <si>
    <t>WRATH (Alejandro Cortez)</t>
  </si>
  <si>
    <t>Marcus Harker — “The Iron Executor”</t>
  </si>
  <si>
    <t>Right Arm</t>
  </si>
  <si>
    <t>Fully Cybernetic Arm</t>
  </si>
  <si>
    <t>Dominion OS Priority Uplink</t>
  </si>
  <si>
    <t>Custom Root Access</t>
  </si>
  <si>
    <t>Cranial Vault</t>
  </si>
  <si>
    <t>For classified Data Keys</t>
  </si>
  <si>
    <t>Alex Graves (Alias: Rebecca Knight) (NPC)</t>
  </si>
  <si>
    <t>Harper</t>
  </si>
  <si>
    <t>(Custom Hyperion Model):</t>
  </si>
  <si>
    <t>Full cyberwarfare, backdoor exploitation. Black Lotus–series quad-ASIC neural architecture with Dominion signature firmware.</t>
  </si>
  <si>
    <t>Cranial Dominion ports (custom)</t>
  </si>
  <si>
    <t>for secure uplink.</t>
  </si>
  <si>
    <t xml:space="preserve">Encrypted dead-drop implant </t>
  </si>
  <si>
    <t>Internal data cache</t>
  </si>
  <si>
    <t>Dominion biometric locks</t>
  </si>
  <si>
    <t>executive-tier root token access.</t>
  </si>
  <si>
    <t>Alex Graves (Alias: Drew Camden) (NPC)</t>
  </si>
  <si>
    <t>Raelyna</t>
  </si>
  <si>
    <t>Spike “Sweet Luci” Morningstar (Formerly Rick Jackson)</t>
  </si>
  <si>
    <t>Zetatech Berserk</t>
  </si>
  <si>
    <t>When health reaches 25% refreshes stamina, punch harder, move faster, for like 30 seconds it returns me to a 25% "on the brink" kinda positon</t>
  </si>
  <si>
    <t>Dr. Seolfor Aurelius “Fracstle” (NPC)</t>
  </si>
  <si>
    <t>(NON COMBAT/MISSION USAGE)</t>
  </si>
  <si>
    <t>Lucien Mercer</t>
  </si>
  <si>
    <t>Nachi Keisuke</t>
  </si>
  <si>
    <t>Semi-Invisible when activated (50%)   She covers her scars and real appearance using an always on optical camo</t>
  </si>
  <si>
    <t>Camera Shutdown (Custom)</t>
  </si>
  <si>
    <t>In a small radius around her she automatically shut down cameras</t>
  </si>
  <si>
    <t>Moonshine</t>
  </si>
  <si>
    <t>tornadoranger</t>
  </si>
  <si>
    <t>Casper Jones</t>
  </si>
  <si>
    <t>Roxxi Monroe (NPC)</t>
  </si>
  <si>
    <t>Super Gorilla Arms</t>
  </si>
  <si>
    <t>Lift heavy shit. Overpower people. Physical domination. But Like, More.</t>
  </si>
  <si>
    <t>Millie Harper, Rane “Sparrow”</t>
  </si>
  <si>
    <t>finch1017</t>
  </si>
  <si>
    <t>Blood Pump</t>
  </si>
  <si>
    <t>A blood pump that ensures that blood is forced throughout the body even under extreme G’s. Its in 77 but it just instantly restores health, I think G-Combat makes better sense?</t>
  </si>
  <si>
    <t>Retinal display</t>
  </si>
  <si>
    <t>When jacked into an aircraft, it relays data over the eyes. ONLY in aircraft, no IKEhud</t>
  </si>
  <si>
    <t>Reinforced veins</t>
  </si>
  <si>
    <t>Her veins and arteries are reinforced by nanoweave to withstand the force of the blood pump</t>
  </si>
  <si>
    <t>Sternmeyer</t>
  </si>
  <si>
    <t>abyssalreaper.</t>
  </si>
  <si>
    <t>Takashi Himura</t>
  </si>
  <si>
    <t>Oda Scott Kojima</t>
  </si>
  <si>
    <t>Khepri</t>
  </si>
  <si>
    <t>Luxor</t>
  </si>
  <si>
    <t>Anubian Heart</t>
  </si>
  <si>
    <t>A one of a kind piece of Biochemical genius. Crafted by the world's finest genewrights. The heart is a super organ designed to feed hyper enriched blood, nanites, and is the epicenter for a round the clock healing suite. —A super organ with nanites that rapidly regenerate wounds of any kind, as well as feed the oxygen, and energy demands of a highly specialized body</t>
  </si>
  <si>
    <t>Cindy</t>
  </si>
  <si>
    <t>Johnathan Armstrong</t>
  </si>
</sst>
</file>

<file path=xl/styles.xml><?xml version="1.0" encoding="utf-8"?>
<styleSheet xmlns="http://schemas.openxmlformats.org/spreadsheetml/2006/main" xmlns:x14ac="http://schemas.microsoft.com/office/spreadsheetml/2009/9/ac" xmlns:mc="http://schemas.openxmlformats.org/markup-compatibility/2006">
  <fonts count="54">
    <font>
      <sz val="10.0"/>
      <color rgb="FF000000"/>
      <name val="Arial"/>
      <scheme val="minor"/>
    </font>
    <font>
      <color theme="1"/>
      <name val="Arial"/>
    </font>
    <font>
      <color theme="1"/>
      <name val="Arial"/>
      <scheme val="minor"/>
    </font>
    <font>
      <b/>
      <color theme="1"/>
      <name val="Arial"/>
      <scheme val="minor"/>
    </font>
    <font>
      <b/>
      <sz val="14.0"/>
      <color theme="1"/>
      <name val="Arial"/>
      <scheme val="minor"/>
    </font>
    <font/>
    <font>
      <b/>
      <sz val="16.0"/>
      <color theme="1"/>
      <name val="Arial"/>
      <scheme val="minor"/>
    </font>
    <font>
      <b/>
      <i/>
      <sz val="15.0"/>
      <color theme="1"/>
      <name val="Arial"/>
      <scheme val="minor"/>
    </font>
    <font>
      <b/>
      <sz val="11.0"/>
      <color theme="1"/>
      <name val="Arial"/>
      <scheme val="minor"/>
    </font>
    <font>
      <sz val="20.0"/>
      <color rgb="FFFFFFFF"/>
      <name val="Arial"/>
      <scheme val="minor"/>
    </font>
    <font>
      <b/>
      <sz val="17.0"/>
      <color theme="1"/>
      <name val="Arial"/>
      <scheme val="minor"/>
    </font>
    <font>
      <b/>
      <sz val="22.0"/>
      <color theme="1"/>
      <name val="Arial"/>
      <scheme val="minor"/>
    </font>
    <font>
      <b/>
      <sz val="12.0"/>
      <color theme="1"/>
      <name val="Arial"/>
      <scheme val="minor"/>
    </font>
    <font>
      <b/>
      <sz val="18.0"/>
      <color theme="1"/>
      <name val="Arial"/>
      <scheme val="minor"/>
    </font>
    <font>
      <b/>
      <sz val="10.0"/>
      <color theme="1"/>
      <name val="Arial"/>
      <scheme val="minor"/>
    </font>
    <font>
      <b/>
      <sz val="11.0"/>
      <color theme="1"/>
      <name val="Calibri"/>
    </font>
    <font>
      <sz val="18.0"/>
      <color theme="1"/>
      <name val="Arial"/>
      <scheme val="minor"/>
    </font>
    <font>
      <sz val="17.0"/>
      <color theme="1"/>
      <name val="&quot;gg sans&quot;"/>
    </font>
    <font>
      <sz val="22.0"/>
      <color theme="1"/>
      <name val="Arial"/>
      <scheme val="minor"/>
    </font>
    <font>
      <sz val="12.0"/>
      <color theme="1"/>
      <name val="Arial"/>
      <scheme val="minor"/>
    </font>
    <font>
      <sz val="10.0"/>
      <color theme="1"/>
      <name val="Arial"/>
    </font>
    <font>
      <sz val="11.0"/>
      <color theme="1"/>
      <name val="Calibri"/>
    </font>
    <font>
      <sz val="10.0"/>
      <color theme="1"/>
      <name val="Arial"/>
      <scheme val="minor"/>
    </font>
    <font>
      <sz val="12.0"/>
      <color theme="1"/>
      <name val="&quot;gg sans&quot;"/>
    </font>
    <font>
      <sz val="17.0"/>
      <color theme="1"/>
      <name val="Arial"/>
      <scheme val="minor"/>
    </font>
    <font>
      <sz val="22.0"/>
      <color theme="1"/>
      <name val="Arial"/>
    </font>
    <font>
      <sz val="12.0"/>
      <color theme="1"/>
      <name val="Arial"/>
    </font>
    <font>
      <sz val="17.0"/>
      <color theme="1"/>
      <name val="Arial"/>
    </font>
    <font>
      <sz val="11.0"/>
      <color theme="1"/>
      <name val="Arial"/>
      <scheme val="minor"/>
    </font>
    <font>
      <sz val="17.0"/>
      <color theme="1"/>
      <name val="Inherit"/>
    </font>
    <font>
      <sz val="11.0"/>
      <color theme="1"/>
      <name val="Arial"/>
    </font>
    <font>
      <b/>
      <sz val="17.0"/>
      <color rgb="FFFF9900"/>
      <name val="Arial"/>
    </font>
    <font>
      <sz val="10.0"/>
      <color rgb="FFFF9900"/>
      <name val="Arial"/>
    </font>
    <font>
      <sz val="11.0"/>
      <color rgb="FFFF9900"/>
      <name val="Calibri"/>
    </font>
    <font>
      <sz val="10.0"/>
      <color theme="1"/>
      <name val="&quot;gg sans&quot;"/>
    </font>
    <font>
      <u/>
      <sz val="17.0"/>
      <color theme="1"/>
      <name val="Inherit"/>
    </font>
    <font>
      <sz val="17.0"/>
      <color rgb="FF000000"/>
      <name val="Arial"/>
    </font>
    <font>
      <sz val="17.0"/>
      <color theme="1"/>
      <name val="Gg sans"/>
    </font>
    <font>
      <b/>
      <sz val="17.0"/>
      <color rgb="FFFF0000"/>
      <name val="Arial"/>
      <scheme val="minor"/>
    </font>
    <font>
      <sz val="16.0"/>
      <color theme="1"/>
      <name val="Arial"/>
      <scheme val="minor"/>
    </font>
    <font>
      <u/>
      <sz val="17.0"/>
      <color theme="1"/>
      <name val="Inherit"/>
    </font>
    <font>
      <sz val="17.0"/>
      <color theme="1"/>
      <name val="&quot;gg mono&quot;"/>
    </font>
    <font>
      <u/>
      <sz val="17.0"/>
      <color theme="1"/>
      <name val="Inherit"/>
    </font>
    <font>
      <sz val="12.0"/>
      <color theme="1"/>
      <name val="Gg sans"/>
    </font>
    <font>
      <sz val="10.0"/>
      <color theme="1"/>
      <name val="Inherit"/>
    </font>
    <font>
      <b/>
      <i/>
      <sz val="17.0"/>
      <color rgb="FFFF0000"/>
      <name val="Arial"/>
    </font>
    <font>
      <sz val="11.0"/>
      <color theme="1"/>
      <name val="&quot;gg sans&quot;"/>
    </font>
    <font>
      <sz val="10.0"/>
      <color theme="1"/>
      <name val="&quot;gg mono&quot;"/>
    </font>
    <font>
      <sz val="10.0"/>
      <color rgb="FF000000"/>
      <name val="Arial"/>
    </font>
    <font>
      <sz val="11.0"/>
      <color rgb="FF000000"/>
      <name val="Arial"/>
    </font>
    <font>
      <b/>
      <sz val="19.0"/>
      <color rgb="FFFF9900"/>
      <name val="Arial"/>
    </font>
    <font>
      <sz val="17.0"/>
      <color rgb="FF000000"/>
      <name val="Arial"/>
      <scheme val="minor"/>
    </font>
    <font>
      <b/>
      <sz val="19.0"/>
      <color rgb="FFFF0000"/>
      <name val="Arial"/>
      <scheme val="minor"/>
    </font>
    <font>
      <b/>
      <i/>
      <sz val="24.0"/>
      <color rgb="FFFF0000"/>
      <name val="Arial"/>
    </font>
  </fonts>
  <fills count="40">
    <fill>
      <patternFill patternType="none"/>
    </fill>
    <fill>
      <patternFill patternType="lightGray"/>
    </fill>
    <fill>
      <patternFill patternType="solid">
        <fgColor rgb="FFD0E0E3"/>
        <bgColor rgb="FFD0E0E3"/>
      </patternFill>
    </fill>
    <fill>
      <patternFill patternType="solid">
        <fgColor rgb="FFCFE2F3"/>
        <bgColor rgb="FFCFE2F3"/>
      </patternFill>
    </fill>
    <fill>
      <patternFill patternType="solid">
        <fgColor rgb="FFC9DAF8"/>
        <bgColor rgb="FFC9DAF8"/>
      </patternFill>
    </fill>
    <fill>
      <patternFill patternType="solid">
        <fgColor rgb="FFEAD1DC"/>
        <bgColor rgb="FFEAD1DC"/>
      </patternFill>
    </fill>
    <fill>
      <patternFill patternType="solid">
        <fgColor rgb="FFE6B8AF"/>
        <bgColor rgb="FFE6B8AF"/>
      </patternFill>
    </fill>
    <fill>
      <patternFill patternType="solid">
        <fgColor rgb="FFFCE5CD"/>
        <bgColor rgb="FFFCE5CD"/>
      </patternFill>
    </fill>
    <fill>
      <patternFill patternType="solid">
        <fgColor rgb="FFD9EAD3"/>
        <bgColor rgb="FFD9EAD3"/>
      </patternFill>
    </fill>
    <fill>
      <patternFill patternType="solid">
        <fgColor rgb="FFD9D2E9"/>
        <bgColor rgb="FFD9D2E9"/>
      </patternFill>
    </fill>
    <fill>
      <patternFill patternType="solid">
        <fgColor rgb="FFF4CCCC"/>
        <bgColor rgb="FFF4CCCC"/>
      </patternFill>
    </fill>
    <fill>
      <patternFill patternType="solid">
        <fgColor rgb="FFFFF2CC"/>
        <bgColor rgb="FFFFF2CC"/>
      </patternFill>
    </fill>
    <fill>
      <patternFill patternType="solid">
        <fgColor rgb="FFEFEFEF"/>
        <bgColor rgb="FFEFEFEF"/>
      </patternFill>
    </fill>
    <fill>
      <patternFill patternType="solid">
        <fgColor rgb="FFD9D9D9"/>
        <bgColor rgb="FFD9D9D9"/>
      </patternFill>
    </fill>
    <fill>
      <patternFill patternType="solid">
        <fgColor rgb="FFFFD966"/>
        <bgColor rgb="FFFFD966"/>
      </patternFill>
    </fill>
    <fill>
      <patternFill patternType="solid">
        <fgColor rgb="FF6AA84F"/>
        <bgColor rgb="FF6AA84F"/>
      </patternFill>
    </fill>
    <fill>
      <patternFill patternType="solid">
        <fgColor rgb="FFB4A7D6"/>
        <bgColor rgb="FFB4A7D6"/>
      </patternFill>
    </fill>
    <fill>
      <patternFill patternType="solid">
        <fgColor rgb="FF6D9EEB"/>
        <bgColor rgb="FF6D9EEB"/>
      </patternFill>
    </fill>
    <fill>
      <patternFill patternType="solid">
        <fgColor rgb="FFFF0000"/>
        <bgColor rgb="FFFF0000"/>
      </patternFill>
    </fill>
    <fill>
      <patternFill patternType="solid">
        <fgColor rgb="FF93C47D"/>
        <bgColor rgb="FF93C47D"/>
      </patternFill>
    </fill>
    <fill>
      <patternFill patternType="solid">
        <fgColor rgb="FFF4FFF0"/>
        <bgColor rgb="FFF4FFF0"/>
      </patternFill>
    </fill>
    <fill>
      <patternFill patternType="solid">
        <fgColor rgb="FFFF9900"/>
        <bgColor rgb="FFFF9900"/>
      </patternFill>
    </fill>
    <fill>
      <patternFill patternType="solid">
        <fgColor rgb="FFE0EBFE"/>
        <bgColor rgb="FFE0EBFE"/>
      </patternFill>
    </fill>
    <fill>
      <patternFill patternType="solid">
        <fgColor rgb="FFFDECDA"/>
        <bgColor rgb="FFFDECDA"/>
      </patternFill>
    </fill>
    <fill>
      <patternFill patternType="solid">
        <fgColor rgb="FFFFFF00"/>
        <bgColor rgb="FFFFFF00"/>
      </patternFill>
    </fill>
    <fill>
      <patternFill patternType="solid">
        <fgColor rgb="FFF3EEFD"/>
        <bgColor rgb="FFF3EEFD"/>
      </patternFill>
    </fill>
    <fill>
      <patternFill patternType="solid">
        <fgColor rgb="FFFFF2F2"/>
        <bgColor rgb="FFFFF2F2"/>
      </patternFill>
    </fill>
    <fill>
      <patternFill patternType="solid">
        <fgColor rgb="FFE3EFF1"/>
        <bgColor rgb="FFE3EFF1"/>
      </patternFill>
    </fill>
    <fill>
      <patternFill patternType="solid">
        <fgColor rgb="FFFFE0DA"/>
        <bgColor rgb="FFFFE0DA"/>
      </patternFill>
    </fill>
    <fill>
      <patternFill patternType="solid">
        <fgColor rgb="FFE4F020"/>
        <bgColor rgb="FFE4F020"/>
      </patternFill>
    </fill>
    <fill>
      <patternFill patternType="solid">
        <fgColor rgb="FFDCE5ED"/>
        <bgColor rgb="FFDCE5ED"/>
      </patternFill>
    </fill>
    <fill>
      <patternFill patternType="solid">
        <fgColor rgb="FFCC0000"/>
        <bgColor rgb="FFCC0000"/>
      </patternFill>
    </fill>
    <fill>
      <patternFill patternType="solid">
        <fgColor rgb="FFC9E13F"/>
        <bgColor rgb="FFC9E13F"/>
      </patternFill>
    </fill>
    <fill>
      <patternFill patternType="solid">
        <fgColor rgb="FFF3FDFF"/>
        <bgColor rgb="FFF3FDFF"/>
      </patternFill>
    </fill>
    <fill>
      <patternFill patternType="solid">
        <fgColor rgb="FFF2FEEE"/>
        <bgColor rgb="FFF2FEEE"/>
      </patternFill>
    </fill>
    <fill>
      <patternFill patternType="solid">
        <fgColor rgb="FFE06666"/>
        <bgColor rgb="FFE06666"/>
      </patternFill>
    </fill>
    <fill>
      <patternFill patternType="solid">
        <fgColor rgb="FF00FF00"/>
        <bgColor rgb="FF00FF00"/>
      </patternFill>
    </fill>
    <fill>
      <patternFill patternType="solid">
        <fgColor rgb="FFEB9A00"/>
        <bgColor rgb="FFEB9A00"/>
      </patternFill>
    </fill>
    <fill>
      <patternFill patternType="solid">
        <fgColor rgb="FFAED25E"/>
        <bgColor rgb="FFAED25E"/>
      </patternFill>
    </fill>
    <fill>
      <patternFill patternType="solid">
        <fgColor rgb="FFF6EBF0"/>
        <bgColor rgb="FFF6EBF0"/>
      </patternFill>
    </fill>
  </fills>
  <borders count="44">
    <border/>
    <border>
      <left style="thick">
        <color rgb="FF000000"/>
      </left>
    </border>
    <border>
      <left style="medium">
        <color rgb="FF000000"/>
      </left>
      <top style="medium">
        <color rgb="FF000000"/>
      </top>
    </border>
    <border>
      <top style="medium">
        <color rgb="FF000000"/>
      </top>
    </border>
    <border>
      <left style="medium">
        <color rgb="FF000000"/>
      </left>
    </border>
    <border>
      <left style="medium">
        <color rgb="FF000000"/>
      </left>
      <bottom style="medium">
        <color rgb="FF000000"/>
      </bottom>
    </border>
    <border>
      <bottom style="medium">
        <color rgb="FF000000"/>
      </bottom>
    </border>
    <border>
      <top style="thick">
        <color rgb="FF000000"/>
      </top>
    </border>
    <border>
      <left style="thick">
        <color rgb="FFFF0000"/>
      </left>
      <top style="thick">
        <color rgb="FFFF0000"/>
      </top>
    </border>
    <border>
      <top style="thick">
        <color rgb="FFFF0000"/>
      </top>
    </border>
    <border>
      <right style="thick">
        <color rgb="FFFF0000"/>
      </right>
      <top style="thick">
        <color rgb="FFFF0000"/>
      </top>
    </border>
    <border>
      <left style="thick">
        <color rgb="FFFF0000"/>
      </left>
    </border>
    <border>
      <right style="thick">
        <color rgb="FFFF0000"/>
      </right>
    </border>
    <border>
      <left style="thick">
        <color rgb="FFFF0000"/>
      </left>
      <bottom style="thick">
        <color rgb="FFFF0000"/>
      </bottom>
    </border>
    <border>
      <bottom style="thick">
        <color rgb="FFFF0000"/>
      </bottom>
    </border>
    <border>
      <right style="thick">
        <color rgb="FFFF0000"/>
      </right>
      <bottom style="thick">
        <color rgb="FFFF0000"/>
      </bottom>
    </border>
    <border>
      <left style="thick">
        <color rgb="FFF1C232"/>
      </left>
      <top style="thick">
        <color rgb="FFF1C232"/>
      </top>
    </border>
    <border>
      <top style="thick">
        <color rgb="FFF1C232"/>
      </top>
    </border>
    <border>
      <right style="thick">
        <color rgb="FFF1C232"/>
      </right>
      <top style="thick">
        <color rgb="FFF1C232"/>
      </top>
    </border>
    <border>
      <left style="thick">
        <color rgb="FFF1C232"/>
      </left>
    </border>
    <border>
      <right style="thick">
        <color rgb="FFF1C232"/>
      </right>
    </border>
    <border>
      <left style="thick">
        <color rgb="FFF1C232"/>
      </left>
      <bottom style="thick">
        <color rgb="FFF1C232"/>
      </bottom>
    </border>
    <border>
      <bottom style="thick">
        <color rgb="FFF1C232"/>
      </bottom>
    </border>
    <border>
      <right style="thick">
        <color rgb="FFF1C232"/>
      </right>
      <bottom style="thick">
        <color rgb="FFF1C232"/>
      </bottom>
    </border>
    <border>
      <left style="thin">
        <color rgb="FF000000"/>
      </left>
      <right style="thin">
        <color rgb="FF000000"/>
      </right>
      <top style="thin">
        <color rgb="FF000000"/>
      </top>
      <bottom style="thin">
        <color rgb="FF000000"/>
      </bottom>
    </border>
    <border>
      <left style="thick">
        <color rgb="FF000000"/>
      </left>
      <top style="thick">
        <color rgb="FF000000"/>
      </top>
    </border>
    <border>
      <right style="thick">
        <color rgb="FF000000"/>
      </right>
      <top style="thick">
        <color rgb="FF000000"/>
      </top>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double">
        <color rgb="FF000000"/>
      </left>
      <top style="thick">
        <color rgb="FF000000"/>
      </top>
    </border>
    <border>
      <right style="double">
        <color rgb="FF000000"/>
      </right>
      <top style="thick">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thin">
        <color rgb="FF000000"/>
      </left>
      <top style="thin">
        <color rgb="FF000000"/>
      </top>
    </border>
    <border>
      <left style="thin">
        <color rgb="FF000000"/>
      </left>
    </border>
    <border>
      <left style="thin">
        <color rgb="FF000000"/>
      </lef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961">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horizontal="right" readingOrder="0" vertical="bottom"/>
    </xf>
    <xf borderId="0" fillId="0" fontId="2" numFmtId="0" xfId="0" applyAlignment="1" applyFont="1">
      <alignment readingOrder="0"/>
    </xf>
    <xf borderId="1" fillId="0" fontId="2" numFmtId="0" xfId="0" applyBorder="1" applyFont="1"/>
    <xf borderId="2" fillId="2" fontId="1" numFmtId="0" xfId="0" applyAlignment="1" applyBorder="1" applyFill="1" applyFont="1">
      <alignment vertical="bottom"/>
    </xf>
    <xf borderId="3" fillId="2" fontId="1" numFmtId="0" xfId="0" applyAlignment="1" applyBorder="1" applyFont="1">
      <alignment horizontal="center" vertical="bottom"/>
    </xf>
    <xf borderId="3" fillId="2" fontId="2" numFmtId="0" xfId="0" applyAlignment="1" applyBorder="1" applyFont="1">
      <alignment readingOrder="0"/>
    </xf>
    <xf borderId="3" fillId="2" fontId="1" numFmtId="0" xfId="0" applyAlignment="1" applyBorder="1" applyFont="1">
      <alignment vertical="bottom"/>
    </xf>
    <xf borderId="4" fillId="2" fontId="1" numFmtId="0" xfId="0" applyAlignment="1" applyBorder="1" applyFont="1">
      <alignment vertical="bottom"/>
    </xf>
    <xf borderId="0" fillId="2" fontId="1" numFmtId="0" xfId="0" applyAlignment="1" applyFont="1">
      <alignment horizontal="center" vertical="bottom"/>
    </xf>
    <xf borderId="0" fillId="2" fontId="2" numFmtId="0" xfId="0" applyAlignment="1" applyFont="1">
      <alignment readingOrder="0"/>
    </xf>
    <xf borderId="0" fillId="2" fontId="1" numFmtId="0" xfId="0" applyAlignment="1" applyFont="1">
      <alignment readingOrder="0" vertical="bottom"/>
    </xf>
    <xf borderId="0" fillId="2" fontId="1" numFmtId="0" xfId="0" applyAlignment="1" applyFont="1">
      <alignment vertical="bottom"/>
    </xf>
    <xf borderId="2" fillId="3" fontId="1" numFmtId="0" xfId="0" applyAlignment="1" applyBorder="1" applyFill="1" applyFont="1">
      <alignment vertical="bottom"/>
    </xf>
    <xf borderId="3" fillId="3" fontId="1" numFmtId="0" xfId="0" applyAlignment="1" applyBorder="1" applyFont="1">
      <alignment horizontal="center" readingOrder="0" vertical="bottom"/>
    </xf>
    <xf borderId="3" fillId="3" fontId="2" numFmtId="0" xfId="0" applyAlignment="1" applyBorder="1" applyFont="1">
      <alignment readingOrder="0"/>
    </xf>
    <xf borderId="3" fillId="3" fontId="1" numFmtId="0" xfId="0" applyAlignment="1" applyBorder="1" applyFont="1">
      <alignment vertical="bottom"/>
    </xf>
    <xf borderId="3" fillId="4" fontId="2" numFmtId="0" xfId="0" applyAlignment="1" applyBorder="1" applyFill="1" applyFont="1">
      <alignment readingOrder="0"/>
    </xf>
    <xf borderId="5" fillId="3" fontId="1" numFmtId="0" xfId="0" applyAlignment="1" applyBorder="1" applyFont="1">
      <alignment vertical="bottom"/>
    </xf>
    <xf borderId="6" fillId="3" fontId="1" numFmtId="0" xfId="0" applyAlignment="1" applyBorder="1" applyFont="1">
      <alignment horizontal="center" vertical="bottom"/>
    </xf>
    <xf borderId="6" fillId="3" fontId="2" numFmtId="0" xfId="0" applyAlignment="1" applyBorder="1" applyFont="1">
      <alignment readingOrder="0"/>
    </xf>
    <xf borderId="6" fillId="3" fontId="1" numFmtId="0" xfId="0" applyAlignment="1" applyBorder="1" applyFont="1">
      <alignment vertical="bottom"/>
    </xf>
    <xf borderId="6" fillId="4" fontId="2" numFmtId="0" xfId="0" applyAlignment="1" applyBorder="1" applyFont="1">
      <alignment readingOrder="0"/>
    </xf>
    <xf borderId="2" fillId="5" fontId="1" numFmtId="0" xfId="0" applyAlignment="1" applyBorder="1" applyFill="1" applyFont="1">
      <alignment vertical="bottom"/>
    </xf>
    <xf borderId="3" fillId="5" fontId="1" numFmtId="0" xfId="0" applyAlignment="1" applyBorder="1" applyFont="1">
      <alignment horizontal="center" vertical="bottom"/>
    </xf>
    <xf borderId="3" fillId="5" fontId="2" numFmtId="0" xfId="0" applyAlignment="1" applyBorder="1" applyFont="1">
      <alignment readingOrder="0"/>
    </xf>
    <xf borderId="3" fillId="5" fontId="1" numFmtId="0" xfId="0" applyAlignment="1" applyBorder="1" applyFont="1">
      <alignment vertical="bottom"/>
    </xf>
    <xf borderId="4" fillId="5" fontId="1" numFmtId="0" xfId="0" applyAlignment="1" applyBorder="1" applyFont="1">
      <alignment vertical="bottom"/>
    </xf>
    <xf borderId="0" fillId="5" fontId="1" numFmtId="0" xfId="0" applyAlignment="1" applyFont="1">
      <alignment horizontal="center" vertical="bottom"/>
    </xf>
    <xf borderId="0" fillId="5" fontId="2" numFmtId="0" xfId="0" applyAlignment="1" applyFont="1">
      <alignment readingOrder="0"/>
    </xf>
    <xf borderId="0" fillId="5" fontId="1" numFmtId="0" xfId="0" applyAlignment="1" applyFont="1">
      <alignment readingOrder="0" vertical="bottom"/>
    </xf>
    <xf borderId="0" fillId="5" fontId="1" numFmtId="0" xfId="0" applyAlignment="1" applyFont="1">
      <alignment vertical="bottom"/>
    </xf>
    <xf borderId="0" fillId="0" fontId="3" numFmtId="0" xfId="0" applyAlignment="1" applyFont="1">
      <alignment horizontal="center" readingOrder="0"/>
    </xf>
    <xf borderId="2" fillId="6" fontId="1" numFmtId="0" xfId="0" applyAlignment="1" applyBorder="1" applyFill="1" applyFont="1">
      <alignment vertical="bottom"/>
    </xf>
    <xf borderId="3" fillId="6" fontId="1" numFmtId="0" xfId="0" applyAlignment="1" applyBorder="1" applyFont="1">
      <alignment horizontal="center" vertical="bottom"/>
    </xf>
    <xf borderId="3" fillId="6" fontId="2" numFmtId="0" xfId="0" applyAlignment="1" applyBorder="1" applyFont="1">
      <alignment readingOrder="0"/>
    </xf>
    <xf borderId="3" fillId="6" fontId="1" numFmtId="0" xfId="0" applyAlignment="1" applyBorder="1" applyFont="1">
      <alignment vertical="bottom"/>
    </xf>
    <xf borderId="4" fillId="6" fontId="1" numFmtId="0" xfId="0" applyAlignment="1" applyBorder="1" applyFont="1">
      <alignment vertical="bottom"/>
    </xf>
    <xf borderId="0" fillId="6" fontId="1" numFmtId="0" xfId="0" applyAlignment="1" applyFont="1">
      <alignment horizontal="center" vertical="bottom"/>
    </xf>
    <xf borderId="0" fillId="6" fontId="2" numFmtId="0" xfId="0" applyAlignment="1" applyFont="1">
      <alignment readingOrder="0"/>
    </xf>
    <xf borderId="0" fillId="6" fontId="1" numFmtId="0" xfId="0" applyAlignment="1" applyFont="1">
      <alignment vertical="bottom"/>
    </xf>
    <xf borderId="0" fillId="6" fontId="2" numFmtId="0" xfId="0" applyFont="1"/>
    <xf borderId="4" fillId="6" fontId="1" numFmtId="0" xfId="0" applyAlignment="1" applyBorder="1" applyFont="1">
      <alignment vertical="bottom"/>
    </xf>
    <xf borderId="0" fillId="6" fontId="1" numFmtId="0" xfId="0" applyAlignment="1" applyFont="1">
      <alignment horizontal="center" vertical="bottom"/>
    </xf>
    <xf borderId="0" fillId="6" fontId="1" numFmtId="0" xfId="0" applyAlignment="1" applyFont="1">
      <alignment vertical="bottom"/>
    </xf>
    <xf borderId="2" fillId="7" fontId="1" numFmtId="0" xfId="0" applyAlignment="1" applyBorder="1" applyFill="1" applyFont="1">
      <alignment vertical="bottom"/>
    </xf>
    <xf borderId="7" fillId="7" fontId="1" numFmtId="0" xfId="0" applyAlignment="1" applyBorder="1" applyFont="1">
      <alignment horizontal="center" vertical="bottom"/>
    </xf>
    <xf borderId="7" fillId="7" fontId="2" numFmtId="0" xfId="0" applyAlignment="1" applyBorder="1" applyFont="1">
      <alignment readingOrder="0"/>
    </xf>
    <xf borderId="7" fillId="7" fontId="1" numFmtId="0" xfId="0" applyAlignment="1" applyBorder="1" applyFont="1">
      <alignment readingOrder="0" vertical="bottom"/>
    </xf>
    <xf borderId="7" fillId="7" fontId="1" numFmtId="0" xfId="0" applyAlignment="1" applyBorder="1" applyFont="1">
      <alignment vertical="bottom"/>
    </xf>
    <xf borderId="4" fillId="7" fontId="1" numFmtId="0" xfId="0" applyAlignment="1" applyBorder="1" applyFont="1">
      <alignment readingOrder="0" vertical="bottom"/>
    </xf>
    <xf borderId="0" fillId="7" fontId="1" numFmtId="0" xfId="0" applyAlignment="1" applyFont="1">
      <alignment horizontal="center" readingOrder="0" vertical="bottom"/>
    </xf>
    <xf borderId="0" fillId="7" fontId="2" numFmtId="0" xfId="0" applyAlignment="1" applyFont="1">
      <alignment readingOrder="0"/>
    </xf>
    <xf borderId="0" fillId="7" fontId="1" numFmtId="0" xfId="0" applyAlignment="1" applyFont="1">
      <alignment readingOrder="0" vertical="bottom"/>
    </xf>
    <xf borderId="0" fillId="7" fontId="1" numFmtId="0" xfId="0" applyAlignment="1" applyFont="1">
      <alignment vertical="bottom"/>
    </xf>
    <xf borderId="4" fillId="7" fontId="1" numFmtId="0" xfId="0" applyAlignment="1" applyBorder="1" applyFont="1">
      <alignment vertical="bottom"/>
    </xf>
    <xf borderId="0" fillId="7" fontId="1" numFmtId="0" xfId="0" applyAlignment="1" applyFont="1">
      <alignment horizontal="center" vertical="bottom"/>
    </xf>
    <xf borderId="4" fillId="7" fontId="1" numFmtId="0" xfId="0" applyAlignment="1" applyBorder="1" applyFont="1">
      <alignment vertical="bottom"/>
    </xf>
    <xf borderId="0" fillId="7" fontId="1" numFmtId="0" xfId="0" applyAlignment="1" applyFont="1">
      <alignment horizontal="center" vertical="bottom"/>
    </xf>
    <xf borderId="0" fillId="7" fontId="1" numFmtId="0" xfId="0" applyAlignment="1" applyFont="1">
      <alignment vertical="bottom"/>
    </xf>
    <xf borderId="5" fillId="7" fontId="1" numFmtId="0" xfId="0" applyAlignment="1" applyBorder="1" applyFont="1">
      <alignment vertical="bottom"/>
    </xf>
    <xf borderId="6" fillId="7" fontId="1" numFmtId="0" xfId="0" applyAlignment="1" applyBorder="1" applyFont="1">
      <alignment horizontal="center" readingOrder="0" vertical="bottom"/>
    </xf>
    <xf borderId="6" fillId="7" fontId="2" numFmtId="0" xfId="0" applyAlignment="1" applyBorder="1" applyFont="1">
      <alignment readingOrder="0"/>
    </xf>
    <xf borderId="6" fillId="7" fontId="1" numFmtId="0" xfId="0" applyAlignment="1" applyBorder="1" applyFont="1">
      <alignment vertical="bottom"/>
    </xf>
    <xf borderId="2" fillId="8" fontId="1" numFmtId="0" xfId="0" applyAlignment="1" applyBorder="1" applyFill="1" applyFont="1">
      <alignment vertical="bottom"/>
    </xf>
    <xf borderId="3" fillId="8" fontId="1" numFmtId="0" xfId="0" applyAlignment="1" applyBorder="1" applyFont="1">
      <alignment horizontal="center" vertical="bottom"/>
    </xf>
    <xf borderId="3" fillId="8" fontId="2" numFmtId="0" xfId="0" applyAlignment="1" applyBorder="1" applyFont="1">
      <alignment readingOrder="0"/>
    </xf>
    <xf borderId="3" fillId="8" fontId="1" numFmtId="0" xfId="0" applyAlignment="1" applyBorder="1" applyFont="1">
      <alignment vertical="bottom"/>
    </xf>
    <xf borderId="5" fillId="8" fontId="1" numFmtId="0" xfId="0" applyAlignment="1" applyBorder="1" applyFont="1">
      <alignment vertical="bottom"/>
    </xf>
    <xf borderId="6" fillId="8" fontId="1" numFmtId="0" xfId="0" applyAlignment="1" applyBorder="1" applyFont="1">
      <alignment horizontal="center" vertical="bottom"/>
    </xf>
    <xf borderId="6" fillId="8" fontId="2" numFmtId="0" xfId="0" applyAlignment="1" applyBorder="1" applyFont="1">
      <alignment readingOrder="0"/>
    </xf>
    <xf borderId="6" fillId="8" fontId="1" numFmtId="0" xfId="0" applyAlignment="1" applyBorder="1" applyFont="1">
      <alignment vertical="bottom"/>
    </xf>
    <xf borderId="6" fillId="8" fontId="2" numFmtId="0" xfId="0" applyBorder="1" applyFont="1"/>
    <xf borderId="2" fillId="4" fontId="1" numFmtId="0" xfId="0" applyAlignment="1" applyBorder="1" applyFont="1">
      <alignment vertical="bottom"/>
    </xf>
    <xf borderId="3" fillId="4" fontId="1" numFmtId="0" xfId="0" applyAlignment="1" applyBorder="1" applyFont="1">
      <alignment horizontal="center" vertical="bottom"/>
    </xf>
    <xf borderId="3" fillId="4" fontId="1" numFmtId="0" xfId="0" applyAlignment="1" applyBorder="1" applyFont="1">
      <alignment vertical="bottom"/>
    </xf>
    <xf borderId="3" fillId="4" fontId="2" numFmtId="0" xfId="0" applyBorder="1" applyFont="1"/>
    <xf borderId="0" fillId="4" fontId="1" numFmtId="0" xfId="0" applyAlignment="1" applyFont="1">
      <alignment vertical="bottom"/>
    </xf>
    <xf borderId="0" fillId="4" fontId="1" numFmtId="0" xfId="0" applyAlignment="1" applyFont="1">
      <alignment horizontal="center" vertical="bottom"/>
    </xf>
    <xf borderId="0" fillId="4" fontId="2" numFmtId="0" xfId="0" applyAlignment="1" applyFont="1">
      <alignment readingOrder="0"/>
    </xf>
    <xf borderId="0" fillId="4" fontId="1" numFmtId="0" xfId="0" applyAlignment="1" applyFont="1">
      <alignment readingOrder="0" vertical="bottom"/>
    </xf>
    <xf borderId="4" fillId="4" fontId="1" numFmtId="0" xfId="0" applyAlignment="1" applyBorder="1" applyFont="1">
      <alignment vertical="bottom"/>
    </xf>
    <xf borderId="0" fillId="4" fontId="1" numFmtId="0" xfId="0" applyAlignment="1" applyFont="1">
      <alignment horizontal="center" readingOrder="0" vertical="bottom"/>
    </xf>
    <xf borderId="4" fillId="4" fontId="1" numFmtId="0" xfId="0" applyAlignment="1" applyBorder="1" applyFont="1">
      <alignment vertical="bottom"/>
    </xf>
    <xf borderId="0" fillId="4" fontId="1" numFmtId="0" xfId="0" applyAlignment="1" applyFont="1">
      <alignment horizontal="center" vertical="bottom"/>
    </xf>
    <xf borderId="0" fillId="4" fontId="1" numFmtId="0" xfId="0" applyAlignment="1" applyFont="1">
      <alignment vertical="bottom"/>
    </xf>
    <xf borderId="4" fillId="4" fontId="1" numFmtId="0" xfId="0" applyAlignment="1" applyBorder="1" applyFont="1">
      <alignment readingOrder="0" vertical="bottom"/>
    </xf>
    <xf borderId="0" fillId="4" fontId="2" numFmtId="0" xfId="0" applyFont="1"/>
    <xf borderId="5" fillId="4" fontId="1" numFmtId="0" xfId="0" applyAlignment="1" applyBorder="1" applyFont="1">
      <alignment vertical="bottom"/>
    </xf>
    <xf borderId="6" fillId="4" fontId="1" numFmtId="0" xfId="0" applyAlignment="1" applyBorder="1" applyFont="1">
      <alignment horizontal="center" vertical="bottom"/>
    </xf>
    <xf borderId="6" fillId="4" fontId="1" numFmtId="0" xfId="0" applyAlignment="1" applyBorder="1" applyFont="1">
      <alignment vertical="bottom"/>
    </xf>
    <xf borderId="6" fillId="4" fontId="2" numFmtId="0" xfId="0" applyBorder="1" applyFont="1"/>
    <xf borderId="2" fillId="9" fontId="1" numFmtId="0" xfId="0" applyAlignment="1" applyBorder="1" applyFill="1" applyFont="1">
      <alignment vertical="bottom"/>
    </xf>
    <xf borderId="3" fillId="9" fontId="1" numFmtId="0" xfId="0" applyAlignment="1" applyBorder="1" applyFont="1">
      <alignment horizontal="center" vertical="bottom"/>
    </xf>
    <xf borderId="3" fillId="9" fontId="2" numFmtId="0" xfId="0" applyAlignment="1" applyBorder="1" applyFont="1">
      <alignment readingOrder="0"/>
    </xf>
    <xf borderId="3" fillId="9" fontId="1" numFmtId="0" xfId="0" applyAlignment="1" applyBorder="1" applyFont="1">
      <alignment vertical="bottom"/>
    </xf>
    <xf borderId="3" fillId="9" fontId="2" numFmtId="0" xfId="0" applyBorder="1" applyFont="1"/>
    <xf borderId="4" fillId="9" fontId="1" numFmtId="0" xfId="0" applyAlignment="1" applyBorder="1" applyFont="1">
      <alignment vertical="bottom"/>
    </xf>
    <xf borderId="0" fillId="9" fontId="1" numFmtId="0" xfId="0" applyAlignment="1" applyFont="1">
      <alignment horizontal="center" vertical="bottom"/>
    </xf>
    <xf borderId="0" fillId="9" fontId="2" numFmtId="0" xfId="0" applyAlignment="1" applyFont="1">
      <alignment readingOrder="0"/>
    </xf>
    <xf borderId="0" fillId="9" fontId="1" numFmtId="0" xfId="0" applyAlignment="1" applyFont="1">
      <alignment vertical="bottom"/>
    </xf>
    <xf borderId="0" fillId="9" fontId="2" numFmtId="0" xfId="0" applyFont="1"/>
    <xf borderId="5" fillId="9" fontId="1" numFmtId="0" xfId="0" applyAlignment="1" applyBorder="1" applyFont="1">
      <alignment vertical="bottom"/>
    </xf>
    <xf borderId="6" fillId="9" fontId="1" numFmtId="0" xfId="0" applyAlignment="1" applyBorder="1" applyFont="1">
      <alignment horizontal="center" vertical="bottom"/>
    </xf>
    <xf borderId="6" fillId="9" fontId="2" numFmtId="0" xfId="0" applyAlignment="1" applyBorder="1" applyFont="1">
      <alignment readingOrder="0"/>
    </xf>
    <xf borderId="6" fillId="9" fontId="1" numFmtId="0" xfId="0" applyAlignment="1" applyBorder="1" applyFont="1">
      <alignment vertical="bottom"/>
    </xf>
    <xf borderId="6" fillId="9" fontId="2" numFmtId="0" xfId="0" applyBorder="1" applyFont="1"/>
    <xf borderId="2" fillId="10" fontId="1" numFmtId="0" xfId="0" applyAlignment="1" applyBorder="1" applyFill="1" applyFont="1">
      <alignment vertical="bottom"/>
    </xf>
    <xf borderId="3" fillId="10" fontId="1" numFmtId="0" xfId="0" applyAlignment="1" applyBorder="1" applyFont="1">
      <alignment horizontal="center" vertical="bottom"/>
    </xf>
    <xf borderId="3" fillId="10" fontId="2" numFmtId="0" xfId="0" applyAlignment="1" applyBorder="1" applyFont="1">
      <alignment readingOrder="0"/>
    </xf>
    <xf borderId="3" fillId="10" fontId="1" numFmtId="0" xfId="0" applyAlignment="1" applyBorder="1" applyFont="1">
      <alignment vertical="bottom"/>
    </xf>
    <xf borderId="3" fillId="10" fontId="2" numFmtId="0" xfId="0" applyBorder="1" applyFont="1"/>
    <xf borderId="4" fillId="10" fontId="1" numFmtId="0" xfId="0" applyAlignment="1" applyBorder="1" applyFont="1">
      <alignment vertical="bottom"/>
    </xf>
    <xf borderId="0" fillId="10" fontId="1" numFmtId="0" xfId="0" applyAlignment="1" applyFont="1">
      <alignment horizontal="center" vertical="bottom"/>
    </xf>
    <xf borderId="0" fillId="10" fontId="2" numFmtId="0" xfId="0" applyAlignment="1" applyFont="1">
      <alignment readingOrder="0"/>
    </xf>
    <xf borderId="0" fillId="10" fontId="1" numFmtId="0" xfId="0" applyAlignment="1" applyFont="1">
      <alignment vertical="bottom"/>
    </xf>
    <xf borderId="0" fillId="10" fontId="2" numFmtId="0" xfId="0" applyFont="1"/>
    <xf borderId="5" fillId="10" fontId="1" numFmtId="0" xfId="0" applyAlignment="1" applyBorder="1" applyFont="1">
      <alignment vertical="bottom"/>
    </xf>
    <xf borderId="6" fillId="10" fontId="1" numFmtId="0" xfId="0" applyAlignment="1" applyBorder="1" applyFont="1">
      <alignment horizontal="center" vertical="bottom"/>
    </xf>
    <xf borderId="6" fillId="10" fontId="2" numFmtId="0" xfId="0" applyAlignment="1" applyBorder="1" applyFont="1">
      <alignment readingOrder="0"/>
    </xf>
    <xf borderId="6" fillId="10" fontId="1" numFmtId="0" xfId="0" applyAlignment="1" applyBorder="1" applyFont="1">
      <alignment vertical="bottom"/>
    </xf>
    <xf borderId="6" fillId="10" fontId="2" numFmtId="0" xfId="0" applyBorder="1" applyFont="1"/>
    <xf borderId="2" fillId="11" fontId="1" numFmtId="0" xfId="0" applyAlignment="1" applyBorder="1" applyFill="1" applyFont="1">
      <alignment vertical="bottom"/>
    </xf>
    <xf borderId="3" fillId="11" fontId="1" numFmtId="0" xfId="0" applyAlignment="1" applyBorder="1" applyFont="1">
      <alignment horizontal="center" vertical="bottom"/>
    </xf>
    <xf borderId="3" fillId="11" fontId="2" numFmtId="0" xfId="0" applyAlignment="1" applyBorder="1" applyFont="1">
      <alignment readingOrder="0"/>
    </xf>
    <xf borderId="3" fillId="11" fontId="1" numFmtId="0" xfId="0" applyAlignment="1" applyBorder="1" applyFont="1">
      <alignment vertical="bottom"/>
    </xf>
    <xf borderId="3" fillId="11" fontId="2" numFmtId="0" xfId="0" applyBorder="1" applyFont="1"/>
    <xf borderId="4" fillId="11" fontId="1" numFmtId="0" xfId="0" applyAlignment="1" applyBorder="1" applyFont="1">
      <alignment vertical="bottom"/>
    </xf>
    <xf borderId="0" fillId="11" fontId="1" numFmtId="0" xfId="0" applyAlignment="1" applyFont="1">
      <alignment horizontal="center" vertical="bottom"/>
    </xf>
    <xf borderId="0" fillId="11" fontId="2" numFmtId="0" xfId="0" applyAlignment="1" applyFont="1">
      <alignment readingOrder="0"/>
    </xf>
    <xf borderId="0" fillId="11" fontId="1" numFmtId="0" xfId="0" applyAlignment="1" applyFont="1">
      <alignment vertical="bottom"/>
    </xf>
    <xf borderId="0" fillId="11" fontId="2" numFmtId="0" xfId="0" applyFont="1"/>
    <xf borderId="6" fillId="11" fontId="1" numFmtId="0" xfId="0" applyAlignment="1" applyBorder="1" applyFont="1">
      <alignment vertical="bottom"/>
    </xf>
    <xf borderId="6" fillId="11" fontId="1" numFmtId="0" xfId="0" applyAlignment="1" applyBorder="1" applyFont="1">
      <alignment horizontal="center" vertical="bottom"/>
    </xf>
    <xf borderId="6" fillId="11" fontId="2" numFmtId="0" xfId="0" applyAlignment="1" applyBorder="1" applyFont="1">
      <alignment readingOrder="0"/>
    </xf>
    <xf borderId="6" fillId="11" fontId="2" numFmtId="0" xfId="0" applyBorder="1" applyFont="1"/>
    <xf borderId="4" fillId="2" fontId="1" numFmtId="0" xfId="0" applyAlignment="1" applyBorder="1" applyFont="1">
      <alignment readingOrder="0" vertical="bottom"/>
    </xf>
    <xf borderId="0" fillId="2" fontId="2" numFmtId="0" xfId="0" applyFont="1"/>
    <xf borderId="5" fillId="2" fontId="1" numFmtId="0" xfId="0" applyAlignment="1" applyBorder="1" applyFont="1">
      <alignment vertical="bottom"/>
    </xf>
    <xf borderId="6" fillId="2" fontId="1" numFmtId="0" xfId="0" applyAlignment="1" applyBorder="1" applyFont="1">
      <alignment horizontal="center" vertical="bottom"/>
    </xf>
    <xf borderId="6" fillId="2" fontId="2" numFmtId="0" xfId="0" applyAlignment="1" applyBorder="1" applyFont="1">
      <alignment readingOrder="0"/>
    </xf>
    <xf borderId="6" fillId="2" fontId="1" numFmtId="0" xfId="0" applyAlignment="1" applyBorder="1" applyFont="1">
      <alignment vertical="bottom"/>
    </xf>
    <xf borderId="6" fillId="2" fontId="2" numFmtId="0" xfId="0" applyBorder="1" applyFont="1"/>
    <xf borderId="8" fillId="0" fontId="4" numFmtId="0" xfId="0" applyAlignment="1" applyBorder="1" applyFont="1">
      <alignment horizontal="center" readingOrder="0"/>
    </xf>
    <xf borderId="9" fillId="0" fontId="5" numFmtId="0" xfId="0" applyBorder="1" applyFont="1"/>
    <xf borderId="9" fillId="0" fontId="4" numFmtId="0" xfId="0" applyAlignment="1" applyBorder="1" applyFont="1">
      <alignment horizontal="center" readingOrder="0"/>
    </xf>
    <xf borderId="10" fillId="0" fontId="4" numFmtId="0" xfId="0" applyAlignment="1" applyBorder="1" applyFont="1">
      <alignment horizontal="center" readingOrder="0"/>
    </xf>
    <xf borderId="11" fillId="0" fontId="2" numFmtId="0" xfId="0" applyBorder="1" applyFont="1"/>
    <xf borderId="12" fillId="0" fontId="2" numFmtId="0" xfId="0" applyBorder="1" applyFont="1"/>
    <xf borderId="11" fillId="0" fontId="4" numFmtId="49" xfId="0" applyAlignment="1" applyBorder="1" applyFont="1" applyNumberFormat="1">
      <alignment horizontal="center" readingOrder="0"/>
    </xf>
    <xf borderId="0" fillId="0" fontId="1" numFmtId="0" xfId="0" applyAlignment="1" applyFont="1">
      <alignment horizontal="center" readingOrder="0" vertical="bottom"/>
    </xf>
    <xf borderId="12" fillId="0" fontId="2" numFmtId="0" xfId="0" applyAlignment="1" applyBorder="1" applyFont="1">
      <alignment readingOrder="0"/>
    </xf>
    <xf borderId="0" fillId="0" fontId="1" numFmtId="0" xfId="0" applyAlignment="1" applyFont="1">
      <alignment horizontal="left" readingOrder="0" vertical="bottom"/>
    </xf>
    <xf borderId="13" fillId="0" fontId="4" numFmtId="49" xfId="0" applyAlignment="1" applyBorder="1" applyFont="1" applyNumberFormat="1">
      <alignment horizontal="center" readingOrder="0"/>
    </xf>
    <xf borderId="14" fillId="0" fontId="5" numFmtId="0" xfId="0" applyBorder="1" applyFont="1"/>
    <xf borderId="14" fillId="0" fontId="1" numFmtId="0" xfId="0" applyAlignment="1" applyBorder="1" applyFont="1">
      <alignment horizontal="left" readingOrder="0" vertical="bottom"/>
    </xf>
    <xf borderId="15" fillId="0" fontId="2" numFmtId="0" xfId="0" applyAlignment="1" applyBorder="1" applyFont="1">
      <alignment readingOrder="0"/>
    </xf>
    <xf borderId="16" fillId="12" fontId="6" numFmtId="0" xfId="0" applyAlignment="1" applyBorder="1" applyFill="1" applyFont="1">
      <alignment horizontal="center" readingOrder="0"/>
    </xf>
    <xf borderId="17" fillId="12" fontId="6" numFmtId="0" xfId="0" applyAlignment="1" applyBorder="1" applyFont="1">
      <alignment horizontal="center" readingOrder="0"/>
    </xf>
    <xf borderId="17" fillId="12" fontId="2" numFmtId="0" xfId="0" applyBorder="1" applyFont="1"/>
    <xf borderId="18" fillId="12" fontId="2" numFmtId="0" xfId="0" applyBorder="1" applyFont="1"/>
    <xf borderId="19" fillId="12" fontId="2" numFmtId="0" xfId="0" applyAlignment="1" applyBorder="1" applyFont="1">
      <alignment readingOrder="0"/>
    </xf>
    <xf borderId="0" fillId="12" fontId="2" numFmtId="0" xfId="0" applyFont="1"/>
    <xf borderId="20" fillId="12" fontId="2" numFmtId="0" xfId="0" applyBorder="1" applyFont="1"/>
    <xf borderId="19" fillId="12" fontId="7" numFmtId="0" xfId="0" applyAlignment="1" applyBorder="1" applyFont="1">
      <alignment readingOrder="0"/>
    </xf>
    <xf borderId="0" fillId="12" fontId="2" numFmtId="0" xfId="0" applyAlignment="1" applyFont="1">
      <alignment readingOrder="0"/>
    </xf>
    <xf borderId="19" fillId="13" fontId="8" numFmtId="0" xfId="0" applyAlignment="1" applyBorder="1" applyFill="1" applyFont="1">
      <alignment horizontal="center" readingOrder="0" shrinkToFit="0" vertical="center" wrapText="1"/>
    </xf>
    <xf borderId="0" fillId="13" fontId="3" numFmtId="0" xfId="0" applyAlignment="1" applyFont="1">
      <alignment horizontal="center" readingOrder="0"/>
    </xf>
    <xf borderId="0" fillId="13" fontId="2" numFmtId="0" xfId="0" applyFont="1"/>
    <xf borderId="20" fillId="13" fontId="2" numFmtId="0" xfId="0" applyBorder="1" applyFont="1"/>
    <xf borderId="19" fillId="0" fontId="5" numFmtId="0" xfId="0" applyBorder="1" applyFont="1"/>
    <xf borderId="0" fillId="3" fontId="2" numFmtId="0" xfId="0" applyFont="1"/>
    <xf borderId="0" fillId="5" fontId="2" numFmtId="0" xfId="0" applyFont="1"/>
    <xf borderId="0" fillId="7" fontId="2" numFmtId="0" xfId="0" applyFont="1"/>
    <xf borderId="0" fillId="8" fontId="2" numFmtId="0" xfId="0" applyFont="1"/>
    <xf borderId="21" fillId="0" fontId="5" numFmtId="0" xfId="0" applyBorder="1" applyFont="1"/>
    <xf borderId="22" fillId="0" fontId="5" numFmtId="0" xfId="0" applyBorder="1" applyFont="1"/>
    <xf borderId="22" fillId="8" fontId="2" numFmtId="0" xfId="0" applyBorder="1" applyFont="1"/>
    <xf borderId="22" fillId="13" fontId="2" numFmtId="0" xfId="0" applyBorder="1" applyFont="1"/>
    <xf borderId="23" fillId="13" fontId="2" numFmtId="0" xfId="0" applyBorder="1" applyFont="1"/>
    <xf borderId="0" fillId="14" fontId="2" numFmtId="0" xfId="0" applyAlignment="1" applyFill="1" applyFont="1">
      <alignment readingOrder="0"/>
    </xf>
    <xf borderId="0" fillId="15" fontId="2" numFmtId="0" xfId="0" applyAlignment="1" applyFill="1" applyFont="1">
      <alignment readingOrder="0"/>
    </xf>
    <xf borderId="0" fillId="16" fontId="2" numFmtId="0" xfId="0" applyAlignment="1" applyFill="1" applyFont="1">
      <alignment readingOrder="0"/>
    </xf>
    <xf borderId="0" fillId="17" fontId="2" numFmtId="0" xfId="0" applyAlignment="1" applyFill="1" applyFont="1">
      <alignment readingOrder="0"/>
    </xf>
    <xf borderId="0" fillId="17" fontId="2" numFmtId="0" xfId="0" applyFont="1"/>
    <xf borderId="0" fillId="18" fontId="9" numFmtId="0" xfId="0" applyAlignment="1" applyFill="1" applyFont="1">
      <alignment readingOrder="0"/>
    </xf>
    <xf borderId="0" fillId="0" fontId="10" numFmtId="0" xfId="0" applyAlignment="1" applyFont="1">
      <alignment horizontal="center" readingOrder="0"/>
    </xf>
    <xf borderId="0" fillId="0" fontId="11" numFmtId="0" xfId="0" applyAlignment="1" applyFont="1">
      <alignment horizontal="center" readingOrder="0"/>
    </xf>
    <xf borderId="0" fillId="0" fontId="12" numFmtId="0" xfId="0" applyAlignment="1" applyFont="1">
      <alignment horizontal="center" readingOrder="0" vertical="center"/>
    </xf>
    <xf borderId="0" fillId="0" fontId="13" numFmtId="0" xfId="0" applyAlignment="1" applyFont="1">
      <alignment horizontal="center" readingOrder="0"/>
    </xf>
    <xf borderId="0" fillId="0" fontId="14" numFmtId="0" xfId="0" applyAlignment="1" applyFont="1">
      <alignment horizontal="left" readingOrder="0" vertical="center"/>
    </xf>
    <xf borderId="0" fillId="0" fontId="15" numFmtId="0" xfId="0" applyAlignment="1" applyFont="1">
      <alignment horizontal="left" readingOrder="0" vertical="center"/>
    </xf>
    <xf borderId="24" fillId="0" fontId="15" numFmtId="0" xfId="0" applyAlignment="1" applyBorder="1" applyFont="1">
      <alignment horizontal="center" vertical="top"/>
    </xf>
    <xf borderId="0" fillId="0" fontId="16" numFmtId="0" xfId="0" applyFont="1"/>
    <xf borderId="25" fillId="0" fontId="17" numFmtId="0" xfId="0" applyAlignment="1" applyBorder="1" applyFont="1">
      <alignment horizontal="center" readingOrder="0" vertical="center"/>
    </xf>
    <xf borderId="7" fillId="0" fontId="17" numFmtId="0" xfId="0" applyAlignment="1" applyBorder="1" applyFont="1">
      <alignment horizontal="center" readingOrder="0" vertical="center"/>
    </xf>
    <xf borderId="7" fillId="0" fontId="18" numFmtId="0" xfId="0" applyAlignment="1" applyBorder="1" applyFont="1">
      <alignment horizontal="center" vertical="center"/>
    </xf>
    <xf borderId="7" fillId="11" fontId="19" numFmtId="0" xfId="0" applyAlignment="1" applyBorder="1" applyFont="1">
      <alignment horizontal="center" readingOrder="0" vertical="center"/>
    </xf>
    <xf borderId="7" fillId="11" fontId="19" numFmtId="0" xfId="0" applyAlignment="1" applyBorder="1" applyFont="1">
      <alignment horizontal="center" vertical="center"/>
    </xf>
    <xf borderId="7" fillId="11" fontId="2" numFmtId="0" xfId="0" applyAlignment="1" applyBorder="1" applyFont="1">
      <alignment readingOrder="0"/>
    </xf>
    <xf borderId="7" fillId="11" fontId="1" numFmtId="0" xfId="0" applyAlignment="1" applyBorder="1" applyFont="1">
      <alignment vertical="bottom"/>
    </xf>
    <xf borderId="7" fillId="11" fontId="20" numFmtId="0" xfId="0" applyAlignment="1" applyBorder="1" applyFont="1">
      <alignment horizontal="left" readingOrder="0" vertical="center"/>
    </xf>
    <xf borderId="26" fillId="11" fontId="21" numFmtId="0" xfId="0" applyAlignment="1" applyBorder="1" applyFont="1">
      <alignment horizontal="left" readingOrder="0" vertical="center"/>
    </xf>
    <xf borderId="0" fillId="0" fontId="21" numFmtId="0" xfId="0" applyAlignment="1" applyFont="1">
      <alignment vertical="bottom"/>
    </xf>
    <xf borderId="1" fillId="0" fontId="5" numFmtId="0" xfId="0" applyBorder="1" applyFont="1"/>
    <xf borderId="0" fillId="11" fontId="19" numFmtId="0" xfId="0" applyAlignment="1" applyFont="1">
      <alignment horizontal="center" vertical="center"/>
    </xf>
    <xf borderId="0" fillId="11" fontId="20" numFmtId="0" xfId="0" applyAlignment="1" applyFont="1">
      <alignment horizontal="left" vertical="center"/>
    </xf>
    <xf borderId="27" fillId="11" fontId="21" numFmtId="0" xfId="0" applyAlignment="1" applyBorder="1" applyFont="1">
      <alignment horizontal="left" readingOrder="0" vertical="center"/>
    </xf>
    <xf borderId="0" fillId="0" fontId="19" numFmtId="0" xfId="0" applyAlignment="1" applyFont="1">
      <alignment horizontal="center" readingOrder="0" vertical="center"/>
    </xf>
    <xf borderId="0" fillId="0" fontId="2" numFmtId="0" xfId="0" applyAlignment="1" applyFont="1">
      <alignment horizontal="center"/>
    </xf>
    <xf borderId="0" fillId="0" fontId="2" numFmtId="0" xfId="0" applyFont="1"/>
    <xf borderId="0" fillId="0" fontId="22" numFmtId="0" xfId="0" applyAlignment="1" applyFont="1">
      <alignment horizontal="left" readingOrder="0" vertical="center"/>
    </xf>
    <xf borderId="27" fillId="0" fontId="21" numFmtId="0" xfId="0" applyAlignment="1" applyBorder="1" applyFont="1">
      <alignment horizontal="left" vertical="center"/>
    </xf>
    <xf borderId="0" fillId="0" fontId="23" numFmtId="0" xfId="0" applyAlignment="1" applyFont="1">
      <alignment horizontal="center" readingOrder="0" vertical="center"/>
    </xf>
    <xf borderId="0" fillId="0" fontId="19" numFmtId="0" xfId="0" applyAlignment="1" applyFont="1">
      <alignment horizontal="center"/>
    </xf>
    <xf borderId="0" fillId="0" fontId="19" numFmtId="0" xfId="0" applyFont="1"/>
    <xf borderId="28" fillId="0" fontId="5" numFmtId="0" xfId="0" applyBorder="1" applyFont="1"/>
    <xf borderId="29" fillId="0" fontId="5" numFmtId="0" xfId="0" applyBorder="1" applyFont="1"/>
    <xf borderId="29" fillId="0" fontId="19" numFmtId="0" xfId="0" applyAlignment="1" applyBorder="1" applyFont="1">
      <alignment horizontal="center" readingOrder="0" vertical="center"/>
    </xf>
    <xf borderId="29" fillId="0" fontId="19" numFmtId="0" xfId="0" applyAlignment="1" applyBorder="1" applyFont="1">
      <alignment horizontal="center"/>
    </xf>
    <xf borderId="29" fillId="0" fontId="19" numFmtId="0" xfId="0" applyBorder="1" applyFont="1"/>
    <xf borderId="29" fillId="0" fontId="22" numFmtId="0" xfId="0" applyAlignment="1" applyBorder="1" applyFont="1">
      <alignment horizontal="left" readingOrder="0" vertical="center"/>
    </xf>
    <xf borderId="30" fillId="0" fontId="21" numFmtId="0" xfId="0" applyAlignment="1" applyBorder="1" applyFont="1">
      <alignment horizontal="left" vertical="center"/>
    </xf>
    <xf borderId="1" fillId="0" fontId="24" numFmtId="0" xfId="0" applyAlignment="1" applyBorder="1" applyFont="1">
      <alignment horizontal="center" readingOrder="0" vertical="center"/>
    </xf>
    <xf borderId="0" fillId="0" fontId="24" numFmtId="0" xfId="0" applyAlignment="1" applyFont="1">
      <alignment horizontal="center" readingOrder="0" vertical="center"/>
    </xf>
    <xf borderId="0" fillId="19" fontId="25" numFmtId="0" xfId="0" applyAlignment="1" applyFill="1" applyFont="1">
      <alignment horizontal="center" vertical="center"/>
    </xf>
    <xf borderId="0" fillId="0" fontId="19" numFmtId="0" xfId="0" applyAlignment="1" applyFont="1">
      <alignment horizontal="center" vertical="center"/>
    </xf>
    <xf borderId="27" fillId="9" fontId="21" numFmtId="0" xfId="0" applyAlignment="1" applyBorder="1" applyFont="1">
      <alignment horizontal="left" readingOrder="0" vertical="center"/>
    </xf>
    <xf borderId="0" fillId="20" fontId="26" numFmtId="0" xfId="0" applyAlignment="1" applyFill="1" applyFont="1">
      <alignment horizontal="center" vertical="center"/>
    </xf>
    <xf borderId="0" fillId="20" fontId="1" numFmtId="0" xfId="0" applyAlignment="1" applyFont="1">
      <alignment vertical="bottom"/>
    </xf>
    <xf borderId="0" fillId="20" fontId="20" numFmtId="0" xfId="0" applyAlignment="1" applyFont="1">
      <alignment horizontal="left" vertical="center"/>
    </xf>
    <xf borderId="27" fillId="20" fontId="21" numFmtId="0" xfId="0" applyAlignment="1" applyBorder="1" applyFont="1">
      <alignment horizontal="left" vertical="center"/>
    </xf>
    <xf borderId="0" fillId="0" fontId="1" numFmtId="0" xfId="0" applyAlignment="1" applyFont="1">
      <alignment vertical="bottom"/>
    </xf>
    <xf borderId="0" fillId="0" fontId="20" numFmtId="0" xfId="0" applyAlignment="1" applyFont="1">
      <alignment horizontal="left" vertical="center"/>
    </xf>
    <xf borderId="27" fillId="0" fontId="21" numFmtId="0" xfId="0" applyAlignment="1" applyBorder="1" applyFont="1">
      <alignment horizontal="left" readingOrder="0" vertical="center"/>
    </xf>
    <xf borderId="25" fillId="0" fontId="24" numFmtId="0" xfId="0" applyAlignment="1" applyBorder="1" applyFont="1">
      <alignment horizontal="center" readingOrder="0" vertical="center"/>
    </xf>
    <xf borderId="7" fillId="0" fontId="24" numFmtId="0" xfId="0" applyAlignment="1" applyBorder="1" applyFont="1">
      <alignment horizontal="center" readingOrder="0" vertical="center"/>
    </xf>
    <xf borderId="7" fillId="0" fontId="19" numFmtId="0" xfId="0" applyAlignment="1" applyBorder="1" applyFont="1">
      <alignment horizontal="center" readingOrder="0" vertical="center"/>
    </xf>
    <xf borderId="7" fillId="0" fontId="19" numFmtId="0" xfId="0" applyAlignment="1" applyBorder="1" applyFont="1">
      <alignment horizontal="center"/>
    </xf>
    <xf borderId="7" fillId="0" fontId="19" numFmtId="0" xfId="0" applyBorder="1" applyFont="1"/>
    <xf borderId="7" fillId="0" fontId="22" numFmtId="0" xfId="0" applyAlignment="1" applyBorder="1" applyFont="1">
      <alignment horizontal="left" readingOrder="0" vertical="center"/>
    </xf>
    <xf borderId="26" fillId="0" fontId="21" numFmtId="0" xfId="0" applyAlignment="1" applyBorder="1" applyFont="1">
      <alignment horizontal="left" vertical="center"/>
    </xf>
    <xf borderId="0" fillId="0" fontId="23" numFmtId="0" xfId="0" applyAlignment="1" applyFont="1">
      <alignment horizontal="center" readingOrder="0"/>
    </xf>
    <xf borderId="0" fillId="2" fontId="19" numFmtId="0" xfId="0" applyAlignment="1" applyFont="1">
      <alignment horizontal="center" vertical="center"/>
    </xf>
    <xf borderId="0" fillId="2" fontId="1" numFmtId="0" xfId="0" applyAlignment="1" applyFont="1">
      <alignment vertical="bottom"/>
    </xf>
    <xf borderId="0" fillId="2" fontId="20" numFmtId="0" xfId="0" applyAlignment="1" applyFont="1">
      <alignment horizontal="left" vertical="center"/>
    </xf>
    <xf borderId="27" fillId="2" fontId="21" numFmtId="0" xfId="0" applyAlignment="1" applyBorder="1" applyFont="1">
      <alignment horizontal="left" readingOrder="0" vertical="center"/>
    </xf>
    <xf borderId="0" fillId="7" fontId="19" numFmtId="0" xfId="0" applyAlignment="1" applyFont="1">
      <alignment horizontal="center" vertical="center"/>
    </xf>
    <xf borderId="0" fillId="7" fontId="20" numFmtId="0" xfId="0" applyAlignment="1" applyFont="1">
      <alignment horizontal="left" vertical="center"/>
    </xf>
    <xf borderId="27" fillId="7" fontId="21" numFmtId="0" xfId="0" applyAlignment="1" applyBorder="1" applyFont="1">
      <alignment horizontal="left" readingOrder="0" vertical="center"/>
    </xf>
    <xf borderId="0" fillId="7" fontId="19" numFmtId="0" xfId="0" applyAlignment="1" applyFont="1">
      <alignment horizontal="center" readingOrder="0" vertical="center"/>
    </xf>
    <xf borderId="29" fillId="0" fontId="19" numFmtId="0" xfId="0" applyAlignment="1" applyBorder="1" applyFont="1">
      <alignment horizontal="center" vertical="center"/>
    </xf>
    <xf borderId="30" fillId="9" fontId="21" numFmtId="0" xfId="0" applyAlignment="1" applyBorder="1" applyFont="1">
      <alignment horizontal="left" readingOrder="0" vertical="center"/>
    </xf>
    <xf borderId="25" fillId="0" fontId="27" numFmtId="0" xfId="0" applyAlignment="1" applyBorder="1" applyFont="1">
      <alignment horizontal="center" readingOrder="0" vertical="center"/>
    </xf>
    <xf borderId="7" fillId="0" fontId="2" numFmtId="0" xfId="0" applyBorder="1" applyFont="1"/>
    <xf borderId="0" fillId="7" fontId="20" numFmtId="0" xfId="0" applyAlignment="1" applyFont="1">
      <alignment horizontal="left" readingOrder="0" vertical="center"/>
    </xf>
    <xf borderId="27" fillId="7" fontId="28" numFmtId="0" xfId="0" applyAlignment="1" applyBorder="1" applyFont="1">
      <alignment horizontal="left" readingOrder="0" vertical="center"/>
    </xf>
    <xf borderId="29" fillId="0" fontId="2" numFmtId="0" xfId="0" applyAlignment="1" applyBorder="1" applyFont="1">
      <alignment horizontal="center" vertical="center"/>
    </xf>
    <xf borderId="7" fillId="0" fontId="21" numFmtId="0" xfId="0" applyAlignment="1" applyBorder="1" applyFont="1">
      <alignment horizontal="left" vertical="center"/>
    </xf>
    <xf borderId="0" fillId="0" fontId="21" numFmtId="0" xfId="0" applyAlignment="1" applyFont="1">
      <alignment horizontal="left" vertical="center"/>
    </xf>
    <xf borderId="0" fillId="11" fontId="21" numFmtId="0" xfId="0" applyAlignment="1" applyFont="1">
      <alignment horizontal="left" readingOrder="0" vertical="center"/>
    </xf>
    <xf borderId="0" fillId="2" fontId="21" numFmtId="0" xfId="0" applyAlignment="1" applyFont="1">
      <alignment horizontal="left" readingOrder="0" vertical="center"/>
    </xf>
    <xf borderId="29" fillId="0" fontId="2" numFmtId="0" xfId="0" applyAlignment="1" applyBorder="1" applyFont="1">
      <alignment horizontal="center"/>
    </xf>
    <xf borderId="29" fillId="0" fontId="2" numFmtId="0" xfId="0" applyBorder="1" applyFont="1"/>
    <xf borderId="29" fillId="0" fontId="21" numFmtId="0" xfId="0" applyAlignment="1" applyBorder="1" applyFont="1">
      <alignment horizontal="left" vertical="center"/>
    </xf>
    <xf borderId="7" fillId="0" fontId="29" numFmtId="0" xfId="0" applyAlignment="1" applyBorder="1" applyFont="1">
      <alignment horizontal="center" readingOrder="0" vertical="center"/>
    </xf>
    <xf borderId="7" fillId="19" fontId="25" numFmtId="0" xfId="0" applyAlignment="1" applyBorder="1" applyFont="1">
      <alignment horizontal="center" vertical="center"/>
    </xf>
    <xf borderId="7" fillId="7" fontId="19" numFmtId="0" xfId="0" applyAlignment="1" applyBorder="1" applyFont="1">
      <alignment horizontal="center" readingOrder="0" vertical="center"/>
    </xf>
    <xf borderId="7" fillId="7" fontId="20" numFmtId="0" xfId="0" applyAlignment="1" applyBorder="1" applyFont="1">
      <alignment horizontal="left" readingOrder="0" vertical="center"/>
    </xf>
    <xf borderId="26" fillId="7" fontId="28" numFmtId="0" xfId="0" applyAlignment="1" applyBorder="1" applyFont="1">
      <alignment horizontal="left" readingOrder="0" vertical="center"/>
    </xf>
    <xf borderId="0" fillId="8" fontId="19" numFmtId="0" xfId="0" applyAlignment="1" applyFont="1">
      <alignment horizontal="center" vertical="center"/>
    </xf>
    <xf borderId="0" fillId="8" fontId="2" numFmtId="0" xfId="0" applyAlignment="1" applyFont="1">
      <alignment readingOrder="0"/>
    </xf>
    <xf borderId="0" fillId="8" fontId="1" numFmtId="0" xfId="0" applyAlignment="1" applyFont="1">
      <alignment vertical="bottom"/>
    </xf>
    <xf borderId="0" fillId="8" fontId="20" numFmtId="0" xfId="0" applyAlignment="1" applyFont="1">
      <alignment horizontal="left" vertical="center"/>
    </xf>
    <xf borderId="27" fillId="8" fontId="21" numFmtId="0" xfId="0" applyAlignment="1" applyBorder="1" applyFont="1">
      <alignment horizontal="left" readingOrder="0" vertical="center"/>
    </xf>
    <xf borderId="0" fillId="0" fontId="18" numFmtId="0" xfId="0" applyAlignment="1" applyFont="1">
      <alignment horizontal="center" vertical="center"/>
    </xf>
    <xf borderId="7" fillId="0" fontId="27" numFmtId="0" xfId="0" applyAlignment="1" applyBorder="1" applyFont="1">
      <alignment horizontal="center" readingOrder="0" vertical="center"/>
    </xf>
    <xf borderId="7" fillId="0" fontId="2" numFmtId="0" xfId="0" applyAlignment="1" applyBorder="1" applyFont="1">
      <alignment horizontal="center"/>
    </xf>
    <xf borderId="27" fillId="0" fontId="5" numFmtId="0" xfId="0" applyBorder="1" applyFont="1"/>
    <xf borderId="7" fillId="0" fontId="19" numFmtId="0" xfId="0" applyAlignment="1" applyBorder="1" applyFont="1">
      <alignment horizontal="center" vertical="center"/>
    </xf>
    <xf borderId="7" fillId="0" fontId="1" numFmtId="0" xfId="0" applyAlignment="1" applyBorder="1" applyFont="1">
      <alignment vertical="bottom"/>
    </xf>
    <xf borderId="7" fillId="0" fontId="20" numFmtId="0" xfId="0" applyAlignment="1" applyBorder="1" applyFont="1">
      <alignment horizontal="left" vertical="center"/>
    </xf>
    <xf borderId="0" fillId="5" fontId="19" numFmtId="0" xfId="0" applyAlignment="1" applyFont="1">
      <alignment horizontal="center" vertical="center"/>
    </xf>
    <xf borderId="0" fillId="5" fontId="20" numFmtId="0" xfId="0" applyAlignment="1" applyFont="1">
      <alignment horizontal="left" vertical="center"/>
    </xf>
    <xf borderId="27" fillId="5" fontId="21" numFmtId="0" xfId="0" applyAlignment="1" applyBorder="1" applyFont="1">
      <alignment horizontal="left" readingOrder="0" vertical="center"/>
    </xf>
    <xf borderId="29" fillId="9" fontId="26" numFmtId="0" xfId="0" applyAlignment="1" applyBorder="1" applyFont="1">
      <alignment horizontal="center" readingOrder="0" vertical="center"/>
    </xf>
    <xf borderId="29" fillId="9" fontId="26" numFmtId="0" xfId="0" applyAlignment="1" applyBorder="1" applyFont="1">
      <alignment horizontal="center" vertical="center"/>
    </xf>
    <xf borderId="29" fillId="9" fontId="1" numFmtId="0" xfId="0" applyAlignment="1" applyBorder="1" applyFont="1">
      <alignment vertical="bottom"/>
    </xf>
    <xf borderId="29" fillId="9" fontId="20" numFmtId="0" xfId="0" applyAlignment="1" applyBorder="1" applyFont="1">
      <alignment horizontal="left" readingOrder="0" vertical="center"/>
    </xf>
    <xf borderId="7" fillId="0" fontId="29" numFmtId="0" xfId="0" applyAlignment="1" applyBorder="1" applyFont="1">
      <alignment horizontal="center" readingOrder="0" shrinkToFit="0" vertical="center" wrapText="0"/>
    </xf>
    <xf borderId="29" fillId="9" fontId="20" numFmtId="0" xfId="0" applyAlignment="1" applyBorder="1" applyFont="1">
      <alignment horizontal="left" vertical="center"/>
    </xf>
    <xf borderId="30" fillId="9" fontId="30" numFmtId="0" xfId="0" applyAlignment="1" applyBorder="1" applyFont="1">
      <alignment horizontal="left" vertical="center"/>
    </xf>
    <xf borderId="25" fillId="18" fontId="31" numFmtId="0" xfId="0" applyAlignment="1" applyBorder="1" applyFont="1">
      <alignment horizontal="center" readingOrder="0" vertical="center"/>
    </xf>
    <xf borderId="7" fillId="0" fontId="5" numFmtId="0" xfId="0" applyBorder="1" applyFont="1"/>
    <xf borderId="0" fillId="18" fontId="32" numFmtId="0" xfId="0" applyAlignment="1" applyFont="1">
      <alignment horizontal="left" vertical="center"/>
    </xf>
    <xf borderId="26" fillId="18" fontId="33" numFmtId="0" xfId="0" applyAlignment="1" applyBorder="1" applyFont="1">
      <alignment horizontal="left" vertical="center"/>
    </xf>
    <xf borderId="0" fillId="21" fontId="1" numFmtId="0" xfId="0" applyAlignment="1" applyFill="1" applyFont="1">
      <alignment vertical="bottom"/>
    </xf>
    <xf borderId="7" fillId="0" fontId="22" numFmtId="0" xfId="0" applyAlignment="1" applyBorder="1" applyFont="1">
      <alignment horizontal="left" readingOrder="0" shrinkToFit="0" vertical="center" wrapText="0"/>
    </xf>
    <xf borderId="0" fillId="0" fontId="34" numFmtId="0" xfId="0" applyAlignment="1" applyFont="1">
      <alignment horizontal="center" readingOrder="0" vertical="center"/>
    </xf>
    <xf borderId="0" fillId="0" fontId="2" numFmtId="0" xfId="0" applyAlignment="1" applyFont="1">
      <alignment horizontal="center" readingOrder="0" vertical="center"/>
    </xf>
    <xf borderId="0" fillId="4" fontId="19" numFmtId="0" xfId="0" applyAlignment="1" applyFont="1">
      <alignment horizontal="center" readingOrder="0" vertical="center"/>
    </xf>
    <xf borderId="0" fillId="4" fontId="20" numFmtId="0" xfId="0" applyAlignment="1" applyFont="1">
      <alignment horizontal="left" readingOrder="0" vertical="center"/>
    </xf>
    <xf borderId="27" fillId="4" fontId="21" numFmtId="0" xfId="0" applyAlignment="1" applyBorder="1" applyFont="1">
      <alignment horizontal="left" readingOrder="0" vertical="center"/>
    </xf>
    <xf borderId="0" fillId="9" fontId="26" numFmtId="0" xfId="0" applyAlignment="1" applyFont="1">
      <alignment horizontal="center" vertical="center"/>
    </xf>
    <xf borderId="0" fillId="9" fontId="1" numFmtId="0" xfId="0" applyAlignment="1" applyFont="1">
      <alignment vertical="bottom"/>
    </xf>
    <xf borderId="0" fillId="9" fontId="20" numFmtId="0" xfId="0" applyAlignment="1" applyFont="1">
      <alignment horizontal="left" vertical="center"/>
    </xf>
    <xf borderId="27" fillId="9" fontId="30" numFmtId="0" xfId="0" applyAlignment="1" applyBorder="1" applyFont="1">
      <alignment horizontal="left" vertical="center"/>
    </xf>
    <xf borderId="0" fillId="4" fontId="19" numFmtId="0" xfId="0" applyAlignment="1" applyFont="1">
      <alignment horizontal="center" vertical="center"/>
    </xf>
    <xf borderId="0" fillId="4" fontId="20" numFmtId="0" xfId="0" applyAlignment="1" applyFont="1">
      <alignment horizontal="left" vertical="center"/>
    </xf>
    <xf borderId="0" fillId="0" fontId="2" numFmtId="0" xfId="0" applyAlignment="1" applyFont="1">
      <alignment horizontal="center" vertical="center"/>
    </xf>
    <xf borderId="1" fillId="0" fontId="17" numFmtId="0" xfId="0" applyAlignment="1" applyBorder="1" applyFont="1">
      <alignment horizontal="center" readingOrder="0" vertical="center"/>
    </xf>
    <xf borderId="0" fillId="0" fontId="17" numFmtId="0" xfId="0" applyAlignment="1" applyFont="1">
      <alignment horizontal="center" readingOrder="0" vertical="center"/>
    </xf>
    <xf borderId="29" fillId="0" fontId="23" numFmtId="0" xfId="0" applyAlignment="1" applyBorder="1" applyFont="1">
      <alignment horizontal="center" readingOrder="0"/>
    </xf>
    <xf borderId="25" fillId="21" fontId="27" numFmtId="0" xfId="0" applyAlignment="1" applyBorder="1" applyFont="1">
      <alignment horizontal="center" readingOrder="0" vertical="center"/>
    </xf>
    <xf borderId="7" fillId="0" fontId="24" numFmtId="0" xfId="0" applyAlignment="1" applyBorder="1" applyFont="1">
      <alignment horizontal="center" readingOrder="0" vertical="center"/>
    </xf>
    <xf borderId="0" fillId="0" fontId="22" numFmtId="0" xfId="0" applyAlignment="1" applyFont="1">
      <alignment horizontal="left" vertical="center"/>
    </xf>
    <xf borderId="7" fillId="0" fontId="34" numFmtId="0" xfId="0" applyAlignment="1" applyBorder="1" applyFont="1">
      <alignment horizontal="center" readingOrder="0" vertical="center"/>
    </xf>
    <xf borderId="7" fillId="0" fontId="2" numFmtId="0" xfId="0" applyAlignment="1" applyBorder="1" applyFont="1">
      <alignment horizontal="center" readingOrder="0" vertical="center"/>
    </xf>
    <xf borderId="29" fillId="0" fontId="1" numFmtId="0" xfId="0" applyAlignment="1" applyBorder="1" applyFont="1">
      <alignment vertical="bottom"/>
    </xf>
    <xf borderId="29" fillId="0" fontId="20" numFmtId="0" xfId="0" applyAlignment="1" applyBorder="1" applyFont="1">
      <alignment horizontal="left" vertical="center"/>
    </xf>
    <xf borderId="7" fillId="0" fontId="23" numFmtId="0" xfId="0" applyAlignment="1" applyBorder="1" applyFont="1">
      <alignment horizontal="center" readingOrder="0"/>
    </xf>
    <xf borderId="25" fillId="0" fontId="17" numFmtId="0" xfId="0" applyAlignment="1" applyBorder="1" applyFont="1">
      <alignment horizontal="center" readingOrder="0" vertical="center"/>
    </xf>
    <xf borderId="7" fillId="0" fontId="17" numFmtId="0" xfId="0" applyAlignment="1" applyBorder="1" applyFont="1">
      <alignment horizontal="center" readingOrder="0" vertical="center"/>
    </xf>
    <xf borderId="26" fillId="9" fontId="21" numFmtId="0" xfId="0" applyAlignment="1" applyBorder="1" applyFont="1">
      <alignment horizontal="left" readingOrder="0" vertical="center"/>
    </xf>
    <xf borderId="0" fillId="0" fontId="19" numFmtId="0" xfId="0" applyAlignment="1" applyFont="1">
      <alignment horizontal="center" vertical="center"/>
    </xf>
    <xf borderId="0" fillId="0" fontId="1" numFmtId="0" xfId="0" applyAlignment="1" applyFont="1">
      <alignment vertical="bottom"/>
    </xf>
    <xf borderId="0" fillId="0" fontId="20" numFmtId="0" xfId="0" applyAlignment="1" applyFont="1">
      <alignment horizontal="left" vertical="center"/>
    </xf>
    <xf borderId="0" fillId="6" fontId="19" numFmtId="0" xfId="0" applyAlignment="1" applyFont="1">
      <alignment horizontal="center" vertical="center"/>
    </xf>
    <xf borderId="0" fillId="6" fontId="2" numFmtId="0" xfId="0" applyAlignment="1" applyFont="1">
      <alignment horizontal="center" readingOrder="0" vertical="center"/>
    </xf>
    <xf borderId="0" fillId="6" fontId="1" numFmtId="0" xfId="0" applyAlignment="1" applyFont="1">
      <alignment horizontal="center" vertical="center"/>
    </xf>
    <xf borderId="0" fillId="6" fontId="22" numFmtId="0" xfId="0" applyAlignment="1" applyFont="1">
      <alignment horizontal="left" vertical="center"/>
    </xf>
    <xf borderId="27" fillId="6" fontId="28" numFmtId="0" xfId="0" applyAlignment="1" applyBorder="1" applyFont="1">
      <alignment horizontal="left" readingOrder="0" vertical="center"/>
    </xf>
    <xf borderId="0" fillId="18" fontId="19" numFmtId="0" xfId="0" applyAlignment="1" applyFont="1">
      <alignment horizontal="center" readingOrder="0" vertical="center"/>
    </xf>
    <xf borderId="0" fillId="18" fontId="19" numFmtId="0" xfId="0" applyAlignment="1" applyFont="1">
      <alignment horizontal="center"/>
    </xf>
    <xf borderId="0" fillId="18" fontId="19" numFmtId="0" xfId="0" applyFont="1"/>
    <xf borderId="0" fillId="18" fontId="22" numFmtId="0" xfId="0" applyAlignment="1" applyFont="1">
      <alignment horizontal="left" readingOrder="0" vertical="center"/>
    </xf>
    <xf borderId="27" fillId="18" fontId="21" numFmtId="0" xfId="0" applyAlignment="1" applyBorder="1" applyFont="1">
      <alignment horizontal="left" vertical="center"/>
    </xf>
    <xf borderId="25" fillId="18" fontId="24" numFmtId="0" xfId="0" applyAlignment="1" applyBorder="1" applyFont="1">
      <alignment horizontal="center" readingOrder="0" vertical="center"/>
    </xf>
    <xf borderId="7" fillId="18" fontId="17" numFmtId="0" xfId="0" applyAlignment="1" applyBorder="1" applyFont="1">
      <alignment horizontal="center" readingOrder="0" vertical="center"/>
    </xf>
    <xf borderId="29" fillId="0" fontId="22" numFmtId="0" xfId="0" applyAlignment="1" applyBorder="1" applyFont="1">
      <alignment horizontal="left" readingOrder="0" shrinkToFit="0" vertical="center" wrapText="0"/>
    </xf>
    <xf borderId="0" fillId="0" fontId="34" numFmtId="0" xfId="0" applyAlignment="1" applyFont="1">
      <alignment horizontal="left" readingOrder="0" vertical="center"/>
    </xf>
    <xf borderId="29" fillId="0" fontId="2" numFmtId="0" xfId="0" applyAlignment="1" applyBorder="1" applyFont="1">
      <alignment readingOrder="0"/>
    </xf>
    <xf borderId="30" fillId="0" fontId="21" numFmtId="0" xfId="0" applyAlignment="1" applyBorder="1" applyFont="1">
      <alignment horizontal="left" readingOrder="0" vertical="center"/>
    </xf>
    <xf borderId="0" fillId="7" fontId="21" numFmtId="0" xfId="0" applyAlignment="1" applyFont="1">
      <alignment horizontal="left" readingOrder="0" vertical="center"/>
    </xf>
    <xf borderId="7" fillId="0" fontId="22" numFmtId="0" xfId="0" applyAlignment="1" applyBorder="1" applyFont="1">
      <alignment horizontal="center" readingOrder="0"/>
    </xf>
    <xf borderId="7" fillId="0" fontId="2" numFmtId="0" xfId="0" applyAlignment="1" applyBorder="1" applyFont="1">
      <alignment horizontal="center" readingOrder="0"/>
    </xf>
    <xf borderId="0" fillId="0" fontId="22" numFmtId="0" xfId="0" applyAlignment="1" applyFont="1">
      <alignment horizontal="center" readingOrder="0"/>
    </xf>
    <xf borderId="0" fillId="0" fontId="2" numFmtId="0" xfId="0" applyAlignment="1" applyFont="1">
      <alignment horizontal="center" readingOrder="0"/>
    </xf>
    <xf borderId="0" fillId="0" fontId="34" numFmtId="0" xfId="0" applyAlignment="1" applyFont="1">
      <alignment horizontal="center" readingOrder="0"/>
    </xf>
    <xf borderId="0" fillId="0" fontId="20" numFmtId="0" xfId="0" applyAlignment="1" applyFont="1">
      <alignment horizontal="center" readingOrder="0"/>
    </xf>
    <xf borderId="29" fillId="0" fontId="34" numFmtId="0" xfId="0" applyAlignment="1" applyBorder="1" applyFont="1">
      <alignment horizontal="center" readingOrder="0"/>
    </xf>
    <xf borderId="29" fillId="0" fontId="2" numFmtId="0" xfId="0" applyAlignment="1" applyBorder="1" applyFont="1">
      <alignment horizontal="center" readingOrder="0"/>
    </xf>
    <xf borderId="7" fillId="0" fontId="2" numFmtId="0" xfId="0" applyAlignment="1" applyBorder="1" applyFont="1">
      <alignment horizontal="center" vertical="center"/>
    </xf>
    <xf borderId="0" fillId="0" fontId="22" numFmtId="0" xfId="0" applyAlignment="1" applyFont="1">
      <alignment horizontal="left" readingOrder="0" shrinkToFit="0" vertical="center" wrapText="0"/>
    </xf>
    <xf borderId="29" fillId="0" fontId="34" numFmtId="0" xfId="0" applyAlignment="1" applyBorder="1" applyFont="1">
      <alignment horizontal="center" readingOrder="0" vertical="center"/>
    </xf>
    <xf borderId="29" fillId="0" fontId="2" numFmtId="0" xfId="0" applyAlignment="1" applyBorder="1" applyFont="1">
      <alignment horizontal="center" readingOrder="0" vertical="center"/>
    </xf>
    <xf borderId="7" fillId="0" fontId="35" numFmtId="0" xfId="0" applyAlignment="1" applyBorder="1" applyFont="1">
      <alignment horizontal="center" readingOrder="0" shrinkToFit="0" vertical="center" wrapText="0"/>
    </xf>
    <xf borderId="0" fillId="18" fontId="2" numFmtId="0" xfId="0" applyAlignment="1" applyFont="1">
      <alignment horizontal="center" vertical="center"/>
    </xf>
    <xf borderId="25" fillId="0" fontId="36" numFmtId="0" xfId="0" applyAlignment="1" applyBorder="1" applyFont="1">
      <alignment horizontal="center" readingOrder="0" vertical="center"/>
    </xf>
    <xf borderId="0" fillId="0" fontId="20" numFmtId="0" xfId="0" applyAlignment="1" applyFont="1">
      <alignment horizontal="left" readingOrder="0" vertical="center"/>
    </xf>
    <xf borderId="29" fillId="4" fontId="19" numFmtId="0" xfId="0" applyAlignment="1" applyBorder="1" applyFont="1">
      <alignment horizontal="center" vertical="center"/>
    </xf>
    <xf borderId="29" fillId="4" fontId="2" numFmtId="0" xfId="0" applyAlignment="1" applyBorder="1" applyFont="1">
      <alignment readingOrder="0"/>
    </xf>
    <xf borderId="29" fillId="4" fontId="1" numFmtId="0" xfId="0" applyAlignment="1" applyBorder="1" applyFont="1">
      <alignment vertical="bottom"/>
    </xf>
    <xf borderId="29" fillId="4" fontId="20" numFmtId="0" xfId="0" applyAlignment="1" applyBorder="1" applyFont="1">
      <alignment horizontal="left" vertical="center"/>
    </xf>
    <xf borderId="30" fillId="4" fontId="21" numFmtId="0" xfId="0" applyAlignment="1" applyBorder="1" applyFont="1">
      <alignment horizontal="left" readingOrder="0" vertical="center"/>
    </xf>
    <xf borderId="7" fillId="22" fontId="26" numFmtId="0" xfId="0" applyAlignment="1" applyBorder="1" applyFill="1" applyFont="1">
      <alignment horizontal="center" vertical="center"/>
    </xf>
    <xf borderId="7" fillId="22" fontId="1" numFmtId="0" xfId="0" applyAlignment="1" applyBorder="1" applyFont="1">
      <alignment vertical="bottom"/>
    </xf>
    <xf borderId="7" fillId="22" fontId="20" numFmtId="0" xfId="0" applyAlignment="1" applyBorder="1" applyFont="1">
      <alignment horizontal="left" vertical="center"/>
    </xf>
    <xf borderId="26" fillId="22" fontId="21" numFmtId="0" xfId="0" applyAlignment="1" applyBorder="1" applyFont="1">
      <alignment horizontal="left" vertical="center"/>
    </xf>
    <xf borderId="7" fillId="23" fontId="26" numFmtId="0" xfId="0" applyAlignment="1" applyBorder="1" applyFill="1" applyFont="1">
      <alignment horizontal="center" vertical="center"/>
    </xf>
    <xf borderId="7" fillId="23" fontId="1" numFmtId="0" xfId="0" applyAlignment="1" applyBorder="1" applyFont="1">
      <alignment vertical="bottom"/>
    </xf>
    <xf borderId="7" fillId="23" fontId="20" numFmtId="0" xfId="0" applyAlignment="1" applyBorder="1" applyFont="1">
      <alignment horizontal="left" vertical="center"/>
    </xf>
    <xf borderId="26" fillId="23" fontId="21" numFmtId="0" xfId="0" applyAlignment="1" applyBorder="1" applyFont="1">
      <alignment horizontal="left" vertical="center"/>
    </xf>
    <xf borderId="26" fillId="5" fontId="21" numFmtId="0" xfId="0" applyAlignment="1" applyBorder="1" applyFont="1">
      <alignment horizontal="left" readingOrder="0" vertical="center"/>
    </xf>
    <xf borderId="0" fillId="23" fontId="26" numFmtId="0" xfId="0" applyAlignment="1" applyFont="1">
      <alignment horizontal="center" vertical="center"/>
    </xf>
    <xf borderId="0" fillId="23" fontId="1" numFmtId="0" xfId="0" applyAlignment="1" applyFont="1">
      <alignment vertical="bottom"/>
    </xf>
    <xf borderId="0" fillId="23" fontId="20" numFmtId="0" xfId="0" applyAlignment="1" applyFont="1">
      <alignment horizontal="left" vertical="center"/>
    </xf>
    <xf borderId="27" fillId="23" fontId="21" numFmtId="0" xfId="0" applyAlignment="1" applyBorder="1" applyFont="1">
      <alignment horizontal="left" vertical="center"/>
    </xf>
    <xf borderId="7" fillId="18" fontId="24" numFmtId="0" xfId="0" applyAlignment="1" applyBorder="1" applyFont="1">
      <alignment horizontal="center" readingOrder="0" vertical="center"/>
    </xf>
    <xf borderId="0" fillId="3" fontId="19" numFmtId="0" xfId="0" applyAlignment="1" applyFont="1">
      <alignment horizontal="center" vertical="center"/>
    </xf>
    <xf borderId="0" fillId="3" fontId="2" numFmtId="0" xfId="0" applyAlignment="1" applyFont="1">
      <alignment readingOrder="0"/>
    </xf>
    <xf borderId="0" fillId="3" fontId="1" numFmtId="0" xfId="0" applyAlignment="1" applyFont="1">
      <alignment vertical="bottom"/>
    </xf>
    <xf borderId="0" fillId="3" fontId="20" numFmtId="0" xfId="0" applyAlignment="1" applyFont="1">
      <alignment horizontal="left" vertical="center"/>
    </xf>
    <xf borderId="27" fillId="3" fontId="21" numFmtId="0" xfId="0" applyAlignment="1" applyBorder="1" applyFont="1">
      <alignment horizontal="left" readingOrder="0" vertical="center"/>
    </xf>
    <xf borderId="7" fillId="8" fontId="19" numFmtId="0" xfId="0" applyAlignment="1" applyBorder="1" applyFont="1">
      <alignment horizontal="center" vertical="center"/>
    </xf>
    <xf borderId="7" fillId="8" fontId="2" numFmtId="0" xfId="0" applyAlignment="1" applyBorder="1" applyFont="1">
      <alignment readingOrder="0"/>
    </xf>
    <xf borderId="7" fillId="8" fontId="1" numFmtId="0" xfId="0" applyAlignment="1" applyBorder="1" applyFont="1">
      <alignment vertical="bottom"/>
    </xf>
    <xf borderId="7" fillId="8" fontId="20" numFmtId="0" xfId="0" applyAlignment="1" applyBorder="1" applyFont="1">
      <alignment horizontal="left" vertical="center"/>
    </xf>
    <xf borderId="26" fillId="8" fontId="21" numFmtId="0" xfId="0" applyAlignment="1" applyBorder="1" applyFont="1">
      <alignment horizontal="left" readingOrder="0" vertical="center"/>
    </xf>
    <xf borderId="0" fillId="20" fontId="1" numFmtId="0" xfId="0" applyAlignment="1" applyFont="1">
      <alignment horizontal="center" vertical="center"/>
    </xf>
    <xf borderId="29" fillId="2" fontId="19" numFmtId="0" xfId="0" applyAlignment="1" applyBorder="1" applyFont="1">
      <alignment horizontal="center" vertical="center"/>
    </xf>
    <xf borderId="29" fillId="2" fontId="2" numFmtId="0" xfId="0" applyAlignment="1" applyBorder="1" applyFont="1">
      <alignment horizontal="center" readingOrder="0" vertical="center"/>
    </xf>
    <xf borderId="29" fillId="2" fontId="1" numFmtId="0" xfId="0" applyAlignment="1" applyBorder="1" applyFont="1">
      <alignment horizontal="center" vertical="center"/>
    </xf>
    <xf borderId="29" fillId="2" fontId="20" numFmtId="0" xfId="0" applyAlignment="1" applyBorder="1" applyFont="1">
      <alignment horizontal="left" vertical="center"/>
    </xf>
    <xf borderId="30" fillId="2" fontId="21" numFmtId="0" xfId="0" applyAlignment="1" applyBorder="1" applyFont="1">
      <alignment horizontal="left" readingOrder="0" vertical="center"/>
    </xf>
    <xf borderId="29" fillId="0" fontId="19" numFmtId="0" xfId="0" applyAlignment="1" applyBorder="1" applyFont="1">
      <alignment horizontal="center" vertical="center"/>
    </xf>
    <xf borderId="29" fillId="0" fontId="1" numFmtId="0" xfId="0" applyAlignment="1" applyBorder="1" applyFont="1">
      <alignment vertical="bottom"/>
    </xf>
    <xf borderId="29" fillId="0" fontId="20" numFmtId="0" xfId="0" applyAlignment="1" applyBorder="1" applyFont="1">
      <alignment horizontal="left" vertical="center"/>
    </xf>
    <xf borderId="29" fillId="2" fontId="2" numFmtId="0" xfId="0" applyAlignment="1" applyBorder="1" applyFont="1">
      <alignment readingOrder="0"/>
    </xf>
    <xf borderId="29" fillId="2" fontId="1" numFmtId="0" xfId="0" applyAlignment="1" applyBorder="1" applyFont="1">
      <alignment vertical="bottom"/>
    </xf>
    <xf borderId="29" fillId="11" fontId="19" numFmtId="0" xfId="0" applyAlignment="1" applyBorder="1" applyFont="1">
      <alignment horizontal="center" vertical="center"/>
    </xf>
    <xf borderId="29" fillId="11" fontId="2" numFmtId="0" xfId="0" applyAlignment="1" applyBorder="1" applyFont="1">
      <alignment readingOrder="0"/>
    </xf>
    <xf borderId="29" fillId="11" fontId="1" numFmtId="0" xfId="0" applyAlignment="1" applyBorder="1" applyFont="1">
      <alignment vertical="bottom"/>
    </xf>
    <xf borderId="29" fillId="11" fontId="20" numFmtId="0" xfId="0" applyAlignment="1" applyBorder="1" applyFont="1">
      <alignment horizontal="left" vertical="center"/>
    </xf>
    <xf borderId="30" fillId="11" fontId="21" numFmtId="0" xfId="0" applyAlignment="1" applyBorder="1" applyFont="1">
      <alignment horizontal="left" readingOrder="0" vertical="center"/>
    </xf>
    <xf borderId="0" fillId="2" fontId="19" numFmtId="0" xfId="0" applyAlignment="1" applyFont="1">
      <alignment horizontal="center" vertical="center"/>
    </xf>
    <xf borderId="0" fillId="2" fontId="20" numFmtId="0" xfId="0" applyAlignment="1" applyFont="1">
      <alignment horizontal="left" vertical="center"/>
    </xf>
    <xf borderId="27" fillId="2" fontId="28" numFmtId="0" xfId="0" applyAlignment="1" applyBorder="1" applyFont="1">
      <alignment horizontal="left" readingOrder="0" vertical="center"/>
    </xf>
    <xf borderId="0" fillId="4" fontId="26" numFmtId="0" xfId="0" applyAlignment="1" applyFont="1">
      <alignment horizontal="center" vertical="center"/>
    </xf>
    <xf borderId="0" fillId="4" fontId="20" numFmtId="0" xfId="0" applyAlignment="1" applyFont="1">
      <alignment horizontal="left" vertical="center"/>
    </xf>
    <xf borderId="27" fillId="4" fontId="28" numFmtId="0" xfId="0" applyAlignment="1" applyBorder="1" applyFont="1">
      <alignment horizontal="left" readingOrder="0" vertical="center"/>
    </xf>
    <xf borderId="7" fillId="0" fontId="29" numFmtId="0" xfId="0" applyAlignment="1" applyBorder="1" applyFont="1">
      <alignment horizontal="center" readingOrder="0" vertical="center"/>
    </xf>
    <xf borderId="29" fillId="10" fontId="19" numFmtId="0" xfId="0" applyAlignment="1" applyBorder="1" applyFont="1">
      <alignment horizontal="center" vertical="center"/>
    </xf>
    <xf borderId="29" fillId="10" fontId="2" numFmtId="0" xfId="0" applyAlignment="1" applyBorder="1" applyFont="1">
      <alignment readingOrder="0"/>
    </xf>
    <xf borderId="29" fillId="10" fontId="1" numFmtId="0" xfId="0" applyAlignment="1" applyBorder="1" applyFont="1">
      <alignment vertical="bottom"/>
    </xf>
    <xf borderId="29" fillId="10" fontId="20" numFmtId="0" xfId="0" applyAlignment="1" applyBorder="1" applyFont="1">
      <alignment horizontal="left" vertical="center"/>
    </xf>
    <xf borderId="30" fillId="10" fontId="28" numFmtId="0" xfId="0" applyAlignment="1" applyBorder="1" applyFont="1">
      <alignment horizontal="left" readingOrder="0" vertical="center"/>
    </xf>
    <xf borderId="7" fillId="5" fontId="19" numFmtId="0" xfId="0" applyAlignment="1" applyBorder="1" applyFont="1">
      <alignment horizontal="center" vertical="center"/>
    </xf>
    <xf borderId="7" fillId="5" fontId="2" numFmtId="0" xfId="0" applyAlignment="1" applyBorder="1" applyFont="1">
      <alignment readingOrder="0"/>
    </xf>
    <xf borderId="7" fillId="5" fontId="1" numFmtId="0" xfId="0" applyAlignment="1" applyBorder="1" applyFont="1">
      <alignment vertical="bottom"/>
    </xf>
    <xf borderId="7" fillId="5" fontId="20" numFmtId="0" xfId="0" applyAlignment="1" applyBorder="1" applyFont="1">
      <alignment horizontal="left" vertical="center"/>
    </xf>
    <xf borderId="0" fillId="7" fontId="1" numFmtId="0" xfId="0" applyAlignment="1" applyFont="1">
      <alignment readingOrder="0"/>
    </xf>
    <xf borderId="0" fillId="0" fontId="27" numFmtId="0" xfId="0" applyAlignment="1" applyFont="1">
      <alignment horizontal="center" readingOrder="0" vertical="center"/>
    </xf>
    <xf borderId="0" fillId="0" fontId="29" numFmtId="0" xfId="0" applyAlignment="1" applyFont="1">
      <alignment horizontal="center" readingOrder="0" vertical="center"/>
    </xf>
    <xf borderId="29" fillId="0" fontId="22" numFmtId="0" xfId="0" applyAlignment="1" applyBorder="1" applyFont="1">
      <alignment horizontal="center" readingOrder="0"/>
    </xf>
    <xf borderId="29" fillId="5" fontId="19" numFmtId="0" xfId="0" applyAlignment="1" applyBorder="1" applyFont="1">
      <alignment horizontal="center" vertical="center"/>
    </xf>
    <xf borderId="29" fillId="5" fontId="2" numFmtId="0" xfId="0" applyAlignment="1" applyBorder="1" applyFont="1">
      <alignment readingOrder="0"/>
    </xf>
    <xf borderId="29" fillId="5" fontId="1" numFmtId="0" xfId="0" applyAlignment="1" applyBorder="1" applyFont="1">
      <alignment vertical="bottom"/>
    </xf>
    <xf borderId="29" fillId="5" fontId="20" numFmtId="0" xfId="0" applyAlignment="1" applyBorder="1" applyFont="1">
      <alignment horizontal="left" vertical="center"/>
    </xf>
    <xf borderId="30" fillId="5" fontId="21" numFmtId="0" xfId="0" applyAlignment="1" applyBorder="1" applyFont="1">
      <alignment horizontal="left" readingOrder="0" vertical="center"/>
    </xf>
    <xf borderId="29" fillId="8" fontId="19" numFmtId="0" xfId="0" applyAlignment="1" applyBorder="1" applyFont="1">
      <alignment horizontal="center" vertical="center"/>
    </xf>
    <xf borderId="29" fillId="8" fontId="2" numFmtId="0" xfId="0" applyAlignment="1" applyBorder="1" applyFont="1">
      <alignment readingOrder="0"/>
    </xf>
    <xf borderId="29" fillId="8" fontId="1" numFmtId="0" xfId="0" applyAlignment="1" applyBorder="1" applyFont="1">
      <alignment vertical="bottom"/>
    </xf>
    <xf borderId="29" fillId="8" fontId="20" numFmtId="0" xfId="0" applyAlignment="1" applyBorder="1" applyFont="1">
      <alignment horizontal="left" vertical="center"/>
    </xf>
    <xf borderId="30" fillId="8" fontId="21" numFmtId="0" xfId="0" applyAlignment="1" applyBorder="1" applyFont="1">
      <alignment horizontal="left" readingOrder="0" vertical="center"/>
    </xf>
    <xf borderId="7" fillId="2" fontId="19" numFmtId="0" xfId="0" applyAlignment="1" applyBorder="1" applyFont="1">
      <alignment horizontal="center" vertical="center"/>
    </xf>
    <xf borderId="7" fillId="2" fontId="2" numFmtId="0" xfId="0" applyAlignment="1" applyBorder="1" applyFont="1">
      <alignment readingOrder="0"/>
    </xf>
    <xf borderId="7" fillId="2" fontId="1" numFmtId="0" xfId="0" applyAlignment="1" applyBorder="1" applyFont="1">
      <alignment vertical="bottom"/>
    </xf>
    <xf borderId="7" fillId="2" fontId="20" numFmtId="0" xfId="0" applyAlignment="1" applyBorder="1" applyFont="1">
      <alignment horizontal="left" vertical="center"/>
    </xf>
    <xf borderId="26" fillId="2" fontId="28" numFmtId="0" xfId="0" applyAlignment="1" applyBorder="1" applyFont="1">
      <alignment horizontal="left" readingOrder="0" vertical="center"/>
    </xf>
    <xf borderId="7" fillId="4" fontId="26" numFmtId="0" xfId="0" applyAlignment="1" applyBorder="1" applyFont="1">
      <alignment horizontal="center" vertical="center"/>
    </xf>
    <xf borderId="7" fillId="4" fontId="2" numFmtId="0" xfId="0" applyAlignment="1" applyBorder="1" applyFont="1">
      <alignment readingOrder="0"/>
    </xf>
    <xf borderId="7" fillId="4" fontId="1" numFmtId="0" xfId="0" applyAlignment="1" applyBorder="1" applyFont="1">
      <alignment vertical="bottom"/>
    </xf>
    <xf borderId="7" fillId="4" fontId="20" numFmtId="0" xfId="0" applyAlignment="1" applyBorder="1" applyFont="1">
      <alignment horizontal="left" vertical="center"/>
    </xf>
    <xf borderId="26" fillId="4" fontId="28" numFmtId="0" xfId="0" applyAlignment="1" applyBorder="1" applyFont="1">
      <alignment horizontal="left" readingOrder="0" vertical="center"/>
    </xf>
    <xf borderId="25" fillId="0" fontId="27" numFmtId="0" xfId="0" applyAlignment="1" applyBorder="1" applyFont="1">
      <alignment horizontal="center" vertical="center"/>
    </xf>
    <xf borderId="7" fillId="0" fontId="27" numFmtId="0" xfId="0" applyAlignment="1" applyBorder="1" applyFont="1">
      <alignment horizontal="center" vertical="center"/>
    </xf>
    <xf borderId="7" fillId="24" fontId="25" numFmtId="0" xfId="0" applyAlignment="1" applyBorder="1" applyFill="1" applyFont="1">
      <alignment horizontal="center" vertical="center"/>
    </xf>
    <xf borderId="7" fillId="25" fontId="26" numFmtId="0" xfId="0" applyAlignment="1" applyBorder="1" applyFill="1" applyFont="1">
      <alignment horizontal="center" vertical="center"/>
    </xf>
    <xf borderId="7" fillId="25" fontId="1" numFmtId="0" xfId="0" applyBorder="1" applyFont="1"/>
    <xf borderId="7" fillId="25" fontId="20" numFmtId="0" xfId="0" applyAlignment="1" applyBorder="1" applyFont="1">
      <alignment horizontal="left" vertical="center"/>
    </xf>
    <xf borderId="26" fillId="25" fontId="21" numFmtId="0" xfId="0" applyAlignment="1" applyBorder="1" applyFont="1">
      <alignment horizontal="left" vertical="center"/>
    </xf>
    <xf borderId="0" fillId="26" fontId="26" numFmtId="0" xfId="0" applyAlignment="1" applyFill="1" applyFont="1">
      <alignment horizontal="center" vertical="center"/>
    </xf>
    <xf borderId="0" fillId="26" fontId="1" numFmtId="0" xfId="0" applyAlignment="1" applyFont="1">
      <alignment vertical="bottom"/>
    </xf>
    <xf borderId="0" fillId="26" fontId="20" numFmtId="0" xfId="0" applyAlignment="1" applyFont="1">
      <alignment horizontal="left" vertical="center"/>
    </xf>
    <xf borderId="27" fillId="26" fontId="21" numFmtId="0" xfId="0" applyAlignment="1" applyBorder="1" applyFont="1">
      <alignment horizontal="left" vertical="center"/>
    </xf>
    <xf borderId="0" fillId="23" fontId="26" numFmtId="0" xfId="0" applyAlignment="1" applyFont="1">
      <alignment horizontal="center" vertical="center"/>
    </xf>
    <xf borderId="0" fillId="23" fontId="20" numFmtId="0" xfId="0" applyAlignment="1" applyFont="1">
      <alignment horizontal="left" vertical="center"/>
    </xf>
    <xf borderId="27" fillId="23" fontId="30" numFmtId="0" xfId="0" applyAlignment="1" applyBorder="1" applyFont="1">
      <alignment horizontal="left" vertical="center"/>
    </xf>
    <xf borderId="29" fillId="22" fontId="26" numFmtId="0" xfId="0" applyAlignment="1" applyBorder="1" applyFont="1">
      <alignment horizontal="center" vertical="center"/>
    </xf>
    <xf borderId="29" fillId="22" fontId="1" numFmtId="0" xfId="0" applyAlignment="1" applyBorder="1" applyFont="1">
      <alignment vertical="bottom"/>
    </xf>
    <xf borderId="29" fillId="22" fontId="20" numFmtId="0" xfId="0" applyAlignment="1" applyBorder="1" applyFont="1">
      <alignment horizontal="left" vertical="center"/>
    </xf>
    <xf borderId="30" fillId="22" fontId="21" numFmtId="0" xfId="0" applyAlignment="1" applyBorder="1" applyFont="1">
      <alignment horizontal="left" vertical="center"/>
    </xf>
    <xf borderId="25" fillId="0" fontId="37" numFmtId="0" xfId="0" applyAlignment="1" applyBorder="1" applyFont="1">
      <alignment horizontal="center" vertical="center"/>
    </xf>
    <xf borderId="7" fillId="26" fontId="26" numFmtId="0" xfId="0" applyAlignment="1" applyBorder="1" applyFont="1">
      <alignment horizontal="center" vertical="center"/>
    </xf>
    <xf borderId="7" fillId="26" fontId="1" numFmtId="0" xfId="0" applyAlignment="1" applyBorder="1" applyFont="1">
      <alignment vertical="center"/>
    </xf>
    <xf borderId="7" fillId="26" fontId="20" numFmtId="0" xfId="0" applyAlignment="1" applyBorder="1" applyFont="1">
      <alignment horizontal="left" vertical="center"/>
    </xf>
    <xf borderId="26" fillId="26" fontId="21" numFmtId="0" xfId="0" applyAlignment="1" applyBorder="1" applyFont="1">
      <alignment horizontal="left" vertical="center"/>
    </xf>
    <xf borderId="0" fillId="0" fontId="1" numFmtId="0" xfId="0" applyAlignment="1" applyFont="1">
      <alignment vertical="center"/>
    </xf>
    <xf borderId="0" fillId="27" fontId="26" numFmtId="0" xfId="0" applyAlignment="1" applyFill="1" applyFont="1">
      <alignment horizontal="center" vertical="center"/>
    </xf>
    <xf borderId="0" fillId="27" fontId="1" numFmtId="0" xfId="0" applyAlignment="1" applyFont="1">
      <alignment vertical="center"/>
    </xf>
    <xf borderId="0" fillId="27" fontId="20" numFmtId="0" xfId="0" applyAlignment="1" applyFont="1">
      <alignment horizontal="left" vertical="center"/>
    </xf>
    <xf borderId="27" fillId="27" fontId="21" numFmtId="0" xfId="0" applyAlignment="1" applyBorder="1" applyFont="1">
      <alignment horizontal="left" vertical="center"/>
    </xf>
    <xf borderId="0" fillId="28" fontId="26" numFmtId="0" xfId="0" applyAlignment="1" applyFill="1" applyFont="1">
      <alignment horizontal="center" vertical="center"/>
    </xf>
    <xf borderId="0" fillId="28" fontId="1" numFmtId="0" xfId="0" applyAlignment="1" applyFont="1">
      <alignment vertical="center"/>
    </xf>
    <xf borderId="0" fillId="28" fontId="20" numFmtId="0" xfId="0" applyAlignment="1" applyFont="1">
      <alignment horizontal="left" vertical="center"/>
    </xf>
    <xf borderId="27" fillId="28" fontId="30" numFmtId="0" xfId="0" applyAlignment="1" applyBorder="1" applyFont="1">
      <alignment horizontal="left" vertical="center"/>
    </xf>
    <xf borderId="0" fillId="23" fontId="1" numFmtId="0" xfId="0" applyAlignment="1" applyFont="1">
      <alignment vertical="center"/>
    </xf>
    <xf borderId="27" fillId="23" fontId="21" numFmtId="0" xfId="0" applyAlignment="1" applyBorder="1" applyFont="1">
      <alignment horizontal="left" vertical="center"/>
    </xf>
    <xf borderId="29" fillId="20" fontId="26" numFmtId="0" xfId="0" applyAlignment="1" applyBorder="1" applyFont="1">
      <alignment horizontal="center" vertical="center"/>
    </xf>
    <xf borderId="29" fillId="20" fontId="1" numFmtId="0" xfId="0" applyAlignment="1" applyBorder="1" applyFont="1">
      <alignment vertical="center"/>
    </xf>
    <xf borderId="29" fillId="20" fontId="20" numFmtId="0" xfId="0" applyAlignment="1" applyBorder="1" applyFont="1">
      <alignment horizontal="left" vertical="center"/>
    </xf>
    <xf borderId="30" fillId="20" fontId="21" numFmtId="0" xfId="0" applyAlignment="1" applyBorder="1" applyFont="1">
      <alignment horizontal="left" vertical="center"/>
    </xf>
    <xf borderId="28" fillId="21" fontId="38" numFmtId="0" xfId="0" applyAlignment="1" applyBorder="1" applyFont="1">
      <alignment horizontal="center" readingOrder="0" vertical="center"/>
    </xf>
    <xf borderId="0" fillId="21" fontId="22" numFmtId="0" xfId="0" applyAlignment="1" applyFont="1">
      <alignment horizontal="left" readingOrder="0" vertical="center"/>
    </xf>
    <xf borderId="27" fillId="21" fontId="21" numFmtId="0" xfId="0" applyAlignment="1" applyBorder="1" applyFont="1">
      <alignment horizontal="left" readingOrder="0" vertical="center"/>
    </xf>
    <xf borderId="7" fillId="7" fontId="19" numFmtId="0" xfId="0" applyAlignment="1" applyBorder="1" applyFont="1">
      <alignment horizontal="center" vertical="center"/>
    </xf>
    <xf borderId="7" fillId="7" fontId="20" numFmtId="0" xfId="0" applyAlignment="1" applyBorder="1" applyFont="1">
      <alignment horizontal="left" vertical="center"/>
    </xf>
    <xf borderId="26" fillId="7" fontId="21" numFmtId="0" xfId="0" applyAlignment="1" applyBorder="1" applyFont="1">
      <alignment horizontal="left" readingOrder="0" vertical="center"/>
    </xf>
    <xf borderId="29" fillId="0" fontId="22" numFmtId="0" xfId="0" applyAlignment="1" applyBorder="1" applyFont="1">
      <alignment horizontal="left" vertical="center"/>
    </xf>
    <xf borderId="29" fillId="22" fontId="26" numFmtId="0" xfId="0" applyAlignment="1" applyBorder="1" applyFont="1">
      <alignment horizontal="center" vertical="center"/>
    </xf>
    <xf borderId="29" fillId="22" fontId="26" numFmtId="0" xfId="0" applyAlignment="1" applyBorder="1" applyFont="1">
      <alignment horizontal="center" readingOrder="0" vertical="center"/>
    </xf>
    <xf borderId="29" fillId="22" fontId="20" numFmtId="0" xfId="0" applyAlignment="1" applyBorder="1" applyFont="1">
      <alignment horizontal="left" vertical="center"/>
    </xf>
    <xf borderId="30" fillId="22" fontId="21" numFmtId="0" xfId="0" applyAlignment="1" applyBorder="1" applyFont="1">
      <alignment horizontal="left" vertical="center"/>
    </xf>
    <xf borderId="7" fillId="0" fontId="2" numFmtId="0" xfId="0" applyAlignment="1" applyBorder="1" applyFont="1">
      <alignment readingOrder="0"/>
    </xf>
    <xf borderId="25" fillId="0" fontId="29" numFmtId="0" xfId="0" applyAlignment="1" applyBorder="1" applyFont="1">
      <alignment horizontal="center" readingOrder="0" vertical="center"/>
    </xf>
    <xf borderId="7" fillId="11" fontId="20" numFmtId="0" xfId="0" applyAlignment="1" applyBorder="1" applyFont="1">
      <alignment horizontal="left" vertical="center"/>
    </xf>
    <xf borderId="31" fillId="0" fontId="19" numFmtId="0" xfId="0" applyAlignment="1" applyBorder="1" applyFont="1">
      <alignment horizontal="center" readingOrder="0" vertical="center"/>
    </xf>
    <xf borderId="7" fillId="0" fontId="39" numFmtId="0" xfId="0" applyAlignment="1" applyBorder="1" applyFont="1">
      <alignment horizontal="center" readingOrder="0" vertical="center"/>
    </xf>
    <xf borderId="32" fillId="0" fontId="21" numFmtId="0" xfId="0" applyAlignment="1" applyBorder="1" applyFont="1">
      <alignment horizontal="left" vertical="center"/>
    </xf>
    <xf borderId="33" fillId="0" fontId="19" numFmtId="0" xfId="0" applyAlignment="1" applyBorder="1" applyFont="1">
      <alignment horizontal="center" vertical="center"/>
    </xf>
    <xf borderId="34" fillId="0" fontId="21" numFmtId="0" xfId="0" applyAlignment="1" applyBorder="1" applyFont="1">
      <alignment horizontal="left" vertical="center"/>
    </xf>
    <xf borderId="35" fillId="0" fontId="19" numFmtId="0" xfId="0" applyAlignment="1" applyBorder="1" applyFont="1">
      <alignment horizontal="center" readingOrder="0" vertical="center"/>
    </xf>
    <xf borderId="36" fillId="0" fontId="19" numFmtId="0" xfId="0" applyAlignment="1" applyBorder="1" applyFont="1">
      <alignment horizontal="center" readingOrder="0" vertical="center"/>
    </xf>
    <xf borderId="36" fillId="0" fontId="5" numFmtId="0" xfId="0" applyBorder="1" applyFont="1"/>
    <xf borderId="36" fillId="0" fontId="22" numFmtId="0" xfId="0" applyAlignment="1" applyBorder="1" applyFont="1">
      <alignment horizontal="left" readingOrder="0" vertical="center"/>
    </xf>
    <xf borderId="37" fillId="0" fontId="21" numFmtId="0" xfId="0" applyAlignment="1" applyBorder="1" applyFont="1">
      <alignment horizontal="left" vertical="center"/>
    </xf>
    <xf borderId="0" fillId="0" fontId="39" numFmtId="0" xfId="0" applyAlignment="1" applyFont="1">
      <alignment horizontal="center" readingOrder="0" vertical="center"/>
    </xf>
    <xf borderId="30" fillId="0" fontId="5" numFmtId="0" xfId="0" applyBorder="1" applyFont="1"/>
    <xf borderId="25" fillId="18" fontId="36" numFmtId="0" xfId="0" applyAlignment="1" applyBorder="1" applyFont="1">
      <alignment horizontal="center" readingOrder="0" vertical="center"/>
    </xf>
    <xf borderId="7" fillId="18" fontId="29" numFmtId="0" xfId="0" applyAlignment="1" applyBorder="1" applyFont="1">
      <alignment horizontal="center" readingOrder="0" vertical="center"/>
    </xf>
    <xf borderId="25" fillId="18" fontId="27" numFmtId="0" xfId="0" applyAlignment="1" applyBorder="1" applyFont="1">
      <alignment horizontal="center" readingOrder="0" vertical="center"/>
    </xf>
    <xf borderId="7" fillId="18" fontId="40" numFmtId="0" xfId="0" applyAlignment="1" applyBorder="1" applyFont="1">
      <alignment horizontal="center" readingOrder="0" shrinkToFit="0" vertical="center" wrapText="0"/>
    </xf>
    <xf borderId="25" fillId="0" fontId="41" numFmtId="0" xfId="0" applyAlignment="1" applyBorder="1" applyFont="1">
      <alignment horizontal="center" readingOrder="0" vertical="center"/>
    </xf>
    <xf borderId="0" fillId="18" fontId="26" numFmtId="0" xfId="0" applyAlignment="1" applyFont="1">
      <alignment horizontal="center" vertical="center"/>
    </xf>
    <xf borderId="0" fillId="18" fontId="2" numFmtId="0" xfId="0" applyAlignment="1" applyFont="1">
      <alignment readingOrder="0"/>
    </xf>
    <xf borderId="0" fillId="18" fontId="1" numFmtId="0" xfId="0" applyAlignment="1" applyFont="1">
      <alignment readingOrder="0" vertical="bottom"/>
    </xf>
    <xf borderId="0" fillId="18" fontId="20" numFmtId="0" xfId="0" applyAlignment="1" applyFont="1">
      <alignment horizontal="left" readingOrder="0" vertical="center"/>
    </xf>
    <xf borderId="30" fillId="18" fontId="28" numFmtId="0" xfId="0" applyAlignment="1" applyBorder="1" applyFont="1">
      <alignment horizontal="left" readingOrder="0" vertical="center"/>
    </xf>
    <xf borderId="29" fillId="4" fontId="26" numFmtId="0" xfId="0" applyAlignment="1" applyBorder="1" applyFont="1">
      <alignment horizontal="center" vertical="center"/>
    </xf>
    <xf borderId="29" fillId="4" fontId="1" numFmtId="0" xfId="0" applyAlignment="1" applyBorder="1" applyFont="1">
      <alignment vertical="bottom"/>
    </xf>
    <xf borderId="29" fillId="4" fontId="20" numFmtId="0" xfId="0" applyAlignment="1" applyBorder="1" applyFont="1">
      <alignment horizontal="left" vertical="center"/>
    </xf>
    <xf borderId="30" fillId="4" fontId="28" numFmtId="0" xfId="0" applyAlignment="1" applyBorder="1" applyFont="1">
      <alignment horizontal="left" readingOrder="0" vertical="center"/>
    </xf>
    <xf borderId="7" fillId="0" fontId="42" numFmtId="0" xfId="0" applyAlignment="1" applyBorder="1" applyFont="1">
      <alignment horizontal="center" readingOrder="0" vertical="center"/>
    </xf>
    <xf borderId="0" fillId="7" fontId="26" numFmtId="0" xfId="0" applyAlignment="1" applyFont="1">
      <alignment horizontal="center" vertical="center"/>
    </xf>
    <xf borderId="26" fillId="0" fontId="21" numFmtId="0" xfId="0" applyAlignment="1" applyBorder="1" applyFont="1">
      <alignment horizontal="left" readingOrder="0" vertical="center"/>
    </xf>
    <xf borderId="7" fillId="7" fontId="26" numFmtId="0" xfId="0" applyAlignment="1" applyBorder="1" applyFont="1">
      <alignment horizontal="center" vertical="center"/>
    </xf>
    <xf borderId="0" fillId="10" fontId="19" numFmtId="0" xfId="0" applyAlignment="1" applyFont="1">
      <alignment horizontal="center" vertical="center"/>
    </xf>
    <xf borderId="0" fillId="10" fontId="20" numFmtId="0" xfId="0" applyAlignment="1" applyFont="1">
      <alignment horizontal="left" vertical="center"/>
    </xf>
    <xf borderId="27" fillId="10" fontId="28" numFmtId="0" xfId="0" applyAlignment="1" applyBorder="1" applyFont="1">
      <alignment horizontal="left" readingOrder="0" vertical="center"/>
    </xf>
    <xf borderId="7" fillId="0" fontId="20" numFmtId="0" xfId="0" applyAlignment="1" applyBorder="1" applyFont="1">
      <alignment horizontal="left" readingOrder="0" vertical="center"/>
    </xf>
    <xf borderId="26" fillId="4" fontId="21" numFmtId="0" xfId="0" applyAlignment="1" applyBorder="1" applyFont="1">
      <alignment horizontal="left" readingOrder="0" vertical="center"/>
    </xf>
    <xf borderId="7" fillId="4" fontId="19" numFmtId="0" xfId="0" applyAlignment="1" applyBorder="1" applyFont="1">
      <alignment horizontal="center" readingOrder="0" vertical="center"/>
    </xf>
    <xf borderId="7" fillId="4" fontId="1" numFmtId="0" xfId="0" applyAlignment="1" applyBorder="1" applyFont="1">
      <alignment readingOrder="0" vertical="bottom"/>
    </xf>
    <xf borderId="7" fillId="4" fontId="20" numFmtId="0" xfId="0" applyAlignment="1" applyBorder="1" applyFont="1">
      <alignment horizontal="left" readingOrder="0" vertical="center"/>
    </xf>
    <xf borderId="29" fillId="7" fontId="19" numFmtId="0" xfId="0" applyAlignment="1" applyBorder="1" applyFont="1">
      <alignment horizontal="center" vertical="center"/>
    </xf>
    <xf borderId="29" fillId="7" fontId="2" numFmtId="0" xfId="0" applyAlignment="1" applyBorder="1" applyFont="1">
      <alignment readingOrder="0"/>
    </xf>
    <xf borderId="29" fillId="7" fontId="1" numFmtId="0" xfId="0" applyAlignment="1" applyBorder="1" applyFont="1">
      <alignment vertical="bottom"/>
    </xf>
    <xf borderId="29" fillId="7" fontId="20" numFmtId="0" xfId="0" applyAlignment="1" applyBorder="1" applyFont="1">
      <alignment horizontal="left" vertical="center"/>
    </xf>
    <xf borderId="30" fillId="7" fontId="21" numFmtId="0" xfId="0" applyAlignment="1" applyBorder="1" applyFont="1">
      <alignment horizontal="left" readingOrder="0" vertical="center"/>
    </xf>
    <xf borderId="7" fillId="29" fontId="25" numFmtId="0" xfId="0" applyAlignment="1" applyBorder="1" applyFill="1" applyFont="1">
      <alignment horizontal="center" vertical="center"/>
    </xf>
    <xf borderId="0" fillId="25" fontId="26" numFmtId="0" xfId="0" applyAlignment="1" applyFont="1">
      <alignment horizontal="center" vertical="center"/>
    </xf>
    <xf borderId="0" fillId="25" fontId="1" numFmtId="0" xfId="0" applyAlignment="1" applyFont="1">
      <alignment vertical="center"/>
    </xf>
    <xf borderId="0" fillId="25" fontId="20" numFmtId="0" xfId="0" applyAlignment="1" applyFont="1">
      <alignment horizontal="left" vertical="center"/>
    </xf>
    <xf borderId="27" fillId="25" fontId="21" numFmtId="0" xfId="0" applyAlignment="1" applyBorder="1" applyFont="1">
      <alignment horizontal="left" vertical="center"/>
    </xf>
    <xf borderId="0" fillId="22" fontId="26" numFmtId="0" xfId="0" applyAlignment="1" applyFont="1">
      <alignment horizontal="center" vertical="center"/>
    </xf>
    <xf borderId="0" fillId="22" fontId="1" numFmtId="0" xfId="0" applyAlignment="1" applyFont="1">
      <alignment vertical="center"/>
    </xf>
    <xf borderId="0" fillId="22" fontId="20" numFmtId="0" xfId="0" applyAlignment="1" applyFont="1">
      <alignment horizontal="left" vertical="center"/>
    </xf>
    <xf borderId="27" fillId="22" fontId="21" numFmtId="0" xfId="0" applyAlignment="1" applyBorder="1" applyFont="1">
      <alignment horizontal="left" vertical="center"/>
    </xf>
    <xf borderId="29" fillId="22" fontId="1" numFmtId="0" xfId="0" applyAlignment="1" applyBorder="1" applyFont="1">
      <alignment vertical="center"/>
    </xf>
    <xf borderId="7" fillId="0" fontId="37" numFmtId="0" xfId="0" applyAlignment="1" applyBorder="1" applyFont="1">
      <alignment horizontal="center" vertical="center"/>
    </xf>
    <xf borderId="27" fillId="22" fontId="30" numFmtId="0" xfId="0" applyAlignment="1" applyBorder="1" applyFont="1">
      <alignment horizontal="left" vertical="center"/>
    </xf>
    <xf borderId="29" fillId="30" fontId="26" numFmtId="0" xfId="0" applyAlignment="1" applyBorder="1" applyFill="1" applyFont="1">
      <alignment horizontal="center" vertical="center"/>
    </xf>
    <xf borderId="29" fillId="30" fontId="1" numFmtId="0" xfId="0" applyAlignment="1" applyBorder="1" applyFont="1">
      <alignment vertical="center"/>
    </xf>
    <xf borderId="29" fillId="30" fontId="20" numFmtId="0" xfId="0" applyAlignment="1" applyBorder="1" applyFont="1">
      <alignment horizontal="left" vertical="center"/>
    </xf>
    <xf borderId="30" fillId="30" fontId="21" numFmtId="0" xfId="0" applyAlignment="1" applyBorder="1" applyFont="1">
      <alignment horizontal="left" vertical="center"/>
    </xf>
    <xf borderId="38" fillId="0" fontId="24" numFmtId="0" xfId="0" applyAlignment="1" applyBorder="1" applyFont="1">
      <alignment horizontal="center" readingOrder="0" vertical="center"/>
    </xf>
    <xf borderId="39" fillId="0" fontId="5" numFmtId="0" xfId="0" applyBorder="1" applyFont="1"/>
    <xf borderId="40" fillId="0" fontId="5" numFmtId="0" xfId="0" applyBorder="1" applyFont="1"/>
    <xf borderId="25" fillId="31" fontId="24" numFmtId="0" xfId="0" applyAlignment="1" applyBorder="1" applyFill="1" applyFont="1">
      <alignment horizontal="center" readingOrder="0" vertical="center"/>
    </xf>
    <xf borderId="7" fillId="31" fontId="24" numFmtId="0" xfId="0" applyAlignment="1" applyBorder="1" applyFont="1">
      <alignment horizontal="center" readingOrder="0" vertical="center"/>
    </xf>
    <xf borderId="7" fillId="18" fontId="18" numFmtId="0" xfId="0" applyAlignment="1" applyBorder="1" applyFont="1">
      <alignment horizontal="center" vertical="center"/>
    </xf>
    <xf borderId="7" fillId="18" fontId="19" numFmtId="0" xfId="0" applyAlignment="1" applyBorder="1" applyFont="1">
      <alignment horizontal="center" readingOrder="0" vertical="center"/>
    </xf>
    <xf borderId="7" fillId="18" fontId="23" numFmtId="0" xfId="0" applyAlignment="1" applyBorder="1" applyFont="1">
      <alignment horizontal="center" readingOrder="0"/>
    </xf>
    <xf borderId="7" fillId="18" fontId="2" numFmtId="0" xfId="0" applyBorder="1" applyFont="1"/>
    <xf borderId="7" fillId="18" fontId="22" numFmtId="0" xfId="0" applyAlignment="1" applyBorder="1" applyFont="1">
      <alignment horizontal="left" readingOrder="0" vertical="center"/>
    </xf>
    <xf borderId="26" fillId="18" fontId="21" numFmtId="0" xfId="0" applyAlignment="1" applyBorder="1" applyFont="1">
      <alignment horizontal="left" vertical="center"/>
    </xf>
    <xf borderId="0" fillId="9" fontId="19" numFmtId="0" xfId="0" applyAlignment="1" applyFont="1">
      <alignment horizontal="center" vertical="center"/>
    </xf>
    <xf borderId="27" fillId="10" fontId="21" numFmtId="0" xfId="0" applyAlignment="1" applyBorder="1" applyFont="1">
      <alignment horizontal="left" readingOrder="0" vertical="center"/>
    </xf>
    <xf borderId="7" fillId="3" fontId="19" numFmtId="0" xfId="0" applyAlignment="1" applyBorder="1" applyFont="1">
      <alignment horizontal="center" vertical="center"/>
    </xf>
    <xf borderId="7" fillId="3" fontId="2" numFmtId="0" xfId="0" applyAlignment="1" applyBorder="1" applyFont="1">
      <alignment readingOrder="0"/>
    </xf>
    <xf borderId="7" fillId="3" fontId="1" numFmtId="0" xfId="0" applyAlignment="1" applyBorder="1" applyFont="1">
      <alignment vertical="bottom"/>
    </xf>
    <xf borderId="7" fillId="3" fontId="20" numFmtId="0" xfId="0" applyAlignment="1" applyBorder="1" applyFont="1">
      <alignment horizontal="left" vertical="center"/>
    </xf>
    <xf borderId="26" fillId="3" fontId="21" numFmtId="0" xfId="0" applyAlignment="1" applyBorder="1" applyFont="1">
      <alignment horizontal="left" readingOrder="0" vertical="center"/>
    </xf>
    <xf borderId="0" fillId="7" fontId="19" numFmtId="0" xfId="0" applyAlignment="1" applyFont="1">
      <alignment horizontal="center" vertical="center"/>
    </xf>
    <xf borderId="0" fillId="7" fontId="20" numFmtId="0" xfId="0" applyAlignment="1" applyFont="1">
      <alignment horizontal="left" vertical="center"/>
    </xf>
    <xf borderId="0" fillId="4" fontId="21" numFmtId="0" xfId="0" applyAlignment="1" applyFont="1">
      <alignment horizontal="left" readingOrder="0" vertical="center"/>
    </xf>
    <xf borderId="25" fillId="0" fontId="27" numFmtId="0" xfId="0" applyAlignment="1" applyBorder="1" applyFont="1">
      <alignment horizontal="center" vertical="center"/>
    </xf>
    <xf borderId="7" fillId="32" fontId="25" numFmtId="0" xfId="0" applyAlignment="1" applyBorder="1" applyFill="1" applyFont="1">
      <alignment horizontal="center" vertical="center"/>
    </xf>
    <xf borderId="7" fillId="30" fontId="43" numFmtId="0" xfId="0" applyAlignment="1" applyBorder="1" applyFont="1">
      <alignment horizontal="center" vertical="center"/>
    </xf>
    <xf borderId="7" fillId="30" fontId="26" numFmtId="0" xfId="0" applyAlignment="1" applyBorder="1" applyFont="1">
      <alignment horizontal="center" vertical="center"/>
    </xf>
    <xf borderId="7" fillId="30" fontId="1" numFmtId="0" xfId="0" applyBorder="1" applyFont="1"/>
    <xf borderId="7" fillId="30" fontId="20" numFmtId="0" xfId="0" applyAlignment="1" applyBorder="1" applyFont="1">
      <alignment horizontal="left" vertical="center"/>
    </xf>
    <xf borderId="26" fillId="30" fontId="21" numFmtId="0" xfId="0" applyAlignment="1" applyBorder="1" applyFont="1">
      <alignment horizontal="left" vertical="center"/>
    </xf>
    <xf borderId="0" fillId="26" fontId="26" numFmtId="0" xfId="0" applyAlignment="1" applyFont="1">
      <alignment horizontal="center" vertical="center"/>
    </xf>
    <xf borderId="0" fillId="26" fontId="20" numFmtId="0" xfId="0" applyAlignment="1" applyFont="1">
      <alignment horizontal="left" vertical="center"/>
    </xf>
    <xf borderId="27" fillId="26" fontId="21" numFmtId="0" xfId="0" applyAlignment="1" applyBorder="1" applyFont="1">
      <alignment horizontal="left" vertical="center"/>
    </xf>
    <xf borderId="0" fillId="33" fontId="26" numFmtId="0" xfId="0" applyAlignment="1" applyFill="1" applyFont="1">
      <alignment horizontal="center" readingOrder="0" vertical="center"/>
    </xf>
    <xf borderId="0" fillId="33" fontId="26" numFmtId="0" xfId="0" applyAlignment="1" applyFont="1">
      <alignment horizontal="center" vertical="center"/>
    </xf>
    <xf borderId="0" fillId="33" fontId="1" numFmtId="0" xfId="0" applyAlignment="1" applyFont="1">
      <alignment vertical="bottom"/>
    </xf>
    <xf borderId="0" fillId="33" fontId="20" numFmtId="0" xfId="0" applyAlignment="1" applyFont="1">
      <alignment horizontal="left" vertical="center"/>
    </xf>
    <xf borderId="27" fillId="33" fontId="21" numFmtId="0" xfId="0" applyAlignment="1" applyBorder="1" applyFont="1">
      <alignment horizontal="left" vertical="center"/>
    </xf>
    <xf borderId="0" fillId="22" fontId="26" numFmtId="0" xfId="0" applyAlignment="1" applyFont="1">
      <alignment horizontal="center" vertical="center"/>
    </xf>
    <xf borderId="0" fillId="22" fontId="1" numFmtId="0" xfId="0" applyAlignment="1" applyFont="1">
      <alignment vertical="bottom"/>
    </xf>
    <xf borderId="0" fillId="22" fontId="20" numFmtId="0" xfId="0" applyAlignment="1" applyFont="1">
      <alignment horizontal="left" vertical="center"/>
    </xf>
    <xf borderId="27" fillId="22" fontId="21" numFmtId="0" xfId="0" applyAlignment="1" applyBorder="1" applyFont="1">
      <alignment horizontal="left" vertical="center"/>
    </xf>
    <xf borderId="29" fillId="4" fontId="26" numFmtId="0" xfId="0" applyAlignment="1" applyBorder="1" applyFont="1">
      <alignment horizontal="center" vertical="center"/>
    </xf>
    <xf borderId="30" fillId="4" fontId="30" numFmtId="0" xfId="0" applyAlignment="1" applyBorder="1" applyFont="1">
      <alignment horizontal="left" vertical="center"/>
    </xf>
    <xf borderId="29" fillId="2" fontId="19" numFmtId="0" xfId="0" applyAlignment="1" applyBorder="1" applyFont="1">
      <alignment horizontal="center" vertical="center"/>
    </xf>
    <xf borderId="29" fillId="2" fontId="1" numFmtId="0" xfId="0" applyAlignment="1" applyBorder="1" applyFont="1">
      <alignment vertical="bottom"/>
    </xf>
    <xf borderId="29" fillId="2" fontId="20" numFmtId="0" xfId="0" applyAlignment="1" applyBorder="1" applyFont="1">
      <alignment horizontal="left" vertical="center"/>
    </xf>
    <xf borderId="30" fillId="2" fontId="28" numFmtId="0" xfId="0" applyAlignment="1" applyBorder="1" applyFont="1">
      <alignment horizontal="left" readingOrder="0" vertical="center"/>
    </xf>
    <xf borderId="29" fillId="18" fontId="26" numFmtId="0" xfId="0" applyAlignment="1" applyBorder="1" applyFont="1">
      <alignment horizontal="center" vertical="center"/>
    </xf>
    <xf borderId="29" fillId="18" fontId="2" numFmtId="0" xfId="0" applyAlignment="1" applyBorder="1" applyFont="1">
      <alignment readingOrder="0"/>
    </xf>
    <xf borderId="29" fillId="18" fontId="1" numFmtId="0" xfId="0" applyAlignment="1" applyBorder="1" applyFont="1">
      <alignment readingOrder="0" vertical="bottom"/>
    </xf>
    <xf borderId="29" fillId="18" fontId="20" numFmtId="0" xfId="0" applyAlignment="1" applyBorder="1" applyFont="1">
      <alignment horizontal="left" readingOrder="0" vertical="center"/>
    </xf>
    <xf borderId="0" fillId="6" fontId="26" numFmtId="0" xfId="0" applyAlignment="1" applyFont="1">
      <alignment horizontal="center" vertical="center"/>
    </xf>
    <xf borderId="0" fillId="6" fontId="19" numFmtId="0" xfId="0" applyAlignment="1" applyFont="1">
      <alignment horizontal="center" readingOrder="0" vertical="center"/>
    </xf>
    <xf borderId="0" fillId="6" fontId="20" numFmtId="0" xfId="0" applyAlignment="1" applyFont="1">
      <alignment horizontal="left" vertical="center"/>
    </xf>
    <xf borderId="27" fillId="5" fontId="28" numFmtId="0" xfId="0" applyAlignment="1" applyBorder="1" applyFont="1">
      <alignment horizontal="left" readingOrder="0" vertical="center"/>
    </xf>
    <xf borderId="29" fillId="23" fontId="26" numFmtId="0" xfId="0" applyAlignment="1" applyBorder="1" applyFont="1">
      <alignment horizontal="center" vertical="center"/>
    </xf>
    <xf borderId="29" fillId="23" fontId="26" numFmtId="0" xfId="0" applyAlignment="1" applyBorder="1" applyFont="1">
      <alignment horizontal="center" readingOrder="0" vertical="center"/>
    </xf>
    <xf borderId="29" fillId="23" fontId="1" numFmtId="0" xfId="0" applyAlignment="1" applyBorder="1" applyFont="1">
      <alignment vertical="bottom"/>
    </xf>
    <xf borderId="29" fillId="23" fontId="20" numFmtId="0" xfId="0" applyAlignment="1" applyBorder="1" applyFont="1">
      <alignment horizontal="left" vertical="center"/>
    </xf>
    <xf borderId="30" fillId="23" fontId="21" numFmtId="0" xfId="0" applyAlignment="1" applyBorder="1" applyFont="1">
      <alignment horizontal="left" vertical="center"/>
    </xf>
    <xf borderId="0" fillId="0" fontId="26" numFmtId="0" xfId="0" applyAlignment="1" applyFont="1">
      <alignment horizontal="center"/>
    </xf>
    <xf borderId="0" fillId="0" fontId="26" numFmtId="0" xfId="0" applyFont="1"/>
    <xf borderId="29" fillId="4" fontId="19" numFmtId="0" xfId="0" applyAlignment="1" applyBorder="1" applyFont="1">
      <alignment horizontal="center" readingOrder="0" vertical="center"/>
    </xf>
    <xf borderId="29" fillId="4" fontId="1" numFmtId="0" xfId="0" applyAlignment="1" applyBorder="1" applyFont="1">
      <alignment readingOrder="0" vertical="bottom"/>
    </xf>
    <xf borderId="29" fillId="4" fontId="20" numFmtId="0" xfId="0" applyAlignment="1" applyBorder="1" applyFont="1">
      <alignment horizontal="left" readingOrder="0" vertical="center"/>
    </xf>
    <xf borderId="41" fillId="0" fontId="17" numFmtId="0" xfId="0" applyAlignment="1" applyBorder="1" applyFont="1">
      <alignment horizontal="center" readingOrder="0" vertical="center"/>
    </xf>
    <xf borderId="42" fillId="0" fontId="17" numFmtId="0" xfId="0" applyAlignment="1" applyBorder="1" applyFont="1">
      <alignment horizontal="center" readingOrder="0" vertical="center"/>
    </xf>
    <xf borderId="42" fillId="19" fontId="25" numFmtId="0" xfId="0" applyAlignment="1" applyBorder="1" applyFont="1">
      <alignment horizontal="center"/>
    </xf>
    <xf borderId="42" fillId="0" fontId="19" numFmtId="0" xfId="0" applyAlignment="1" applyBorder="1" applyFont="1">
      <alignment horizontal="center" readingOrder="0" vertical="center"/>
    </xf>
    <xf borderId="42" fillId="0" fontId="2" numFmtId="0" xfId="0" applyAlignment="1" applyBorder="1" applyFont="1">
      <alignment horizontal="center"/>
    </xf>
    <xf borderId="42" fillId="0" fontId="2" numFmtId="0" xfId="0" applyBorder="1" applyFont="1"/>
    <xf borderId="42" fillId="0" fontId="20" numFmtId="0" xfId="0" applyAlignment="1" applyBorder="1" applyFont="1">
      <alignment horizontal="left" readingOrder="0" vertical="center"/>
    </xf>
    <xf borderId="43" fillId="4" fontId="21" numFmtId="0" xfId="0" applyAlignment="1" applyBorder="1" applyFont="1">
      <alignment horizontal="left" readingOrder="0" vertical="center"/>
    </xf>
    <xf borderId="7" fillId="27" fontId="26" numFmtId="0" xfId="0" applyAlignment="1" applyBorder="1" applyFont="1">
      <alignment horizontal="center" vertical="center"/>
    </xf>
    <xf borderId="7" fillId="27" fontId="1" numFmtId="0" xfId="0" applyAlignment="1" applyBorder="1" applyFont="1">
      <alignment vertical="center"/>
    </xf>
    <xf borderId="7" fillId="27" fontId="20" numFmtId="0" xfId="0" applyAlignment="1" applyBorder="1" applyFont="1">
      <alignment horizontal="left" shrinkToFit="0" vertical="center" wrapText="0"/>
    </xf>
    <xf borderId="26" fillId="27" fontId="21" numFmtId="0" xfId="0" applyAlignment="1" applyBorder="1" applyFont="1">
      <alignment horizontal="left" vertical="center"/>
    </xf>
    <xf borderId="27" fillId="28" fontId="21" numFmtId="0" xfId="0" applyAlignment="1" applyBorder="1" applyFont="1">
      <alignment horizontal="left" vertical="center"/>
    </xf>
    <xf borderId="0" fillId="20" fontId="1" numFmtId="0" xfId="0" applyAlignment="1" applyFont="1">
      <alignment vertical="center"/>
    </xf>
    <xf borderId="27" fillId="20" fontId="21" numFmtId="0" xfId="0" applyAlignment="1" applyBorder="1" applyFont="1">
      <alignment horizontal="left" vertical="center"/>
    </xf>
    <xf borderId="7" fillId="20" fontId="26" numFmtId="0" xfId="0" applyAlignment="1" applyBorder="1" applyFont="1">
      <alignment horizontal="center" vertical="center"/>
    </xf>
    <xf borderId="7" fillId="20" fontId="1" numFmtId="0" xfId="0" applyAlignment="1" applyBorder="1" applyFont="1">
      <alignment vertical="center"/>
    </xf>
    <xf borderId="7" fillId="20" fontId="20" numFmtId="0" xfId="0" applyAlignment="1" applyBorder="1" applyFont="1">
      <alignment horizontal="left" vertical="center"/>
    </xf>
    <xf borderId="26" fillId="20" fontId="21" numFmtId="0" xfId="0" applyAlignment="1" applyBorder="1" applyFont="1">
      <alignment horizontal="left" vertical="center"/>
    </xf>
    <xf borderId="0" fillId="26" fontId="1" numFmtId="0" xfId="0" applyAlignment="1" applyFont="1">
      <alignment vertical="center"/>
    </xf>
    <xf borderId="29" fillId="34" fontId="26" numFmtId="0" xfId="0" applyAlignment="1" applyBorder="1" applyFill="1" applyFont="1">
      <alignment horizontal="center" vertical="center"/>
    </xf>
    <xf borderId="29" fillId="34" fontId="1" numFmtId="0" xfId="0" applyAlignment="1" applyBorder="1" applyFont="1">
      <alignment vertical="center"/>
    </xf>
    <xf borderId="29" fillId="34" fontId="20" numFmtId="0" xfId="0" applyAlignment="1" applyBorder="1" applyFont="1">
      <alignment horizontal="left" vertical="center"/>
    </xf>
    <xf borderId="29" fillId="34" fontId="21" numFmtId="0" xfId="0" applyAlignment="1" applyBorder="1" applyFont="1">
      <alignment horizontal="left" vertical="center"/>
    </xf>
    <xf borderId="7" fillId="27" fontId="20" numFmtId="0" xfId="0" applyAlignment="1" applyBorder="1" applyFont="1">
      <alignment horizontal="left" vertical="center"/>
    </xf>
    <xf borderId="0" fillId="30" fontId="26" numFmtId="0" xfId="0" applyAlignment="1" applyFont="1">
      <alignment horizontal="center" vertical="center"/>
    </xf>
    <xf borderId="0" fillId="30" fontId="1" numFmtId="0" xfId="0" applyAlignment="1" applyFont="1">
      <alignment vertical="center"/>
    </xf>
    <xf borderId="0" fillId="30" fontId="20" numFmtId="0" xfId="0" applyAlignment="1" applyFont="1">
      <alignment horizontal="left" vertical="center"/>
    </xf>
    <xf borderId="27" fillId="30" fontId="21" numFmtId="0" xfId="0" applyAlignment="1" applyBorder="1" applyFont="1">
      <alignment horizontal="left" vertical="center"/>
    </xf>
    <xf borderId="29" fillId="26" fontId="26" numFmtId="0" xfId="0" applyAlignment="1" applyBorder="1" applyFont="1">
      <alignment horizontal="center" vertical="center"/>
    </xf>
    <xf borderId="29" fillId="26" fontId="1" numFmtId="0" xfId="0" applyAlignment="1" applyBorder="1" applyFont="1">
      <alignment vertical="center"/>
    </xf>
    <xf borderId="29" fillId="26" fontId="20" numFmtId="0" xfId="0" applyAlignment="1" applyBorder="1" applyFont="1">
      <alignment horizontal="left" vertical="center"/>
    </xf>
    <xf borderId="30" fillId="26" fontId="21" numFmtId="0" xfId="0" applyAlignment="1" applyBorder="1" applyFont="1">
      <alignment horizontal="left" vertical="center"/>
    </xf>
    <xf borderId="7" fillId="23" fontId="26" numFmtId="0" xfId="0" applyAlignment="1" applyBorder="1" applyFont="1">
      <alignment horizontal="center" vertical="center"/>
    </xf>
    <xf borderId="7" fillId="23" fontId="1" numFmtId="0" xfId="0" applyAlignment="1" applyBorder="1" applyFont="1">
      <alignment vertical="center"/>
    </xf>
    <xf borderId="7" fillId="23" fontId="1" numFmtId="0" xfId="0" applyAlignment="1" applyBorder="1" applyFont="1">
      <alignment vertical="center"/>
    </xf>
    <xf borderId="26" fillId="23" fontId="21" numFmtId="0" xfId="0" applyAlignment="1" applyBorder="1" applyFont="1">
      <alignment vertical="center"/>
    </xf>
    <xf borderId="0" fillId="26" fontId="1" numFmtId="0" xfId="0" applyAlignment="1" applyFont="1">
      <alignment vertical="center"/>
    </xf>
    <xf borderId="27" fillId="26" fontId="21" numFmtId="0" xfId="0" applyAlignment="1" applyBorder="1" applyFont="1">
      <alignment vertical="center"/>
    </xf>
    <xf borderId="0" fillId="33" fontId="26" numFmtId="0" xfId="0" applyAlignment="1" applyFont="1">
      <alignment horizontal="center" vertical="center"/>
    </xf>
    <xf borderId="0" fillId="33" fontId="1" numFmtId="0" xfId="0" applyAlignment="1" applyFont="1">
      <alignment vertical="center"/>
    </xf>
    <xf borderId="0" fillId="33" fontId="1" numFmtId="0" xfId="0" applyAlignment="1" applyFont="1">
      <alignment vertical="center"/>
    </xf>
    <xf borderId="27" fillId="33" fontId="21" numFmtId="0" xfId="0" applyAlignment="1" applyBorder="1" applyFont="1">
      <alignment vertical="center"/>
    </xf>
    <xf borderId="0" fillId="22" fontId="1" numFmtId="0" xfId="0" applyAlignment="1" applyFont="1">
      <alignment vertical="center"/>
    </xf>
    <xf borderId="27" fillId="22" fontId="21" numFmtId="0" xfId="0" applyAlignment="1" applyBorder="1" applyFont="1">
      <alignment vertical="center"/>
    </xf>
    <xf borderId="29" fillId="22" fontId="1" numFmtId="0" xfId="0" applyAlignment="1" applyBorder="1" applyFont="1">
      <alignment vertical="center"/>
    </xf>
    <xf borderId="30" fillId="22" fontId="21" numFmtId="0" xfId="0" applyAlignment="1" applyBorder="1" applyFont="1">
      <alignment vertical="center"/>
    </xf>
    <xf borderId="1" fillId="21" fontId="24" numFmtId="0" xfId="0" applyAlignment="1" applyBorder="1" applyFont="1">
      <alignment horizontal="center" readingOrder="0" vertical="center"/>
    </xf>
    <xf borderId="25" fillId="21" fontId="24" numFmtId="0" xfId="0" applyAlignment="1" applyBorder="1" applyFont="1">
      <alignment horizontal="center" readingOrder="0" vertical="center"/>
    </xf>
    <xf borderId="7" fillId="21" fontId="24" numFmtId="0" xfId="0" applyAlignment="1" applyBorder="1" applyFont="1">
      <alignment horizontal="center" readingOrder="0" vertical="center"/>
    </xf>
    <xf borderId="7" fillId="0" fontId="16" numFmtId="0" xfId="0" applyAlignment="1" applyBorder="1" applyFont="1">
      <alignment horizontal="center" readingOrder="0" vertical="center"/>
    </xf>
    <xf borderId="7" fillId="7" fontId="19" numFmtId="0" xfId="0" applyAlignment="1" applyBorder="1" applyFont="1">
      <alignment horizontal="center" vertical="center"/>
    </xf>
    <xf borderId="7" fillId="7" fontId="28" numFmtId="0" xfId="0" applyAlignment="1" applyBorder="1" applyFont="1">
      <alignment horizontal="center" readingOrder="0" vertical="center"/>
    </xf>
    <xf borderId="7" fillId="7" fontId="30" numFmtId="0" xfId="0" applyAlignment="1" applyBorder="1" applyFont="1">
      <alignment horizontal="center" vertical="center"/>
    </xf>
    <xf borderId="7" fillId="7" fontId="20" numFmtId="0" xfId="0" applyAlignment="1" applyBorder="1" applyFont="1">
      <alignment horizontal="left" vertical="center"/>
    </xf>
    <xf borderId="1" fillId="0" fontId="27" numFmtId="0" xfId="0" applyAlignment="1" applyBorder="1" applyFont="1">
      <alignment horizontal="center" readingOrder="0" vertical="center"/>
    </xf>
    <xf borderId="1" fillId="35" fontId="27" numFmtId="0" xfId="0" applyAlignment="1" applyBorder="1" applyFill="1" applyFont="1">
      <alignment horizontal="center" readingOrder="0" vertical="center"/>
    </xf>
    <xf borderId="0" fillId="35" fontId="27" numFmtId="0" xfId="0" applyAlignment="1" applyFont="1">
      <alignment horizontal="center" readingOrder="0" vertical="center"/>
    </xf>
    <xf borderId="29" fillId="0" fontId="19" numFmtId="0" xfId="0" applyAlignment="1" applyBorder="1" applyFont="1">
      <alignment horizontal="center" readingOrder="0"/>
    </xf>
    <xf borderId="7" fillId="0" fontId="19" numFmtId="0" xfId="0" applyAlignment="1" applyBorder="1" applyFont="1">
      <alignment horizontal="center" vertical="center"/>
    </xf>
    <xf borderId="7" fillId="0" fontId="1" numFmtId="0" xfId="0" applyAlignment="1" applyBorder="1" applyFont="1">
      <alignment vertical="bottom"/>
    </xf>
    <xf borderId="7" fillId="0" fontId="20" numFmtId="0" xfId="0" applyAlignment="1" applyBorder="1" applyFont="1">
      <alignment horizontal="left" vertical="center"/>
    </xf>
    <xf borderId="7" fillId="4" fontId="19" numFmtId="0" xfId="0" applyAlignment="1" applyBorder="1" applyFont="1">
      <alignment horizontal="center" vertical="center"/>
    </xf>
    <xf borderId="7" fillId="4" fontId="1" numFmtId="0" xfId="0" applyAlignment="1" applyBorder="1" applyFont="1">
      <alignment vertical="bottom"/>
    </xf>
    <xf borderId="7" fillId="4" fontId="20" numFmtId="0" xfId="0" applyAlignment="1" applyBorder="1" applyFont="1">
      <alignment horizontal="left" vertical="center"/>
    </xf>
    <xf borderId="7" fillId="28" fontId="19" numFmtId="0" xfId="0" applyAlignment="1" applyBorder="1" applyFont="1">
      <alignment horizontal="center" vertical="center"/>
    </xf>
    <xf borderId="7" fillId="28" fontId="2" numFmtId="0" xfId="0" applyAlignment="1" applyBorder="1" applyFont="1">
      <alignment readingOrder="0"/>
    </xf>
    <xf borderId="7" fillId="28" fontId="1" numFmtId="0" xfId="0" applyAlignment="1" applyBorder="1" applyFont="1">
      <alignment vertical="bottom"/>
    </xf>
    <xf borderId="7" fillId="28" fontId="20" numFmtId="0" xfId="0" applyAlignment="1" applyBorder="1" applyFont="1">
      <alignment horizontal="left" vertical="center"/>
    </xf>
    <xf borderId="7" fillId="28" fontId="21" numFmtId="0" xfId="0" applyAlignment="1" applyBorder="1" applyFont="1">
      <alignment horizontal="left" vertical="center"/>
    </xf>
    <xf borderId="29" fillId="0" fontId="1" numFmtId="0" xfId="0" applyAlignment="1" applyBorder="1" applyFont="1">
      <alignment horizontal="center" vertical="center"/>
    </xf>
    <xf borderId="25" fillId="0" fontId="24" numFmtId="0" xfId="0" applyAlignment="1" applyBorder="1" applyFont="1">
      <alignment horizontal="center" readingOrder="0" shrinkToFit="0" vertical="center" wrapText="1"/>
    </xf>
    <xf borderId="7" fillId="0" fontId="24" numFmtId="0" xfId="0" applyAlignment="1" applyBorder="1" applyFont="1">
      <alignment horizontal="center" readingOrder="0" shrinkToFit="0" vertical="center" wrapText="1"/>
    </xf>
    <xf borderId="7" fillId="19" fontId="25" numFmtId="0" xfId="0" applyAlignment="1" applyBorder="1" applyFont="1">
      <alignment horizontal="center"/>
    </xf>
    <xf borderId="7" fillId="0" fontId="17" numFmtId="0" xfId="0" applyAlignment="1" applyBorder="1" applyFont="1">
      <alignment horizontal="center" readingOrder="0" vertical="center"/>
    </xf>
    <xf borderId="27" fillId="18" fontId="28" numFmtId="0" xfId="0" applyAlignment="1" applyBorder="1" applyFont="1">
      <alignment horizontal="left" readingOrder="0" vertical="center"/>
    </xf>
    <xf borderId="7" fillId="0" fontId="26" numFmtId="0" xfId="0" applyAlignment="1" applyBorder="1" applyFont="1">
      <alignment horizontal="center" readingOrder="0" vertical="center"/>
    </xf>
    <xf borderId="7" fillId="0" fontId="44" numFmtId="0" xfId="0" applyAlignment="1" applyBorder="1" applyFont="1">
      <alignment horizontal="left" readingOrder="0" vertical="center"/>
    </xf>
    <xf borderId="7" fillId="6" fontId="19" numFmtId="0" xfId="0" applyAlignment="1" applyBorder="1" applyFont="1">
      <alignment horizontal="center" vertical="center"/>
    </xf>
    <xf borderId="7" fillId="6" fontId="2" numFmtId="0" xfId="0" applyAlignment="1" applyBorder="1" applyFont="1">
      <alignment horizontal="center" readingOrder="0" vertical="center"/>
    </xf>
    <xf borderId="7" fillId="6" fontId="1" numFmtId="0" xfId="0" applyAlignment="1" applyBorder="1" applyFont="1">
      <alignment horizontal="center" vertical="center"/>
    </xf>
    <xf borderId="7" fillId="6" fontId="22" numFmtId="0" xfId="0" applyAlignment="1" applyBorder="1" applyFont="1">
      <alignment horizontal="left" vertical="center"/>
    </xf>
    <xf borderId="26" fillId="6" fontId="28" numFmtId="0" xfId="0" applyAlignment="1" applyBorder="1" applyFont="1">
      <alignment horizontal="left" readingOrder="0" vertical="center"/>
    </xf>
    <xf borderId="28" fillId="24" fontId="45" numFmtId="0" xfId="0" applyAlignment="1" applyBorder="1" applyFont="1">
      <alignment horizontal="center" readingOrder="0" vertical="center"/>
    </xf>
    <xf borderId="29" fillId="24" fontId="22" numFmtId="0" xfId="0" applyAlignment="1" applyBorder="1" applyFont="1">
      <alignment horizontal="left" readingOrder="0" vertical="center"/>
    </xf>
    <xf borderId="30" fillId="24" fontId="21" numFmtId="0" xfId="0" applyAlignment="1" applyBorder="1" applyFont="1">
      <alignment horizontal="left" readingOrder="0" vertical="center"/>
    </xf>
    <xf borderId="1" fillId="0" fontId="37" numFmtId="0" xfId="0" applyAlignment="1" applyBorder="1" applyFont="1">
      <alignment horizontal="center" vertical="center"/>
    </xf>
    <xf borderId="7" fillId="0" fontId="25" numFmtId="0" xfId="0" applyAlignment="1" applyBorder="1" applyFont="1">
      <alignment horizontal="center" vertical="center"/>
    </xf>
    <xf borderId="7" fillId="0" fontId="26" numFmtId="0" xfId="0" applyAlignment="1" applyBorder="1" applyFont="1">
      <alignment horizontal="center"/>
    </xf>
    <xf borderId="7" fillId="0" fontId="26" numFmtId="0" xfId="0" applyBorder="1" applyFont="1"/>
    <xf borderId="0" fillId="0" fontId="1" numFmtId="0" xfId="0" applyFont="1"/>
    <xf borderId="0" fillId="4" fontId="1" numFmtId="0" xfId="0" applyAlignment="1" applyFont="1">
      <alignment readingOrder="0"/>
    </xf>
    <xf borderId="0" fillId="0" fontId="26" numFmtId="0" xfId="0" applyAlignment="1" applyFont="1">
      <alignment horizontal="center" readingOrder="0"/>
    </xf>
    <xf borderId="1" fillId="21" fontId="27" numFmtId="0" xfId="0" applyAlignment="1" applyBorder="1" applyFont="1">
      <alignment horizontal="center" readingOrder="0" vertical="center"/>
    </xf>
    <xf borderId="25" fillId="0" fontId="37" numFmtId="0" xfId="0" applyAlignment="1" applyBorder="1" applyFont="1">
      <alignment horizontal="center" vertical="center"/>
    </xf>
    <xf borderId="25" fillId="0" fontId="24" numFmtId="0" xfId="0" applyAlignment="1" applyBorder="1" applyFont="1">
      <alignment horizontal="center" readingOrder="0" vertical="center"/>
    </xf>
    <xf borderId="7" fillId="5" fontId="21" numFmtId="0" xfId="0" applyAlignment="1" applyBorder="1" applyFont="1">
      <alignment horizontal="left" readingOrder="0" vertical="center"/>
    </xf>
    <xf borderId="7" fillId="0" fontId="21" numFmtId="0" xfId="0" applyAlignment="1" applyBorder="1" applyFont="1">
      <alignment vertical="bottom"/>
    </xf>
    <xf borderId="26" fillId="0" fontId="2" numFmtId="0" xfId="0" applyBorder="1" applyFont="1"/>
    <xf borderId="0" fillId="6" fontId="28" numFmtId="0" xfId="0" applyAlignment="1" applyFont="1">
      <alignment horizontal="left" readingOrder="0" vertical="center"/>
    </xf>
    <xf borderId="27" fillId="0" fontId="2" numFmtId="0" xfId="0" applyBorder="1" applyFont="1"/>
    <xf borderId="0" fillId="4" fontId="28" numFmtId="0" xfId="0" applyAlignment="1" applyFont="1">
      <alignment horizontal="left" readingOrder="0" vertical="center"/>
    </xf>
    <xf borderId="29" fillId="0" fontId="21" numFmtId="0" xfId="0" applyAlignment="1" applyBorder="1" applyFont="1">
      <alignment vertical="bottom"/>
    </xf>
    <xf borderId="30" fillId="0" fontId="2" numFmtId="0" xfId="0" applyBorder="1" applyFont="1"/>
    <xf borderId="0" fillId="7" fontId="28" numFmtId="0" xfId="0" applyAlignment="1" applyFont="1">
      <alignment horizontal="center" readingOrder="0" vertical="center"/>
    </xf>
    <xf borderId="0" fillId="7" fontId="30" numFmtId="0" xfId="0" applyAlignment="1" applyFont="1">
      <alignment horizontal="center" vertical="center"/>
    </xf>
    <xf borderId="29" fillId="0" fontId="20" numFmtId="0" xfId="0" applyAlignment="1" applyBorder="1" applyFont="1">
      <alignment horizontal="left" readingOrder="0" vertical="center"/>
    </xf>
    <xf borderId="7" fillId="0" fontId="23" numFmtId="0" xfId="0" applyAlignment="1" applyBorder="1" applyFont="1">
      <alignment horizontal="center" readingOrder="0" vertical="center"/>
    </xf>
    <xf borderId="7" fillId="23" fontId="20" numFmtId="0" xfId="0" applyAlignment="1" applyBorder="1" applyFont="1">
      <alignment horizontal="left" vertical="center"/>
    </xf>
    <xf borderId="26" fillId="23" fontId="21" numFmtId="0" xfId="0" applyAlignment="1" applyBorder="1" applyFont="1">
      <alignment horizontal="left" vertical="center"/>
    </xf>
    <xf borderId="0" fillId="34" fontId="26" numFmtId="0" xfId="0" applyAlignment="1" applyFont="1">
      <alignment horizontal="center" vertical="center"/>
    </xf>
    <xf borderId="0" fillId="34" fontId="1" numFmtId="0" xfId="0" applyAlignment="1" applyFont="1">
      <alignment vertical="center"/>
    </xf>
    <xf borderId="0" fillId="34" fontId="20" numFmtId="0" xfId="0" applyAlignment="1" applyFont="1">
      <alignment horizontal="left" vertical="center"/>
    </xf>
    <xf borderId="27" fillId="34" fontId="21" numFmtId="0" xfId="0" applyAlignment="1" applyBorder="1" applyFont="1">
      <alignment horizontal="left" vertical="center"/>
    </xf>
    <xf borderId="29" fillId="33" fontId="26" numFmtId="0" xfId="0" applyAlignment="1" applyBorder="1" applyFont="1">
      <alignment horizontal="center" vertical="center"/>
    </xf>
    <xf borderId="29" fillId="33" fontId="1" numFmtId="0" xfId="0" applyAlignment="1" applyBorder="1" applyFont="1">
      <alignment vertical="center"/>
    </xf>
    <xf borderId="29" fillId="33" fontId="20" numFmtId="0" xfId="0" applyAlignment="1" applyBorder="1" applyFont="1">
      <alignment horizontal="left" vertical="center"/>
    </xf>
    <xf borderId="30" fillId="33" fontId="21" numFmtId="0" xfId="0" applyAlignment="1" applyBorder="1" applyFont="1">
      <alignment horizontal="left" vertical="center"/>
    </xf>
    <xf borderId="0" fillId="0" fontId="46" numFmtId="0" xfId="0" applyAlignment="1" applyFont="1">
      <alignment horizontal="center" readingOrder="0" vertical="center"/>
    </xf>
    <xf borderId="0" fillId="0" fontId="28" numFmtId="0" xfId="0" applyAlignment="1" applyFont="1">
      <alignment horizontal="center" vertical="center"/>
    </xf>
    <xf borderId="0" fillId="0" fontId="28" numFmtId="0" xfId="0" applyAlignment="1" applyFont="1">
      <alignment horizontal="center" readingOrder="0" vertical="center"/>
    </xf>
    <xf borderId="41" fillId="0" fontId="37" numFmtId="0" xfId="0" applyAlignment="1" applyBorder="1" applyFont="1">
      <alignment horizontal="center"/>
    </xf>
    <xf borderId="42" fillId="0" fontId="27" numFmtId="0" xfId="0" applyAlignment="1" applyBorder="1" applyFont="1">
      <alignment horizontal="center"/>
    </xf>
    <xf borderId="42" fillId="19" fontId="25" numFmtId="0" xfId="0" applyAlignment="1" applyBorder="1" applyFont="1">
      <alignment horizontal="center" vertical="bottom"/>
    </xf>
    <xf borderId="42" fillId="25" fontId="26" numFmtId="0" xfId="0" applyAlignment="1" applyBorder="1" applyFont="1">
      <alignment horizontal="center" vertical="center"/>
    </xf>
    <xf borderId="42" fillId="25" fontId="1" numFmtId="0" xfId="0" applyBorder="1" applyFont="1"/>
    <xf borderId="42" fillId="25" fontId="20" numFmtId="0" xfId="0" applyAlignment="1" applyBorder="1" applyFont="1">
      <alignment horizontal="left" vertical="center"/>
    </xf>
    <xf borderId="43" fillId="25" fontId="21" numFmtId="0" xfId="0" applyAlignment="1" applyBorder="1" applyFont="1">
      <alignment horizontal="left" vertical="center"/>
    </xf>
    <xf borderId="7" fillId="25" fontId="1" numFmtId="0" xfId="0" applyAlignment="1" applyBorder="1" applyFont="1">
      <alignment vertical="center"/>
    </xf>
    <xf borderId="30" fillId="5" fontId="28" numFmtId="0" xfId="0" applyAlignment="1" applyBorder="1" applyFont="1">
      <alignment horizontal="left" readingOrder="0" vertical="center"/>
    </xf>
    <xf borderId="0" fillId="0" fontId="27" numFmtId="0" xfId="0" applyAlignment="1" applyFont="1">
      <alignment horizontal="center" vertical="center"/>
    </xf>
    <xf borderId="42" fillId="0" fontId="27" numFmtId="0" xfId="0" applyAlignment="1" applyBorder="1" applyFont="1">
      <alignment horizontal="center" readingOrder="0" vertical="center"/>
    </xf>
    <xf borderId="42" fillId="0" fontId="18" numFmtId="0" xfId="0" applyAlignment="1" applyBorder="1" applyFont="1">
      <alignment horizontal="center" vertical="center"/>
    </xf>
    <xf borderId="42" fillId="0" fontId="22" numFmtId="0" xfId="0" applyAlignment="1" applyBorder="1" applyFont="1">
      <alignment horizontal="left" readingOrder="0" vertical="center"/>
    </xf>
    <xf borderId="41" fillId="0" fontId="27" numFmtId="0" xfId="0" applyAlignment="1" applyBorder="1" applyFont="1">
      <alignment horizontal="center" readingOrder="0" vertical="center"/>
    </xf>
    <xf borderId="42" fillId="0" fontId="24" numFmtId="0" xfId="0" applyAlignment="1" applyBorder="1" applyFont="1">
      <alignment horizontal="center" readingOrder="0" vertical="center"/>
    </xf>
    <xf borderId="42" fillId="0" fontId="22" numFmtId="0" xfId="0" applyAlignment="1" applyBorder="1" applyFont="1">
      <alignment horizontal="left" readingOrder="0" shrinkToFit="0" vertical="center" wrapText="0"/>
    </xf>
    <xf borderId="43" fillId="0" fontId="21" numFmtId="0" xfId="0" applyAlignment="1" applyBorder="1" applyFont="1">
      <alignment horizontal="left" vertical="center"/>
    </xf>
    <xf borderId="25" fillId="0" fontId="24" numFmtId="0" xfId="0" applyAlignment="1" applyBorder="1" applyFont="1">
      <alignment horizontal="center" readingOrder="0"/>
    </xf>
    <xf borderId="7" fillId="0" fontId="24" numFmtId="0" xfId="0" applyAlignment="1" applyBorder="1" applyFont="1">
      <alignment horizontal="center" readingOrder="0" shrinkToFit="0" wrapText="0"/>
    </xf>
    <xf borderId="29" fillId="7" fontId="26" numFmtId="0" xfId="0" applyAlignment="1" applyBorder="1" applyFont="1">
      <alignment horizontal="center" vertical="center"/>
    </xf>
    <xf borderId="30" fillId="7" fontId="28" numFmtId="0" xfId="0" applyAlignment="1" applyBorder="1" applyFont="1">
      <alignment horizontal="left" readingOrder="0" vertical="center"/>
    </xf>
    <xf borderId="0" fillId="19" fontId="25" numFmtId="0" xfId="0" applyAlignment="1" applyFont="1">
      <alignment horizontal="center"/>
    </xf>
    <xf borderId="7" fillId="10" fontId="19" numFmtId="0" xfId="0" applyAlignment="1" applyBorder="1" applyFont="1">
      <alignment horizontal="center" vertical="center"/>
    </xf>
    <xf borderId="7" fillId="10" fontId="2" numFmtId="0" xfId="0" applyAlignment="1" applyBorder="1" applyFont="1">
      <alignment readingOrder="0"/>
    </xf>
    <xf borderId="7" fillId="10" fontId="1" numFmtId="0" xfId="0" applyAlignment="1" applyBorder="1" applyFont="1">
      <alignment vertical="bottom"/>
    </xf>
    <xf borderId="7" fillId="10" fontId="20" numFmtId="0" xfId="0" applyAlignment="1" applyBorder="1" applyFont="1">
      <alignment horizontal="left" vertical="center"/>
    </xf>
    <xf borderId="26" fillId="10" fontId="28" numFmtId="0" xfId="0" applyAlignment="1" applyBorder="1" applyFont="1">
      <alignment horizontal="left" readingOrder="0" vertical="center"/>
    </xf>
    <xf borderId="42" fillId="0" fontId="27" numFmtId="0" xfId="0" applyAlignment="1" applyBorder="1" applyFont="1">
      <alignment horizontal="center" vertical="center"/>
    </xf>
    <xf borderId="42" fillId="19" fontId="25" numFmtId="0" xfId="0" applyAlignment="1" applyBorder="1" applyFont="1">
      <alignment horizontal="center" vertical="center"/>
    </xf>
    <xf borderId="42" fillId="26" fontId="26" numFmtId="0" xfId="0" applyAlignment="1" applyBorder="1" applyFont="1">
      <alignment horizontal="center" vertical="center"/>
    </xf>
    <xf borderId="42" fillId="26" fontId="1" numFmtId="0" xfId="0" applyAlignment="1" applyBorder="1" applyFont="1">
      <alignment vertical="center"/>
    </xf>
    <xf borderId="42" fillId="26" fontId="20" numFmtId="0" xfId="0" applyAlignment="1" applyBorder="1" applyFont="1">
      <alignment horizontal="left" vertical="center"/>
    </xf>
    <xf borderId="43" fillId="26" fontId="21" numFmtId="0" xfId="0" applyAlignment="1" applyBorder="1" applyFont="1">
      <alignment horizontal="left" vertical="center"/>
    </xf>
    <xf borderId="41" fillId="0" fontId="17" numFmtId="0" xfId="0" applyAlignment="1" applyBorder="1" applyFont="1">
      <alignment horizontal="center" readingOrder="0"/>
    </xf>
    <xf borderId="42" fillId="0" fontId="17" numFmtId="0" xfId="0" applyAlignment="1" applyBorder="1" applyFont="1">
      <alignment horizontal="center" readingOrder="0"/>
    </xf>
    <xf borderId="42" fillId="0" fontId="26" numFmtId="0" xfId="0" applyAlignment="1" applyBorder="1" applyFont="1">
      <alignment horizontal="center" readingOrder="0" vertical="center"/>
    </xf>
    <xf borderId="41" fillId="0" fontId="24" numFmtId="0" xfId="0" applyAlignment="1" applyBorder="1" applyFont="1">
      <alignment horizontal="center" readingOrder="0" vertical="center"/>
    </xf>
    <xf borderId="42" fillId="4" fontId="19" numFmtId="0" xfId="0" applyAlignment="1" applyBorder="1" applyFont="1">
      <alignment horizontal="center" vertical="center"/>
    </xf>
    <xf borderId="42" fillId="4" fontId="2" numFmtId="0" xfId="0" applyAlignment="1" applyBorder="1" applyFont="1">
      <alignment readingOrder="0"/>
    </xf>
    <xf borderId="42" fillId="4" fontId="1" numFmtId="0" xfId="0" applyAlignment="1" applyBorder="1" applyFont="1">
      <alignment vertical="bottom"/>
    </xf>
    <xf borderId="42" fillId="4" fontId="20" numFmtId="0" xfId="0" applyAlignment="1" applyBorder="1" applyFont="1">
      <alignment horizontal="left" vertical="center"/>
    </xf>
    <xf borderId="28" fillId="0" fontId="24" numFmtId="0" xfId="0" applyAlignment="1" applyBorder="1" applyFont="1">
      <alignment horizontal="center" readingOrder="0" vertical="center"/>
    </xf>
    <xf borderId="29" fillId="0" fontId="24" numFmtId="0" xfId="0" applyAlignment="1" applyBorder="1" applyFont="1">
      <alignment horizontal="center" readingOrder="0" vertical="center"/>
    </xf>
    <xf borderId="29" fillId="0" fontId="18" numFmtId="0" xfId="0" applyAlignment="1" applyBorder="1" applyFont="1">
      <alignment horizontal="center" vertical="center"/>
    </xf>
    <xf borderId="29" fillId="36" fontId="19" numFmtId="0" xfId="0" applyAlignment="1" applyBorder="1" applyFill="1" applyFont="1">
      <alignment horizontal="center" readingOrder="0" vertical="center"/>
    </xf>
    <xf borderId="0" fillId="0" fontId="24" numFmtId="0" xfId="0" applyAlignment="1" applyFont="1">
      <alignment horizontal="center" readingOrder="0"/>
    </xf>
    <xf borderId="0" fillId="0" fontId="29" numFmtId="0" xfId="0" applyAlignment="1" applyFont="1">
      <alignment horizontal="center" readingOrder="0" vertical="top"/>
    </xf>
    <xf borderId="0" fillId="36" fontId="19" numFmtId="0" xfId="0" applyAlignment="1" applyFont="1">
      <alignment horizontal="center" readingOrder="0" vertical="center"/>
    </xf>
    <xf borderId="42" fillId="0" fontId="29" numFmtId="0" xfId="0" applyAlignment="1" applyBorder="1" applyFont="1">
      <alignment horizontal="center" readingOrder="0" vertical="center"/>
    </xf>
    <xf borderId="42" fillId="36" fontId="19" numFmtId="0" xfId="0" applyAlignment="1" applyBorder="1" applyFont="1">
      <alignment horizontal="center" readingOrder="0" vertical="center"/>
    </xf>
    <xf borderId="42" fillId="0" fontId="5" numFmtId="0" xfId="0" applyBorder="1" applyFont="1"/>
    <xf borderId="43" fillId="0" fontId="5" numFmtId="0" xfId="0" applyBorder="1" applyFont="1"/>
    <xf borderId="7" fillId="0" fontId="18" numFmtId="0" xfId="0" applyAlignment="1" applyBorder="1" applyFont="1">
      <alignment horizontal="center" readingOrder="0" vertical="center"/>
    </xf>
    <xf borderId="7" fillId="36" fontId="19" numFmtId="0" xfId="0" applyAlignment="1" applyBorder="1" applyFont="1">
      <alignment horizontal="center" readingOrder="0" vertical="center"/>
    </xf>
    <xf borderId="26" fillId="0" fontId="5" numFmtId="0" xfId="0" applyBorder="1" applyFont="1"/>
    <xf borderId="42" fillId="0" fontId="21" numFmtId="0" xfId="0" applyAlignment="1" applyBorder="1" applyFont="1">
      <alignment vertical="bottom"/>
    </xf>
    <xf borderId="43" fillId="0" fontId="2" numFmtId="0" xfId="0" applyBorder="1" applyFont="1"/>
    <xf borderId="25" fillId="18" fontId="27" numFmtId="0" xfId="0" applyAlignment="1" applyBorder="1" applyFont="1">
      <alignment horizontal="center" readingOrder="0" vertical="bottom"/>
    </xf>
    <xf borderId="7" fillId="18" fontId="37" numFmtId="0" xfId="0" applyAlignment="1" applyBorder="1" applyFont="1">
      <alignment horizontal="center" vertical="bottom"/>
    </xf>
    <xf borderId="7" fillId="36" fontId="26" numFmtId="0" xfId="0" applyAlignment="1" applyBorder="1" applyFont="1">
      <alignment horizontal="center" vertical="center"/>
    </xf>
    <xf borderId="42" fillId="36" fontId="26" numFmtId="0" xfId="0" applyAlignment="1" applyBorder="1" applyFont="1">
      <alignment horizontal="center" vertical="center"/>
    </xf>
    <xf borderId="0" fillId="36" fontId="26" numFmtId="0" xfId="0" applyAlignment="1" applyFont="1">
      <alignment horizontal="center" vertical="center"/>
    </xf>
    <xf borderId="25" fillId="0" fontId="27" numFmtId="0" xfId="0" applyAlignment="1" applyBorder="1" applyFont="1">
      <alignment horizontal="center"/>
    </xf>
    <xf borderId="7" fillId="0" fontId="27" numFmtId="0" xfId="0" applyAlignment="1" applyBorder="1" applyFont="1">
      <alignment horizontal="center"/>
    </xf>
    <xf borderId="25" fillId="0" fontId="24" numFmtId="0" xfId="0" applyAlignment="1" applyBorder="1" applyFont="1">
      <alignment horizontal="center" readingOrder="0"/>
    </xf>
    <xf borderId="7" fillId="0" fontId="24" numFmtId="0" xfId="0" applyAlignment="1" applyBorder="1" applyFont="1">
      <alignment horizontal="center" readingOrder="0"/>
    </xf>
    <xf borderId="1" fillId="0" fontId="27" numFmtId="0" xfId="0" applyAlignment="1" applyBorder="1" applyFont="1">
      <alignment horizontal="center" vertical="center"/>
    </xf>
    <xf borderId="0" fillId="37" fontId="25" numFmtId="0" xfId="0" applyAlignment="1" applyFill="1" applyFont="1">
      <alignment horizontal="center" vertical="center"/>
    </xf>
    <xf borderId="0" fillId="33" fontId="20" numFmtId="0" xfId="0" applyAlignment="1" applyFont="1">
      <alignment horizontal="left" vertical="center"/>
    </xf>
    <xf borderId="27" fillId="33" fontId="21" numFmtId="0" xfId="0" applyAlignment="1" applyBorder="1" applyFont="1">
      <alignment horizontal="left" vertical="center"/>
    </xf>
    <xf borderId="0" fillId="34" fontId="1" numFmtId="0" xfId="0" applyAlignment="1" applyFont="1">
      <alignment vertical="bottom"/>
    </xf>
    <xf borderId="0" fillId="26" fontId="1" numFmtId="0" xfId="0" applyFont="1"/>
    <xf borderId="0" fillId="0" fontId="17" numFmtId="0" xfId="0" applyAlignment="1" applyFont="1">
      <alignment horizontal="center" readingOrder="0"/>
    </xf>
    <xf borderId="0" fillId="0" fontId="29" numFmtId="0" xfId="0" applyAlignment="1" applyFont="1">
      <alignment horizontal="center" vertical="top"/>
    </xf>
    <xf borderId="0" fillId="0" fontId="18" numFmtId="0" xfId="0" applyAlignment="1" applyFont="1">
      <alignment horizontal="center"/>
    </xf>
    <xf borderId="0" fillId="5" fontId="21" numFmtId="0" xfId="0" applyAlignment="1" applyFont="1">
      <alignment horizontal="left" readingOrder="0" vertical="center"/>
    </xf>
    <xf borderId="0" fillId="0" fontId="12" numFmtId="0" xfId="0" applyAlignment="1" applyFont="1">
      <alignment horizontal="center" readingOrder="0"/>
    </xf>
    <xf borderId="0" fillId="0" fontId="14" numFmtId="0" xfId="0" applyAlignment="1" applyFont="1">
      <alignment horizontal="center" readingOrder="0"/>
    </xf>
    <xf borderId="0" fillId="0" fontId="15" numFmtId="0" xfId="0" applyAlignment="1" applyFont="1">
      <alignment horizontal="center" readingOrder="0"/>
    </xf>
    <xf borderId="7" fillId="0" fontId="22" numFmtId="0" xfId="0" applyAlignment="1" applyBorder="1" applyFont="1">
      <alignment readingOrder="0"/>
    </xf>
    <xf borderId="26" fillId="0" fontId="21" numFmtId="0" xfId="0" applyAlignment="1" applyBorder="1" applyFont="1">
      <alignment vertical="bottom"/>
    </xf>
    <xf borderId="0" fillId="0" fontId="22" numFmtId="0" xfId="0" applyAlignment="1" applyFont="1">
      <alignment readingOrder="0"/>
    </xf>
    <xf borderId="27" fillId="5" fontId="21" numFmtId="0" xfId="0" applyAlignment="1" applyBorder="1" applyFont="1">
      <alignment horizontal="left" readingOrder="0"/>
    </xf>
    <xf borderId="0" fillId="0" fontId="26" numFmtId="0" xfId="0" applyAlignment="1" applyFont="1">
      <alignment horizontal="center" vertical="center"/>
    </xf>
    <xf borderId="0" fillId="0" fontId="20" numFmtId="0" xfId="0" applyAlignment="1" applyFont="1">
      <alignment vertical="bottom"/>
    </xf>
    <xf borderId="27" fillId="0" fontId="21" numFmtId="0" xfId="0" applyAlignment="1" applyBorder="1" applyFont="1">
      <alignment vertical="bottom"/>
    </xf>
    <xf borderId="0" fillId="8" fontId="26" numFmtId="0" xfId="0" applyAlignment="1" applyFont="1">
      <alignment horizontal="center" vertical="center"/>
    </xf>
    <xf borderId="0" fillId="8" fontId="26" numFmtId="0" xfId="0" applyAlignment="1" applyFont="1">
      <alignment horizontal="center" vertical="bottom"/>
    </xf>
    <xf borderId="27" fillId="8" fontId="21" numFmtId="0" xfId="0" applyAlignment="1" applyBorder="1" applyFont="1">
      <alignment readingOrder="0"/>
    </xf>
    <xf borderId="27" fillId="9" fontId="21" numFmtId="0" xfId="0" applyAlignment="1" applyBorder="1" applyFont="1">
      <alignment horizontal="left" readingOrder="0"/>
    </xf>
    <xf borderId="0" fillId="11" fontId="26" numFmtId="0" xfId="0" applyAlignment="1" applyFont="1">
      <alignment horizontal="center" vertical="center"/>
    </xf>
    <xf borderId="0" fillId="11" fontId="26" numFmtId="0" xfId="0" applyAlignment="1" applyFont="1">
      <alignment horizontal="center" vertical="bottom"/>
    </xf>
    <xf borderId="0" fillId="11" fontId="20" numFmtId="0" xfId="0" applyAlignment="1" applyFont="1">
      <alignment vertical="bottom"/>
    </xf>
    <xf borderId="27" fillId="11" fontId="21" numFmtId="0" xfId="0" applyAlignment="1" applyBorder="1" applyFont="1">
      <alignment readingOrder="0"/>
    </xf>
    <xf borderId="42" fillId="0" fontId="18" numFmtId="0" xfId="0" applyAlignment="1" applyBorder="1" applyFont="1">
      <alignment horizontal="center" readingOrder="0" vertical="center"/>
    </xf>
    <xf borderId="42" fillId="0" fontId="22" numFmtId="0" xfId="0" applyAlignment="1" applyBorder="1" applyFont="1">
      <alignment horizontal="left" readingOrder="0"/>
    </xf>
    <xf borderId="43" fillId="0" fontId="21" numFmtId="0" xfId="0" applyAlignment="1" applyBorder="1" applyFont="1">
      <alignment vertical="bottom"/>
    </xf>
    <xf borderId="0" fillId="0" fontId="22" numFmtId="0" xfId="0" applyAlignment="1" applyFont="1">
      <alignment horizontal="left" readingOrder="0"/>
    </xf>
    <xf borderId="27" fillId="9" fontId="21" numFmtId="0" xfId="0" applyAlignment="1" applyBorder="1" applyFont="1">
      <alignment readingOrder="0"/>
    </xf>
    <xf borderId="0" fillId="7" fontId="22" numFmtId="0" xfId="0" applyAlignment="1" applyFont="1">
      <alignment vertical="bottom"/>
    </xf>
    <xf borderId="27" fillId="7" fontId="21" numFmtId="0" xfId="0" applyAlignment="1" applyBorder="1" applyFont="1">
      <alignment readingOrder="0"/>
    </xf>
    <xf borderId="29" fillId="0" fontId="22" numFmtId="0" xfId="0" applyAlignment="1" applyBorder="1" applyFont="1">
      <alignment horizontal="left" readingOrder="0"/>
    </xf>
    <xf borderId="30" fillId="0" fontId="21" numFmtId="0" xfId="0" applyAlignment="1" applyBorder="1" applyFont="1">
      <alignment vertical="bottom"/>
    </xf>
    <xf borderId="7" fillId="0" fontId="19" numFmtId="0" xfId="0" applyAlignment="1" applyBorder="1" applyFont="1">
      <alignment horizontal="center" readingOrder="0"/>
    </xf>
    <xf borderId="26" fillId="5" fontId="21" numFmtId="0" xfId="0" applyAlignment="1" applyBorder="1" applyFont="1">
      <alignment readingOrder="0"/>
    </xf>
    <xf borderId="0" fillId="0" fontId="19" numFmtId="0" xfId="0" applyAlignment="1" applyFont="1">
      <alignment horizontal="center" readingOrder="0"/>
    </xf>
    <xf borderId="0" fillId="0" fontId="47" numFmtId="0" xfId="0" applyAlignment="1" applyFont="1">
      <alignment horizontal="left" readingOrder="0"/>
    </xf>
    <xf borderId="7" fillId="0" fontId="23" numFmtId="0" xfId="0" applyAlignment="1" applyBorder="1" applyFont="1">
      <alignment horizontal="left" readingOrder="0"/>
    </xf>
    <xf borderId="0" fillId="0" fontId="23" numFmtId="0" xfId="0" applyAlignment="1" applyFont="1">
      <alignment horizontal="left" readingOrder="0"/>
    </xf>
    <xf borderId="29" fillId="0" fontId="23" numFmtId="0" xfId="0" applyAlignment="1" applyBorder="1" applyFont="1">
      <alignment horizontal="left" readingOrder="0"/>
    </xf>
    <xf borderId="29" fillId="0" fontId="22" numFmtId="0" xfId="0" applyAlignment="1" applyBorder="1" applyFont="1">
      <alignment readingOrder="0"/>
    </xf>
    <xf borderId="7" fillId="0" fontId="24" numFmtId="0" xfId="0" applyAlignment="1" applyBorder="1" applyFont="1">
      <alignment horizontal="center" vertical="center"/>
    </xf>
    <xf borderId="0" fillId="0" fontId="26" numFmtId="0" xfId="0" applyAlignment="1" applyFont="1">
      <alignment horizontal="center" readingOrder="0" vertical="center"/>
    </xf>
    <xf borderId="0" fillId="0" fontId="26" numFmtId="0" xfId="0" applyAlignment="1" applyFont="1">
      <alignment horizontal="center" vertical="bottom"/>
    </xf>
    <xf borderId="0" fillId="0" fontId="20" numFmtId="0" xfId="0" applyAlignment="1" applyFont="1">
      <alignment vertical="bottom"/>
    </xf>
    <xf borderId="27" fillId="0" fontId="21" numFmtId="0" xfId="0" applyAlignment="1" applyBorder="1" applyFont="1">
      <alignment readingOrder="0"/>
    </xf>
    <xf borderId="0" fillId="4" fontId="19" numFmtId="0" xfId="0" applyAlignment="1" applyFont="1">
      <alignment horizontal="center" vertical="bottom"/>
    </xf>
    <xf borderId="27" fillId="0" fontId="21" numFmtId="0" xfId="0" applyAlignment="1" applyBorder="1" applyFont="1">
      <alignment horizontal="left" vertical="bottom"/>
    </xf>
    <xf borderId="29" fillId="23" fontId="26" numFmtId="0" xfId="0" applyAlignment="1" applyBorder="1" applyFont="1">
      <alignment horizontal="center"/>
    </xf>
    <xf borderId="29" fillId="23" fontId="1" numFmtId="0" xfId="0" applyAlignment="1" applyBorder="1" applyFont="1">
      <alignment vertical="bottom"/>
    </xf>
    <xf borderId="30" fillId="23" fontId="21" numFmtId="0" xfId="0" applyAlignment="1" applyBorder="1" applyFont="1">
      <alignment vertical="bottom"/>
    </xf>
    <xf borderId="26" fillId="0" fontId="21" numFmtId="0" xfId="0" applyAlignment="1" applyBorder="1" applyFont="1">
      <alignment horizontal="center" readingOrder="0"/>
    </xf>
    <xf borderId="0" fillId="23" fontId="26" numFmtId="0" xfId="0" applyAlignment="1" applyFont="1">
      <alignment horizontal="center"/>
    </xf>
    <xf borderId="0" fillId="23" fontId="1" numFmtId="0" xfId="0" applyAlignment="1" applyFont="1">
      <alignment vertical="bottom"/>
    </xf>
    <xf borderId="27" fillId="23" fontId="21" numFmtId="0" xfId="0" applyAlignment="1" applyBorder="1" applyFont="1">
      <alignment vertical="bottom"/>
    </xf>
    <xf borderId="27" fillId="0" fontId="21" numFmtId="0" xfId="0" applyAlignment="1" applyBorder="1" applyFont="1">
      <alignment horizontal="center" readingOrder="0"/>
    </xf>
    <xf borderId="30" fillId="0" fontId="21" numFmtId="0" xfId="0" applyAlignment="1" applyBorder="1" applyFont="1">
      <alignment horizontal="center" readingOrder="0"/>
    </xf>
    <xf borderId="29" fillId="0" fontId="26" numFmtId="0" xfId="0" applyAlignment="1" applyBorder="1" applyFont="1">
      <alignment horizontal="center" readingOrder="0" vertical="center"/>
    </xf>
    <xf borderId="7" fillId="0" fontId="48" numFmtId="0" xfId="0" applyAlignment="1" applyBorder="1" applyFont="1">
      <alignment readingOrder="0"/>
    </xf>
    <xf borderId="26" fillId="9" fontId="21" numFmtId="0" xfId="0" applyAlignment="1" applyBorder="1" applyFont="1">
      <alignment readingOrder="0"/>
    </xf>
    <xf borderId="0" fillId="0" fontId="49" numFmtId="0" xfId="0" applyAlignment="1" applyFont="1">
      <alignment horizontal="center" readingOrder="0"/>
    </xf>
    <xf borderId="29" fillId="0" fontId="49" numFmtId="0" xfId="0" applyAlignment="1" applyBorder="1" applyFont="1">
      <alignment horizontal="center" readingOrder="0"/>
    </xf>
    <xf borderId="41" fillId="18" fontId="50" numFmtId="0" xfId="0" applyAlignment="1" applyBorder="1" applyFont="1">
      <alignment horizontal="center" readingOrder="0" vertical="center"/>
    </xf>
    <xf borderId="0" fillId="18" fontId="32" numFmtId="0" xfId="0" applyAlignment="1" applyFont="1">
      <alignment vertical="center"/>
    </xf>
    <xf borderId="26" fillId="18" fontId="33" numFmtId="0" xfId="0" applyAlignment="1" applyBorder="1" applyFont="1">
      <alignment vertical="center"/>
    </xf>
    <xf borderId="0" fillId="28" fontId="26" numFmtId="0" xfId="0" applyAlignment="1" applyFont="1">
      <alignment horizontal="center" vertical="bottom"/>
    </xf>
    <xf borderId="0" fillId="28" fontId="1" numFmtId="0" xfId="0" applyAlignment="1" applyFont="1">
      <alignment horizontal="center" vertical="bottom"/>
    </xf>
    <xf borderId="0" fillId="28" fontId="2" numFmtId="0" xfId="0" applyAlignment="1" applyFont="1">
      <alignment readingOrder="0"/>
    </xf>
    <xf borderId="0" fillId="28" fontId="1" numFmtId="0" xfId="0" applyAlignment="1" applyFont="1">
      <alignment vertical="bottom"/>
    </xf>
    <xf borderId="0" fillId="6" fontId="21" numFmtId="0" xfId="0" applyAlignment="1" applyFont="1">
      <alignment readingOrder="0"/>
    </xf>
    <xf borderId="7" fillId="0" fontId="27" numFmtId="0" xfId="0" applyAlignment="1" applyBorder="1" applyFont="1">
      <alignment horizontal="center" vertical="center"/>
    </xf>
    <xf borderId="7" fillId="37" fontId="25" numFmtId="0" xfId="0" applyAlignment="1" applyBorder="1" applyFont="1">
      <alignment horizontal="center" vertical="center"/>
    </xf>
    <xf borderId="7" fillId="28" fontId="26" numFmtId="0" xfId="0" applyAlignment="1" applyBorder="1" applyFont="1">
      <alignment horizontal="center"/>
    </xf>
    <xf borderId="26" fillId="28" fontId="21" numFmtId="0" xfId="0" applyAlignment="1" applyBorder="1" applyFont="1">
      <alignment vertical="bottom"/>
    </xf>
    <xf borderId="0" fillId="27" fontId="26" numFmtId="0" xfId="0" applyAlignment="1" applyFont="1">
      <alignment horizontal="center"/>
    </xf>
    <xf borderId="0" fillId="27" fontId="1" numFmtId="0" xfId="0" applyFont="1"/>
    <xf borderId="27" fillId="27" fontId="21" numFmtId="0" xfId="0" applyAlignment="1" applyBorder="1" applyFont="1">
      <alignment vertical="bottom"/>
    </xf>
    <xf borderId="0" fillId="25" fontId="26" numFmtId="0" xfId="0" applyAlignment="1" applyFont="1">
      <alignment horizontal="center"/>
    </xf>
    <xf borderId="0" fillId="25" fontId="1" numFmtId="0" xfId="0" applyFont="1"/>
    <xf borderId="27" fillId="25" fontId="21" numFmtId="0" xfId="0" applyAlignment="1" applyBorder="1" applyFont="1">
      <alignment vertical="bottom"/>
    </xf>
    <xf borderId="0" fillId="26" fontId="26" numFmtId="0" xfId="0" applyAlignment="1" applyFont="1">
      <alignment horizontal="center"/>
    </xf>
    <xf borderId="0" fillId="26" fontId="1" numFmtId="0" xfId="0" applyAlignment="1" applyFont="1">
      <alignment vertical="bottom"/>
    </xf>
    <xf borderId="27" fillId="26" fontId="21" numFmtId="0" xfId="0" applyAlignment="1" applyBorder="1" applyFont="1">
      <alignment vertical="bottom"/>
    </xf>
    <xf borderId="29" fillId="22" fontId="26" numFmtId="0" xfId="0" applyAlignment="1" applyBorder="1" applyFont="1">
      <alignment horizontal="center"/>
    </xf>
    <xf borderId="29" fillId="22" fontId="1" numFmtId="0" xfId="0" applyAlignment="1" applyBorder="1" applyFont="1">
      <alignment vertical="bottom"/>
    </xf>
    <xf borderId="30" fillId="22" fontId="21" numFmtId="0" xfId="0" applyAlignment="1" applyBorder="1" applyFont="1">
      <alignment vertical="bottom"/>
    </xf>
    <xf borderId="25" fillId="0" fontId="51" numFmtId="0" xfId="0" applyAlignment="1" applyBorder="1" applyFont="1">
      <alignment horizontal="center" readingOrder="0" vertical="center"/>
    </xf>
    <xf borderId="7" fillId="7" fontId="19" numFmtId="0" xfId="0" applyAlignment="1" applyBorder="1" applyFont="1">
      <alignment horizontal="center" vertical="bottom"/>
    </xf>
    <xf borderId="26" fillId="7" fontId="21" numFmtId="0" xfId="0" applyAlignment="1" applyBorder="1" applyFont="1">
      <alignment horizontal="left" readingOrder="0"/>
    </xf>
    <xf borderId="29" fillId="0" fontId="20" numFmtId="0" xfId="0" applyAlignment="1" applyBorder="1" applyFont="1">
      <alignment horizontal="left" readingOrder="0"/>
    </xf>
    <xf borderId="30" fillId="7" fontId="21" numFmtId="0" xfId="0" applyAlignment="1" applyBorder="1" applyFont="1">
      <alignment horizontal="left" readingOrder="0"/>
    </xf>
    <xf borderId="7" fillId="28" fontId="19" numFmtId="0" xfId="0" applyAlignment="1" applyBorder="1" applyFont="1">
      <alignment horizontal="center" vertical="bottom"/>
    </xf>
    <xf borderId="7" fillId="6" fontId="1" numFmtId="0" xfId="0" applyAlignment="1" applyBorder="1" applyFont="1">
      <alignment vertical="bottom"/>
    </xf>
    <xf borderId="26" fillId="6" fontId="21" numFmtId="0" xfId="0" applyAlignment="1" applyBorder="1" applyFont="1">
      <alignment horizontal="left" readingOrder="0"/>
    </xf>
    <xf borderId="0" fillId="6" fontId="19" numFmtId="0" xfId="0" applyAlignment="1" applyFont="1">
      <alignment horizontal="center" vertical="bottom"/>
    </xf>
    <xf borderId="27" fillId="6" fontId="21" numFmtId="0" xfId="0" applyAlignment="1" applyBorder="1" applyFont="1">
      <alignment horizontal="left" readingOrder="0"/>
    </xf>
    <xf borderId="30" fillId="0" fontId="21" numFmtId="0" xfId="0" applyAlignment="1" applyBorder="1" applyFont="1">
      <alignment horizontal="left" vertical="bottom"/>
    </xf>
    <xf borderId="7" fillId="7" fontId="20" numFmtId="0" xfId="0" applyAlignment="1" applyBorder="1" applyFont="1">
      <alignment vertical="bottom"/>
    </xf>
    <xf borderId="26" fillId="28" fontId="21" numFmtId="0" xfId="0" applyAlignment="1" applyBorder="1" applyFont="1">
      <alignment horizontal="left" vertical="bottom"/>
    </xf>
    <xf borderId="0" fillId="7" fontId="19" numFmtId="0" xfId="0" applyAlignment="1" applyFont="1">
      <alignment horizontal="center" readingOrder="0" vertical="bottom"/>
    </xf>
    <xf borderId="27" fillId="7" fontId="2" numFmtId="0" xfId="0" applyAlignment="1" applyBorder="1" applyFont="1">
      <alignment readingOrder="0"/>
    </xf>
    <xf borderId="0" fillId="0" fontId="1" numFmtId="0" xfId="0" applyAlignment="1" applyFont="1">
      <alignment readingOrder="0"/>
    </xf>
    <xf borderId="27" fillId="22" fontId="21" numFmtId="0" xfId="0" applyAlignment="1" applyBorder="1" applyFont="1">
      <alignment vertical="bottom"/>
    </xf>
    <xf borderId="7" fillId="28" fontId="26" numFmtId="0" xfId="0" applyAlignment="1" applyBorder="1" applyFont="1">
      <alignment horizontal="center" vertical="center"/>
    </xf>
    <xf borderId="7" fillId="28" fontId="1" numFmtId="0" xfId="0" applyAlignment="1" applyBorder="1" applyFont="1">
      <alignment horizontal="center" vertical="bottom"/>
    </xf>
    <xf borderId="26" fillId="6" fontId="21" numFmtId="0" xfId="0" applyAlignment="1" applyBorder="1" applyFont="1">
      <alignment readingOrder="0"/>
    </xf>
    <xf borderId="27" fillId="6" fontId="21" numFmtId="0" xfId="0" applyAlignment="1" applyBorder="1" applyFont="1">
      <alignment readingOrder="0"/>
    </xf>
    <xf borderId="29" fillId="0" fontId="23" numFmtId="0" xfId="0" applyAlignment="1" applyBorder="1" applyFont="1">
      <alignment horizontal="center" readingOrder="0" vertical="center"/>
    </xf>
    <xf borderId="1" fillId="21" fontId="52" numFmtId="0" xfId="0" applyAlignment="1" applyBorder="1" applyFont="1">
      <alignment horizontal="center" readingOrder="0" vertical="center"/>
    </xf>
    <xf borderId="0" fillId="21" fontId="22" numFmtId="0" xfId="0" applyAlignment="1" applyFont="1">
      <alignment readingOrder="0"/>
    </xf>
    <xf borderId="27" fillId="21" fontId="21" numFmtId="0" xfId="0" applyAlignment="1" applyBorder="1" applyFont="1">
      <alignment horizontal="center" readingOrder="0" vertical="center"/>
    </xf>
    <xf borderId="7" fillId="9" fontId="21" numFmtId="0" xfId="0" applyAlignment="1" applyBorder="1" applyFont="1">
      <alignment readingOrder="0"/>
    </xf>
    <xf borderId="0" fillId="0" fontId="21" numFmtId="0" xfId="0" applyAlignment="1" applyFont="1">
      <alignment readingOrder="0"/>
    </xf>
    <xf borderId="0" fillId="5" fontId="19" numFmtId="0" xfId="0" applyAlignment="1" applyFont="1">
      <alignment horizontal="center" vertical="bottom"/>
    </xf>
    <xf borderId="7" fillId="38" fontId="25" numFmtId="0" xfId="0" applyAlignment="1" applyBorder="1" applyFill="1" applyFont="1">
      <alignment horizontal="center" vertical="center"/>
    </xf>
    <xf borderId="7" fillId="30" fontId="26" numFmtId="0" xfId="0" applyAlignment="1" applyBorder="1" applyFont="1">
      <alignment horizontal="center"/>
    </xf>
    <xf borderId="7" fillId="30" fontId="26" numFmtId="0" xfId="0" applyAlignment="1" applyBorder="1" applyFont="1">
      <alignment horizontal="center" vertical="bottom"/>
    </xf>
    <xf borderId="7" fillId="30" fontId="1" numFmtId="0" xfId="0" applyAlignment="1" applyBorder="1" applyFont="1">
      <alignment vertical="bottom"/>
    </xf>
    <xf borderId="26" fillId="30" fontId="21" numFmtId="0" xfId="0" applyAlignment="1" applyBorder="1" applyFont="1">
      <alignment vertical="bottom"/>
    </xf>
    <xf borderId="0" fillId="39" fontId="26" numFmtId="0" xfId="0" applyAlignment="1" applyFill="1" applyFont="1">
      <alignment horizontal="center" vertical="bottom"/>
    </xf>
    <xf borderId="0" fillId="39" fontId="1" numFmtId="0" xfId="0" applyAlignment="1" applyFont="1">
      <alignment vertical="bottom"/>
    </xf>
    <xf borderId="27" fillId="39" fontId="1" numFmtId="0" xfId="0" applyAlignment="1" applyBorder="1" applyFont="1">
      <alignment vertical="bottom"/>
    </xf>
    <xf borderId="0" fillId="28" fontId="26" numFmtId="0" xfId="0" applyAlignment="1" applyFont="1">
      <alignment horizontal="center"/>
    </xf>
    <xf borderId="0" fillId="28" fontId="1" numFmtId="0" xfId="0" applyAlignment="1" applyFont="1">
      <alignment vertical="bottom"/>
    </xf>
    <xf borderId="27" fillId="28" fontId="21" numFmtId="0" xfId="0" applyAlignment="1" applyBorder="1" applyFont="1">
      <alignment vertical="bottom"/>
    </xf>
    <xf borderId="0" fillId="22" fontId="26" numFmtId="0" xfId="0" applyAlignment="1" applyFont="1">
      <alignment horizontal="center"/>
    </xf>
    <xf borderId="0" fillId="33" fontId="26" numFmtId="0" xfId="0" applyAlignment="1" applyFont="1">
      <alignment horizontal="center"/>
    </xf>
    <xf borderId="0" fillId="33" fontId="26" numFmtId="0" xfId="0" applyAlignment="1" applyFont="1">
      <alignment horizontal="center" vertical="bottom"/>
    </xf>
    <xf borderId="27" fillId="33" fontId="21" numFmtId="0" xfId="0" applyAlignment="1" applyBorder="1" applyFont="1">
      <alignment vertical="bottom"/>
    </xf>
    <xf borderId="29" fillId="26" fontId="26" numFmtId="0" xfId="0" applyAlignment="1" applyBorder="1" applyFont="1">
      <alignment horizontal="center"/>
    </xf>
    <xf borderId="29" fillId="26" fontId="1" numFmtId="0" xfId="0" applyAlignment="1" applyBorder="1" applyFont="1">
      <alignment vertical="bottom"/>
    </xf>
    <xf borderId="30" fillId="26" fontId="21" numFmtId="0" xfId="0" applyAlignment="1" applyBorder="1" applyFont="1">
      <alignment vertical="bottom"/>
    </xf>
    <xf borderId="28" fillId="24" fontId="53" numFmtId="0" xfId="0" applyAlignment="1" applyBorder="1" applyFont="1">
      <alignment horizontal="center" readingOrder="0" vertical="center"/>
    </xf>
    <xf borderId="29" fillId="24" fontId="22" numFmtId="0" xfId="0" applyAlignment="1" applyBorder="1" applyFont="1">
      <alignment readingOrder="0"/>
    </xf>
    <xf borderId="30" fillId="24" fontId="21" numFmtId="0" xfId="0" applyAlignment="1" applyBorder="1" applyFont="1">
      <alignment horizontal="center" readingOrder="0" vertical="center"/>
    </xf>
    <xf borderId="7" fillId="4" fontId="19" numFmtId="0" xfId="0" applyAlignment="1" applyBorder="1" applyFont="1">
      <alignment horizontal="center" vertical="bottom"/>
    </xf>
    <xf borderId="26" fillId="0" fontId="21" numFmtId="0" xfId="0" applyAlignment="1" applyBorder="1" applyFont="1">
      <alignment horizontal="left" vertical="bottom"/>
    </xf>
    <xf borderId="29" fillId="25" fontId="26" numFmtId="0" xfId="0" applyAlignment="1" applyBorder="1" applyFont="1">
      <alignment horizontal="center"/>
    </xf>
    <xf borderId="29" fillId="25" fontId="1" numFmtId="0" xfId="0" applyBorder="1" applyFont="1"/>
    <xf borderId="30" fillId="25" fontId="21" numFmtId="0" xfId="0" applyAlignment="1" applyBorder="1" applyFont="1">
      <alignment vertical="bottom"/>
    </xf>
    <xf borderId="42" fillId="0" fontId="23" numFmtId="0" xfId="0" applyAlignment="1" applyBorder="1" applyFont="1">
      <alignment horizontal="center" readingOrder="0" vertical="center"/>
    </xf>
    <xf borderId="42" fillId="0" fontId="2" numFmtId="0" xfId="0" applyAlignment="1" applyBorder="1" applyFont="1">
      <alignment horizontal="center" vertical="center"/>
    </xf>
    <xf borderId="42" fillId="0" fontId="34" numFmtId="0" xfId="0" applyAlignment="1" applyBorder="1" applyFont="1">
      <alignment horizontal="center" readingOrder="0" vertical="center"/>
    </xf>
    <xf borderId="43" fillId="0" fontId="21" numFmtId="0" xfId="0" applyAlignment="1" applyBorder="1" applyFont="1">
      <alignment horizontal="center" vertical="center"/>
    </xf>
    <xf borderId="0" fillId="7" fontId="20" numFmtId="0" xfId="0" applyAlignment="1" applyFont="1">
      <alignment vertical="bottom"/>
    </xf>
    <xf borderId="27" fillId="7" fontId="21" numFmtId="0" xfId="0" applyAlignment="1" applyBorder="1" applyFont="1">
      <alignment horizontal="left" readingOrder="0"/>
    </xf>
    <xf borderId="7" fillId="36" fontId="19" numFmtId="0" xfId="0" applyAlignment="1" applyBorder="1" applyFont="1">
      <alignment horizontal="center" readingOrder="0"/>
    </xf>
    <xf borderId="0" fillId="0" fontId="22" numFmtId="0" xfId="0" applyFont="1"/>
    <xf borderId="0" fillId="0" fontId="21" numFmtId="0" xfId="0" applyAlignment="1" applyFont="1">
      <alignment horizontal="center"/>
    </xf>
  </cellXfs>
  <cellStyles count="1">
    <cellStyle xfId="0" name="Normal" builtinId="0"/>
  </cellStyles>
  <dxfs count="11">
    <dxf>
      <font/>
      <fill>
        <patternFill patternType="solid">
          <fgColor rgb="FFE3EFF1"/>
          <bgColor rgb="FFE3EFF1"/>
        </patternFill>
      </fill>
      <border/>
    </dxf>
    <dxf>
      <font/>
      <fill>
        <patternFill patternType="solid">
          <fgColor rgb="FFDCE5ED"/>
          <bgColor rgb="FFDCE5ED"/>
        </patternFill>
      </fill>
      <border/>
    </dxf>
    <dxf>
      <font/>
      <fill>
        <patternFill patternType="solid">
          <fgColor rgb="FFF6EBF0"/>
          <bgColor rgb="FFF6EBF0"/>
        </patternFill>
      </fill>
      <border/>
    </dxf>
    <dxf>
      <font/>
      <fill>
        <patternFill patternType="solid">
          <fgColor rgb="FFFFE0DA"/>
          <bgColor rgb="FFFFE0DA"/>
        </patternFill>
      </fill>
      <border/>
    </dxf>
    <dxf>
      <font/>
      <fill>
        <patternFill patternType="solid">
          <fgColor rgb="FFFDECDA"/>
          <bgColor rgb="FFFDECDA"/>
        </patternFill>
      </fill>
      <border/>
    </dxf>
    <dxf>
      <font/>
      <fill>
        <patternFill patternType="solid">
          <fgColor rgb="FFF2FEEE"/>
          <bgColor rgb="FFF2FEEE"/>
        </patternFill>
      </fill>
      <border/>
    </dxf>
    <dxf>
      <font/>
      <fill>
        <patternFill patternType="solid">
          <fgColor rgb="FFF3EEFD"/>
          <bgColor rgb="FFF3EEFD"/>
        </patternFill>
      </fill>
      <border/>
    </dxf>
    <dxf>
      <font/>
      <fill>
        <patternFill patternType="solid">
          <fgColor rgb="FFF3FDFF"/>
          <bgColor rgb="FFF3FDFF"/>
        </patternFill>
      </fill>
      <border/>
    </dxf>
    <dxf>
      <font/>
      <fill>
        <patternFill patternType="solid">
          <fgColor rgb="FFFFF2F2"/>
          <bgColor rgb="FFFFF2F2"/>
        </patternFill>
      </fill>
      <border/>
    </dxf>
    <dxf>
      <font/>
      <fill>
        <patternFill patternType="solid">
          <fgColor rgb="FFE0EBFE"/>
          <bgColor rgb="FFE0EBFE"/>
        </patternFill>
      </fill>
      <border/>
    </dxf>
    <dxf>
      <font/>
      <fill>
        <patternFill patternType="solid">
          <fgColor rgb="FFF4FFF0"/>
          <bgColor rgb="FFF4FFF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4.88"/>
    <col customWidth="1" min="3" max="3" width="26.88"/>
    <col customWidth="1" min="4" max="4" width="95.63"/>
    <col customWidth="1" min="5" max="5" width="76.0"/>
    <col customWidth="1" hidden="1" min="6" max="6" width="9.88"/>
    <col customWidth="1" min="7" max="7" width="6.63"/>
    <col customWidth="1" min="8" max="8" width="2.25"/>
    <col customWidth="1" min="9" max="9" width="6.63"/>
  </cols>
  <sheetData>
    <row r="1">
      <c r="A1" s="1" t="s">
        <v>0</v>
      </c>
      <c r="B1" s="2" t="s">
        <v>1</v>
      </c>
      <c r="C1" s="3" t="s">
        <v>2</v>
      </c>
      <c r="D1" s="1" t="s">
        <v>3</v>
      </c>
      <c r="E1" s="1" t="s">
        <v>4</v>
      </c>
      <c r="F1" s="3"/>
      <c r="G1" s="3" t="s">
        <v>5</v>
      </c>
      <c r="H1" s="4"/>
    </row>
    <row r="2">
      <c r="A2" s="5" t="s">
        <v>6</v>
      </c>
      <c r="B2" s="6">
        <v>2.0</v>
      </c>
      <c r="C2" s="7" t="s">
        <v>7</v>
      </c>
      <c r="D2" s="8" t="s">
        <v>8</v>
      </c>
      <c r="E2" s="8" t="s">
        <v>9</v>
      </c>
      <c r="F2" s="7" t="s">
        <v>10</v>
      </c>
      <c r="G2" s="7">
        <v>1000.0</v>
      </c>
      <c r="H2" s="4"/>
      <c r="I2" s="3"/>
    </row>
    <row r="3">
      <c r="A3" s="9" t="s">
        <v>11</v>
      </c>
      <c r="B3" s="10">
        <v>2.0</v>
      </c>
      <c r="C3" s="11" t="s">
        <v>7</v>
      </c>
      <c r="D3" s="12" t="s">
        <v>12</v>
      </c>
      <c r="E3" s="13" t="s">
        <v>13</v>
      </c>
      <c r="F3" s="11">
        <v>12000.0</v>
      </c>
      <c r="G3" s="11">
        <v>4000.0</v>
      </c>
      <c r="H3" s="4"/>
      <c r="I3" s="3"/>
    </row>
    <row r="4">
      <c r="A4" s="9" t="s">
        <v>14</v>
      </c>
      <c r="B4" s="10">
        <v>2.0</v>
      </c>
      <c r="C4" s="11" t="s">
        <v>7</v>
      </c>
      <c r="D4" s="13" t="s">
        <v>15</v>
      </c>
      <c r="E4" s="13" t="s">
        <v>16</v>
      </c>
      <c r="F4" s="11">
        <v>8000.0</v>
      </c>
      <c r="G4" s="11">
        <v>5000.0</v>
      </c>
      <c r="H4" s="4"/>
      <c r="I4" s="3"/>
    </row>
    <row r="5">
      <c r="A5" s="9" t="s">
        <v>17</v>
      </c>
      <c r="B5" s="10">
        <v>2.0</v>
      </c>
      <c r="C5" s="11" t="s">
        <v>7</v>
      </c>
      <c r="D5" s="13" t="s">
        <v>18</v>
      </c>
      <c r="E5" s="13"/>
      <c r="F5" s="11">
        <v>8000.0</v>
      </c>
      <c r="G5" s="11">
        <v>6000.0</v>
      </c>
      <c r="H5" s="4"/>
      <c r="I5" s="3"/>
    </row>
    <row r="6">
      <c r="A6" s="9" t="s">
        <v>19</v>
      </c>
      <c r="B6" s="10">
        <v>2.0</v>
      </c>
      <c r="C6" s="11" t="s">
        <v>7</v>
      </c>
      <c r="D6" s="13" t="s">
        <v>20</v>
      </c>
      <c r="E6" s="13" t="s">
        <v>21</v>
      </c>
      <c r="F6" s="11">
        <v>5000.0</v>
      </c>
      <c r="G6" s="11">
        <v>6000.0</v>
      </c>
      <c r="H6" s="4"/>
      <c r="I6" s="3"/>
    </row>
    <row r="7">
      <c r="A7" s="14" t="s">
        <v>22</v>
      </c>
      <c r="B7" s="15">
        <v>2.0</v>
      </c>
      <c r="C7" s="16" t="s">
        <v>23</v>
      </c>
      <c r="D7" s="17" t="s">
        <v>24</v>
      </c>
      <c r="E7" s="17" t="s">
        <v>25</v>
      </c>
      <c r="F7" s="18">
        <v>4000.0</v>
      </c>
      <c r="G7" s="18">
        <v>7500.0</v>
      </c>
      <c r="H7" s="4"/>
      <c r="I7" s="3"/>
    </row>
    <row r="8">
      <c r="A8" s="19" t="s">
        <v>26</v>
      </c>
      <c r="B8" s="20">
        <v>1.0</v>
      </c>
      <c r="C8" s="21" t="s">
        <v>23</v>
      </c>
      <c r="D8" s="22" t="s">
        <v>27</v>
      </c>
      <c r="E8" s="22" t="s">
        <v>28</v>
      </c>
      <c r="F8" s="23">
        <v>4000.0</v>
      </c>
      <c r="G8" s="23">
        <v>3000.0</v>
      </c>
      <c r="H8" s="4"/>
      <c r="I8" s="3"/>
    </row>
    <row r="9">
      <c r="A9" s="24" t="s">
        <v>29</v>
      </c>
      <c r="B9" s="25">
        <v>3.0</v>
      </c>
      <c r="C9" s="26" t="s">
        <v>30</v>
      </c>
      <c r="D9" s="27" t="s">
        <v>31</v>
      </c>
      <c r="E9" s="27" t="s">
        <v>32</v>
      </c>
      <c r="F9" s="26">
        <v>5000.0</v>
      </c>
      <c r="G9" s="26">
        <v>2500.0</v>
      </c>
      <c r="H9" s="4"/>
      <c r="I9" s="3"/>
    </row>
    <row r="10">
      <c r="A10" s="28" t="s">
        <v>33</v>
      </c>
      <c r="B10" s="29">
        <v>1.0</v>
      </c>
      <c r="C10" s="30" t="s">
        <v>30</v>
      </c>
      <c r="D10" s="31" t="s">
        <v>34</v>
      </c>
      <c r="E10" s="32" t="s">
        <v>35</v>
      </c>
      <c r="F10" s="30">
        <v>2000.0</v>
      </c>
      <c r="G10" s="30">
        <v>1250.0</v>
      </c>
      <c r="H10" s="4"/>
      <c r="I10" s="3"/>
    </row>
    <row r="11">
      <c r="A11" s="28" t="s">
        <v>36</v>
      </c>
      <c r="B11" s="29">
        <v>1.0</v>
      </c>
      <c r="C11" s="30" t="s">
        <v>30</v>
      </c>
      <c r="D11" s="32" t="s">
        <v>37</v>
      </c>
      <c r="E11" s="32" t="s">
        <v>38</v>
      </c>
      <c r="F11" s="30"/>
      <c r="G11" s="30">
        <v>1000.0</v>
      </c>
      <c r="H11" s="4"/>
      <c r="I11" s="3"/>
      <c r="L11" s="33"/>
    </row>
    <row r="12">
      <c r="A12" s="28" t="s">
        <v>39</v>
      </c>
      <c r="B12" s="29">
        <v>1.0</v>
      </c>
      <c r="C12" s="30" t="s">
        <v>30</v>
      </c>
      <c r="D12" s="32" t="s">
        <v>40</v>
      </c>
      <c r="E12" s="32" t="s">
        <v>41</v>
      </c>
      <c r="F12" s="30">
        <v>3500.0</v>
      </c>
      <c r="G12" s="30">
        <v>4000.0</v>
      </c>
      <c r="H12" s="4"/>
      <c r="I12" s="3"/>
      <c r="L12" s="33"/>
    </row>
    <row r="13">
      <c r="A13" s="34" t="s">
        <v>42</v>
      </c>
      <c r="B13" s="35">
        <v>2.0</v>
      </c>
      <c r="C13" s="36" t="s">
        <v>43</v>
      </c>
      <c r="D13" s="37" t="s">
        <v>44</v>
      </c>
      <c r="E13" s="37" t="s">
        <v>45</v>
      </c>
      <c r="F13" s="36">
        <v>4500.0</v>
      </c>
      <c r="G13" s="36">
        <v>2000.0</v>
      </c>
      <c r="H13" s="4"/>
      <c r="I13" s="3"/>
      <c r="L13" s="33"/>
    </row>
    <row r="14">
      <c r="A14" s="38" t="s">
        <v>46</v>
      </c>
      <c r="B14" s="39">
        <v>2.0</v>
      </c>
      <c r="C14" s="40" t="s">
        <v>43</v>
      </c>
      <c r="D14" s="41" t="s">
        <v>47</v>
      </c>
      <c r="E14" s="41" t="s">
        <v>48</v>
      </c>
      <c r="F14" s="40">
        <v>3500.0</v>
      </c>
      <c r="G14" s="40">
        <v>2500.0</v>
      </c>
      <c r="H14" s="4"/>
      <c r="I14" s="3"/>
    </row>
    <row r="15">
      <c r="A15" s="38" t="s">
        <v>49</v>
      </c>
      <c r="B15" s="39">
        <v>2.0</v>
      </c>
      <c r="C15" s="40" t="s">
        <v>43</v>
      </c>
      <c r="D15" s="41" t="s">
        <v>50</v>
      </c>
      <c r="E15" s="41" t="s">
        <v>51</v>
      </c>
      <c r="F15" s="40">
        <v>2500.0</v>
      </c>
      <c r="G15" s="40">
        <v>7500.0</v>
      </c>
      <c r="H15" s="4"/>
      <c r="I15" s="3"/>
    </row>
    <row r="16">
      <c r="A16" s="41" t="s">
        <v>52</v>
      </c>
      <c r="B16" s="39">
        <v>2.0</v>
      </c>
      <c r="C16" s="40" t="s">
        <v>43</v>
      </c>
      <c r="D16" s="41" t="s">
        <v>53</v>
      </c>
      <c r="E16" s="41" t="s">
        <v>54</v>
      </c>
      <c r="F16" s="42"/>
      <c r="G16" s="40">
        <v>4000.0</v>
      </c>
      <c r="H16" s="4"/>
      <c r="I16" s="3"/>
    </row>
    <row r="17">
      <c r="A17" s="43" t="s">
        <v>55</v>
      </c>
      <c r="B17" s="44">
        <v>1.0</v>
      </c>
      <c r="C17" s="40" t="s">
        <v>43</v>
      </c>
      <c r="D17" s="45" t="s">
        <v>56</v>
      </c>
      <c r="E17" s="45" t="s">
        <v>57</v>
      </c>
      <c r="F17" s="40">
        <v>3500.0</v>
      </c>
      <c r="G17" s="40">
        <v>4000.0</v>
      </c>
      <c r="H17" s="4"/>
      <c r="I17" s="3"/>
    </row>
    <row r="18">
      <c r="A18" s="43" t="s">
        <v>58</v>
      </c>
      <c r="B18" s="44">
        <v>1.0</v>
      </c>
      <c r="C18" s="40" t="s">
        <v>43</v>
      </c>
      <c r="D18" s="45" t="s">
        <v>59</v>
      </c>
      <c r="E18" s="45" t="s">
        <v>60</v>
      </c>
      <c r="F18" s="40">
        <v>2500.0</v>
      </c>
      <c r="G18" s="40">
        <v>1500.0</v>
      </c>
      <c r="H18" s="4"/>
      <c r="I18" s="3"/>
    </row>
    <row r="19">
      <c r="A19" s="43" t="s">
        <v>61</v>
      </c>
      <c r="B19" s="44">
        <v>1.0</v>
      </c>
      <c r="C19" s="40" t="s">
        <v>43</v>
      </c>
      <c r="D19" s="45" t="s">
        <v>62</v>
      </c>
      <c r="E19" s="45" t="s">
        <v>63</v>
      </c>
      <c r="F19" s="40">
        <v>5500.0</v>
      </c>
      <c r="G19" s="40">
        <v>4000.0</v>
      </c>
      <c r="H19" s="4"/>
      <c r="I19" s="3"/>
    </row>
    <row r="20">
      <c r="A20" s="46" t="s">
        <v>64</v>
      </c>
      <c r="B20" s="47">
        <v>3.0</v>
      </c>
      <c r="C20" s="48" t="s">
        <v>65</v>
      </c>
      <c r="D20" s="49" t="s">
        <v>66</v>
      </c>
      <c r="E20" s="50" t="s">
        <v>67</v>
      </c>
      <c r="F20" s="48">
        <v>3000.0</v>
      </c>
      <c r="G20" s="48">
        <v>17500.0</v>
      </c>
      <c r="H20" s="4"/>
      <c r="I20" s="3"/>
    </row>
    <row r="21">
      <c r="A21" s="51" t="s">
        <v>68</v>
      </c>
      <c r="B21" s="52">
        <v>2.0</v>
      </c>
      <c r="C21" s="53" t="s">
        <v>65</v>
      </c>
      <c r="D21" s="54" t="s">
        <v>69</v>
      </c>
      <c r="E21" s="55"/>
      <c r="F21" s="53"/>
      <c r="G21" s="53">
        <v>7500.0</v>
      </c>
      <c r="H21" s="4"/>
      <c r="I21" s="3"/>
    </row>
    <row r="22">
      <c r="A22" s="56" t="s">
        <v>70</v>
      </c>
      <c r="B22" s="57">
        <v>2.0</v>
      </c>
      <c r="C22" s="53" t="s">
        <v>65</v>
      </c>
      <c r="D22" s="55" t="s">
        <v>71</v>
      </c>
      <c r="E22" s="55" t="s">
        <v>72</v>
      </c>
      <c r="F22" s="53">
        <v>3000.0</v>
      </c>
      <c r="G22" s="53">
        <v>2500.0</v>
      </c>
      <c r="H22" s="4"/>
      <c r="I22" s="3"/>
    </row>
    <row r="23">
      <c r="A23" s="56" t="s">
        <v>73</v>
      </c>
      <c r="B23" s="57">
        <v>2.0</v>
      </c>
      <c r="C23" s="53" t="s">
        <v>65</v>
      </c>
      <c r="D23" s="55" t="s">
        <v>74</v>
      </c>
      <c r="E23" s="55" t="s">
        <v>75</v>
      </c>
      <c r="F23" s="53">
        <v>1000.0</v>
      </c>
      <c r="G23" s="53">
        <v>4000.0</v>
      </c>
      <c r="H23" s="4"/>
      <c r="I23" s="3"/>
    </row>
    <row r="24">
      <c r="A24" s="51" t="s">
        <v>76</v>
      </c>
      <c r="B24" s="52">
        <v>2.0</v>
      </c>
      <c r="C24" s="53" t="s">
        <v>65</v>
      </c>
      <c r="D24" s="54" t="s">
        <v>77</v>
      </c>
      <c r="E24" s="54" t="s">
        <v>78</v>
      </c>
      <c r="F24" s="53"/>
      <c r="G24" s="53">
        <v>15000.0</v>
      </c>
      <c r="H24" s="4"/>
      <c r="I24" s="3"/>
    </row>
    <row r="25">
      <c r="A25" s="56" t="s">
        <v>79</v>
      </c>
      <c r="B25" s="57">
        <v>2.0</v>
      </c>
      <c r="C25" s="53" t="s">
        <v>65</v>
      </c>
      <c r="D25" s="55" t="s">
        <v>80</v>
      </c>
      <c r="E25" s="55" t="s">
        <v>81</v>
      </c>
      <c r="F25" s="53">
        <v>1200.0</v>
      </c>
      <c r="G25" s="53">
        <v>10000.0</v>
      </c>
      <c r="H25" s="4"/>
      <c r="I25" s="3"/>
    </row>
    <row r="26">
      <c r="A26" s="56" t="s">
        <v>82</v>
      </c>
      <c r="B26" s="57">
        <v>1.0</v>
      </c>
      <c r="C26" s="53" t="s">
        <v>65</v>
      </c>
      <c r="D26" s="55" t="s">
        <v>83</v>
      </c>
      <c r="E26" s="55" t="s">
        <v>84</v>
      </c>
      <c r="F26" s="53">
        <v>5500.0</v>
      </c>
      <c r="G26" s="53">
        <v>2500.0</v>
      </c>
      <c r="H26" s="4"/>
      <c r="I26" s="3"/>
    </row>
    <row r="27">
      <c r="A27" s="56" t="s">
        <v>85</v>
      </c>
      <c r="B27" s="57">
        <v>1.0</v>
      </c>
      <c r="C27" s="53" t="s">
        <v>65</v>
      </c>
      <c r="D27" s="55" t="s">
        <v>86</v>
      </c>
      <c r="E27" s="55" t="s">
        <v>87</v>
      </c>
      <c r="F27" s="53">
        <v>1200.0</v>
      </c>
      <c r="G27" s="53">
        <v>1000.0</v>
      </c>
      <c r="H27" s="4"/>
      <c r="I27" s="3"/>
    </row>
    <row r="28">
      <c r="A28" s="58" t="s">
        <v>88</v>
      </c>
      <c r="B28" s="59">
        <v>1.0</v>
      </c>
      <c r="C28" s="53" t="s">
        <v>65</v>
      </c>
      <c r="D28" s="60" t="s">
        <v>89</v>
      </c>
      <c r="E28" s="60" t="s">
        <v>90</v>
      </c>
      <c r="F28" s="53">
        <v>1500.0</v>
      </c>
      <c r="G28" s="53">
        <v>2500.0</v>
      </c>
      <c r="H28" s="4"/>
      <c r="I28" s="3"/>
    </row>
    <row r="29">
      <c r="A29" s="58" t="s">
        <v>91</v>
      </c>
      <c r="B29" s="59">
        <v>1.0</v>
      </c>
      <c r="C29" s="53" t="s">
        <v>65</v>
      </c>
      <c r="D29" s="60" t="s">
        <v>92</v>
      </c>
      <c r="E29" s="60" t="s">
        <v>93</v>
      </c>
      <c r="F29" s="53">
        <v>2000.0</v>
      </c>
      <c r="G29" s="53">
        <v>1000.0</v>
      </c>
      <c r="H29" s="4"/>
      <c r="I29" s="3"/>
    </row>
    <row r="30">
      <c r="A30" s="61" t="s">
        <v>94</v>
      </c>
      <c r="B30" s="62">
        <v>1.0</v>
      </c>
      <c r="C30" s="63" t="s">
        <v>65</v>
      </c>
      <c r="D30" s="64" t="s">
        <v>95</v>
      </c>
      <c r="E30" s="64" t="s">
        <v>96</v>
      </c>
      <c r="F30" s="63">
        <v>4500.0</v>
      </c>
      <c r="G30" s="63">
        <v>1000.0</v>
      </c>
      <c r="H30" s="4"/>
      <c r="I30" s="3"/>
    </row>
    <row r="31">
      <c r="A31" s="65" t="s">
        <v>97</v>
      </c>
      <c r="B31" s="66">
        <v>2.0</v>
      </c>
      <c r="C31" s="67" t="s">
        <v>98</v>
      </c>
      <c r="D31" s="68" t="s">
        <v>99</v>
      </c>
      <c r="E31" s="68" t="s">
        <v>100</v>
      </c>
      <c r="F31" s="67">
        <v>3500.0</v>
      </c>
      <c r="G31" s="67">
        <v>5000.0</v>
      </c>
      <c r="H31" s="4"/>
      <c r="I31" s="3"/>
    </row>
    <row r="32">
      <c r="A32" s="69" t="s">
        <v>101</v>
      </c>
      <c r="B32" s="70">
        <v>2.0</v>
      </c>
      <c r="C32" s="71" t="s">
        <v>98</v>
      </c>
      <c r="D32" s="72" t="s">
        <v>102</v>
      </c>
      <c r="E32" s="72" t="s">
        <v>103</v>
      </c>
      <c r="F32" s="73"/>
      <c r="G32" s="71">
        <v>5000.0</v>
      </c>
      <c r="H32" s="4"/>
      <c r="I32" s="3"/>
    </row>
    <row r="33">
      <c r="A33" s="74" t="s">
        <v>104</v>
      </c>
      <c r="B33" s="75">
        <v>2.0</v>
      </c>
      <c r="C33" s="18" t="s">
        <v>105</v>
      </c>
      <c r="D33" s="76" t="s">
        <v>106</v>
      </c>
      <c r="E33" s="76" t="s">
        <v>107</v>
      </c>
      <c r="F33" s="77"/>
      <c r="G33" s="18">
        <v>2500.0</v>
      </c>
      <c r="H33" s="4"/>
      <c r="I33" s="3"/>
    </row>
    <row r="34">
      <c r="A34" s="78" t="s">
        <v>108</v>
      </c>
      <c r="B34" s="79">
        <v>2.0</v>
      </c>
      <c r="C34" s="80" t="s">
        <v>105</v>
      </c>
      <c r="D34" s="81" t="s">
        <v>109</v>
      </c>
      <c r="E34" s="78" t="s">
        <v>110</v>
      </c>
      <c r="F34" s="80">
        <v>6000.0</v>
      </c>
      <c r="G34" s="80">
        <v>5000.0</v>
      </c>
      <c r="H34" s="4"/>
      <c r="I34" s="3"/>
    </row>
    <row r="35">
      <c r="A35" s="82" t="s">
        <v>111</v>
      </c>
      <c r="B35" s="79">
        <v>1.0</v>
      </c>
      <c r="C35" s="80" t="s">
        <v>105</v>
      </c>
      <c r="D35" s="78" t="s">
        <v>112</v>
      </c>
      <c r="E35" s="78" t="s">
        <v>113</v>
      </c>
      <c r="F35" s="80">
        <v>1200.0</v>
      </c>
      <c r="G35" s="80">
        <v>1000.0</v>
      </c>
      <c r="H35" s="4"/>
      <c r="I35" s="3"/>
    </row>
    <row r="36">
      <c r="A36" s="82" t="s">
        <v>114</v>
      </c>
      <c r="B36" s="83">
        <v>1.0</v>
      </c>
      <c r="C36" s="80" t="s">
        <v>105</v>
      </c>
      <c r="D36" s="78" t="s">
        <v>115</v>
      </c>
      <c r="E36" s="78" t="s">
        <v>116</v>
      </c>
      <c r="F36" s="80">
        <v>3000.0</v>
      </c>
      <c r="G36" s="80">
        <v>1500.0</v>
      </c>
      <c r="H36" s="4"/>
      <c r="I36" s="3"/>
    </row>
    <row r="37">
      <c r="A37" s="84" t="s">
        <v>117</v>
      </c>
      <c r="B37" s="85">
        <v>1.0</v>
      </c>
      <c r="C37" s="80" t="s">
        <v>105</v>
      </c>
      <c r="D37" s="81" t="s">
        <v>118</v>
      </c>
      <c r="E37" s="81" t="s">
        <v>119</v>
      </c>
      <c r="F37" s="80">
        <v>1500.0</v>
      </c>
      <c r="G37" s="80">
        <v>7500.0</v>
      </c>
      <c r="H37" s="4"/>
      <c r="I37" s="3"/>
    </row>
    <row r="38">
      <c r="A38" s="81" t="s">
        <v>120</v>
      </c>
      <c r="B38" s="85">
        <v>1.0</v>
      </c>
      <c r="C38" s="80" t="s">
        <v>105</v>
      </c>
      <c r="D38" s="86" t="s">
        <v>121</v>
      </c>
      <c r="E38" s="86" t="s">
        <v>122</v>
      </c>
      <c r="F38" s="80">
        <v>3500.0</v>
      </c>
      <c r="G38" s="80">
        <v>2500.0</v>
      </c>
      <c r="H38" s="4"/>
      <c r="I38" s="3"/>
    </row>
    <row r="39">
      <c r="A39" s="84" t="s">
        <v>123</v>
      </c>
      <c r="B39" s="85">
        <v>1.0</v>
      </c>
      <c r="C39" s="80" t="s">
        <v>105</v>
      </c>
      <c r="D39" s="86" t="s">
        <v>124</v>
      </c>
      <c r="E39" s="86" t="s">
        <v>125</v>
      </c>
      <c r="F39" s="80">
        <v>2500.0</v>
      </c>
      <c r="G39" s="80">
        <v>4000.0</v>
      </c>
      <c r="H39" s="4"/>
      <c r="I39" s="3"/>
    </row>
    <row r="40">
      <c r="A40" s="84" t="s">
        <v>126</v>
      </c>
      <c r="B40" s="85">
        <v>1.0</v>
      </c>
      <c r="C40" s="80" t="s">
        <v>105</v>
      </c>
      <c r="D40" s="86" t="s">
        <v>127</v>
      </c>
      <c r="E40" s="86" t="s">
        <v>128</v>
      </c>
      <c r="F40" s="80">
        <v>3000.0</v>
      </c>
      <c r="G40" s="80">
        <v>2500.0</v>
      </c>
      <c r="H40" s="4"/>
      <c r="I40" s="3"/>
    </row>
    <row r="41">
      <c r="A41" s="87" t="s">
        <v>129</v>
      </c>
      <c r="B41" s="83">
        <v>1.0</v>
      </c>
      <c r="C41" s="80" t="s">
        <v>105</v>
      </c>
      <c r="D41" s="81" t="s">
        <v>130</v>
      </c>
      <c r="E41" s="86"/>
      <c r="F41" s="80"/>
      <c r="G41" s="80">
        <v>1500.0</v>
      </c>
      <c r="H41" s="4"/>
      <c r="I41" s="3"/>
    </row>
    <row r="42">
      <c r="A42" s="84" t="s">
        <v>131</v>
      </c>
      <c r="B42" s="85">
        <v>1.0</v>
      </c>
      <c r="C42" s="80" t="s">
        <v>105</v>
      </c>
      <c r="D42" s="86" t="s">
        <v>132</v>
      </c>
      <c r="E42" s="86" t="s">
        <v>133</v>
      </c>
      <c r="F42" s="80">
        <v>4000.0</v>
      </c>
      <c r="G42" s="80">
        <v>4200.0</v>
      </c>
      <c r="H42" s="4"/>
      <c r="I42" s="3"/>
    </row>
    <row r="43">
      <c r="A43" s="84" t="s">
        <v>134</v>
      </c>
      <c r="B43" s="85">
        <v>1.0</v>
      </c>
      <c r="C43" s="80" t="s">
        <v>105</v>
      </c>
      <c r="D43" s="86" t="s">
        <v>135</v>
      </c>
      <c r="E43" s="86" t="s">
        <v>136</v>
      </c>
      <c r="F43" s="88"/>
      <c r="G43" s="80">
        <v>3500.0</v>
      </c>
      <c r="H43" s="4"/>
      <c r="I43" s="3"/>
    </row>
    <row r="44">
      <c r="A44" s="84" t="s">
        <v>137</v>
      </c>
      <c r="B44" s="85">
        <v>1.0</v>
      </c>
      <c r="C44" s="80" t="s">
        <v>105</v>
      </c>
      <c r="D44" s="86" t="s">
        <v>138</v>
      </c>
      <c r="E44" s="86" t="s">
        <v>139</v>
      </c>
      <c r="F44" s="88"/>
      <c r="G44" s="80">
        <v>2000.0</v>
      </c>
      <c r="H44" s="4"/>
      <c r="I44" s="3"/>
    </row>
    <row r="45">
      <c r="A45" s="89" t="s">
        <v>140</v>
      </c>
      <c r="B45" s="90">
        <v>1.0</v>
      </c>
      <c r="C45" s="23" t="s">
        <v>105</v>
      </c>
      <c r="D45" s="91" t="s">
        <v>141</v>
      </c>
      <c r="E45" s="91" t="s">
        <v>142</v>
      </c>
      <c r="F45" s="92"/>
      <c r="G45" s="23">
        <v>6000.0</v>
      </c>
      <c r="H45" s="4"/>
      <c r="I45" s="3"/>
    </row>
    <row r="46">
      <c r="A46" s="93" t="s">
        <v>143</v>
      </c>
      <c r="B46" s="94">
        <v>5.0</v>
      </c>
      <c r="C46" s="95" t="s">
        <v>144</v>
      </c>
      <c r="D46" s="96" t="s">
        <v>145</v>
      </c>
      <c r="E46" s="96" t="s">
        <v>146</v>
      </c>
      <c r="F46" s="97"/>
      <c r="G46" s="95">
        <v>20000.0</v>
      </c>
      <c r="H46" s="4"/>
      <c r="I46" s="3"/>
    </row>
    <row r="47">
      <c r="A47" s="98" t="s">
        <v>147</v>
      </c>
      <c r="B47" s="99">
        <v>3.0</v>
      </c>
      <c r="C47" s="100" t="s">
        <v>144</v>
      </c>
      <c r="D47" s="101" t="s">
        <v>148</v>
      </c>
      <c r="E47" s="101" t="s">
        <v>149</v>
      </c>
      <c r="F47" s="102"/>
      <c r="G47" s="100">
        <v>12500.0</v>
      </c>
      <c r="H47" s="4"/>
      <c r="I47" s="3"/>
    </row>
    <row r="48">
      <c r="A48" s="98" t="s">
        <v>150</v>
      </c>
      <c r="B48" s="99">
        <v>2.0</v>
      </c>
      <c r="C48" s="100" t="s">
        <v>144</v>
      </c>
      <c r="D48" s="101" t="s">
        <v>151</v>
      </c>
      <c r="E48" s="101" t="s">
        <v>152</v>
      </c>
      <c r="F48" s="102"/>
      <c r="G48" s="100">
        <v>5000.0</v>
      </c>
      <c r="H48" s="4"/>
      <c r="I48" s="3"/>
    </row>
    <row r="49">
      <c r="A49" s="98" t="s">
        <v>153</v>
      </c>
      <c r="B49" s="99">
        <v>2.0</v>
      </c>
      <c r="C49" s="100" t="s">
        <v>144</v>
      </c>
      <c r="D49" s="101" t="s">
        <v>154</v>
      </c>
      <c r="E49" s="101" t="s">
        <v>155</v>
      </c>
      <c r="F49" s="102"/>
      <c r="G49" s="100">
        <v>4000.0</v>
      </c>
      <c r="H49" s="4"/>
      <c r="I49" s="3"/>
    </row>
    <row r="50">
      <c r="A50" s="98" t="s">
        <v>156</v>
      </c>
      <c r="B50" s="99">
        <v>2.0</v>
      </c>
      <c r="C50" s="100" t="s">
        <v>144</v>
      </c>
      <c r="D50" s="101" t="s">
        <v>157</v>
      </c>
      <c r="E50" s="101" t="s">
        <v>158</v>
      </c>
      <c r="F50" s="102"/>
      <c r="G50" s="100">
        <v>7500.0</v>
      </c>
      <c r="H50" s="4"/>
      <c r="I50" s="3"/>
    </row>
    <row r="51">
      <c r="A51" s="103" t="s">
        <v>159</v>
      </c>
      <c r="B51" s="104">
        <v>1.0</v>
      </c>
      <c r="C51" s="105" t="s">
        <v>144</v>
      </c>
      <c r="D51" s="106" t="s">
        <v>160</v>
      </c>
      <c r="E51" s="106" t="s">
        <v>161</v>
      </c>
      <c r="F51" s="107"/>
      <c r="G51" s="105">
        <v>5000.0</v>
      </c>
      <c r="H51" s="4"/>
      <c r="I51" s="3"/>
    </row>
    <row r="52">
      <c r="A52" s="108" t="s">
        <v>162</v>
      </c>
      <c r="B52" s="109">
        <v>2.0</v>
      </c>
      <c r="C52" s="110" t="s">
        <v>163</v>
      </c>
      <c r="D52" s="111" t="s">
        <v>164</v>
      </c>
      <c r="E52" s="111" t="s">
        <v>165</v>
      </c>
      <c r="F52" s="112"/>
      <c r="G52" s="110">
        <v>15000.0</v>
      </c>
      <c r="H52" s="4"/>
      <c r="I52" s="3"/>
    </row>
    <row r="53">
      <c r="A53" s="113" t="s">
        <v>166</v>
      </c>
      <c r="B53" s="114">
        <v>2.0</v>
      </c>
      <c r="C53" s="115" t="s">
        <v>163</v>
      </c>
      <c r="D53" s="116" t="s">
        <v>167</v>
      </c>
      <c r="E53" s="116" t="s">
        <v>168</v>
      </c>
      <c r="F53" s="117"/>
      <c r="G53" s="115">
        <v>4000.0</v>
      </c>
      <c r="H53" s="4"/>
      <c r="I53" s="3"/>
    </row>
    <row r="54">
      <c r="A54" s="113" t="s">
        <v>169</v>
      </c>
      <c r="B54" s="114">
        <v>1.0</v>
      </c>
      <c r="C54" s="115" t="s">
        <v>163</v>
      </c>
      <c r="D54" s="116" t="s">
        <v>170</v>
      </c>
      <c r="E54" s="116" t="s">
        <v>171</v>
      </c>
      <c r="F54" s="117"/>
      <c r="G54" s="115">
        <v>1000.0</v>
      </c>
      <c r="H54" s="4"/>
      <c r="I54" s="3"/>
    </row>
    <row r="55">
      <c r="A55" s="118" t="s">
        <v>172</v>
      </c>
      <c r="B55" s="119">
        <v>1.0</v>
      </c>
      <c r="C55" s="120" t="s">
        <v>163</v>
      </c>
      <c r="D55" s="121" t="s">
        <v>173</v>
      </c>
      <c r="E55" s="121" t="s">
        <v>174</v>
      </c>
      <c r="F55" s="122"/>
      <c r="G55" s="120">
        <v>2500.0</v>
      </c>
      <c r="H55" s="4"/>
      <c r="I55" s="3"/>
    </row>
    <row r="56">
      <c r="A56" s="123" t="s">
        <v>175</v>
      </c>
      <c r="B56" s="124">
        <v>4.0</v>
      </c>
      <c r="C56" s="125" t="s">
        <v>176</v>
      </c>
      <c r="D56" s="126" t="s">
        <v>177</v>
      </c>
      <c r="E56" s="126" t="s">
        <v>178</v>
      </c>
      <c r="F56" s="127"/>
      <c r="G56" s="125">
        <v>12500.0</v>
      </c>
      <c r="H56" s="4"/>
      <c r="I56" s="3"/>
    </row>
    <row r="57">
      <c r="A57" s="128" t="s">
        <v>179</v>
      </c>
      <c r="B57" s="129">
        <v>3.0</v>
      </c>
      <c r="C57" s="130" t="s">
        <v>176</v>
      </c>
      <c r="D57" s="131" t="s">
        <v>180</v>
      </c>
      <c r="E57" s="131" t="s">
        <v>181</v>
      </c>
      <c r="F57" s="132"/>
      <c r="G57" s="130">
        <v>5000.0</v>
      </c>
      <c r="H57" s="4"/>
      <c r="I57" s="3"/>
    </row>
    <row r="58">
      <c r="A58" s="133" t="s">
        <v>182</v>
      </c>
      <c r="B58" s="134">
        <v>2.0</v>
      </c>
      <c r="C58" s="135" t="s">
        <v>176</v>
      </c>
      <c r="D58" s="133" t="s">
        <v>183</v>
      </c>
      <c r="E58" s="133" t="s">
        <v>184</v>
      </c>
      <c r="F58" s="136"/>
      <c r="G58" s="135">
        <v>4000.0</v>
      </c>
      <c r="H58" s="4"/>
      <c r="I58" s="3"/>
    </row>
    <row r="59">
      <c r="A59" s="137" t="s">
        <v>185</v>
      </c>
      <c r="B59" s="10">
        <v>1.0</v>
      </c>
      <c r="C59" s="11" t="s">
        <v>186</v>
      </c>
      <c r="D59" s="13" t="s">
        <v>187</v>
      </c>
      <c r="E59" s="13" t="s">
        <v>188</v>
      </c>
      <c r="F59" s="138"/>
      <c r="G59" s="11">
        <v>4000.0</v>
      </c>
      <c r="H59" s="4"/>
      <c r="I59" s="3"/>
    </row>
    <row r="60">
      <c r="A60" s="139" t="s">
        <v>189</v>
      </c>
      <c r="B60" s="140">
        <v>1.0</v>
      </c>
      <c r="C60" s="141" t="s">
        <v>186</v>
      </c>
      <c r="D60" s="142" t="s">
        <v>190</v>
      </c>
      <c r="E60" s="142" t="s">
        <v>191</v>
      </c>
      <c r="F60" s="143"/>
      <c r="G60" s="141">
        <v>4000.0</v>
      </c>
      <c r="H60" s="4"/>
      <c r="I60" s="3"/>
    </row>
    <row r="61">
      <c r="H61" s="4"/>
    </row>
    <row r="62">
      <c r="H62" s="4"/>
    </row>
    <row r="63" ht="19.5" customHeight="1">
      <c r="A63" s="144"/>
      <c r="B63" s="145"/>
      <c r="C63" s="145"/>
      <c r="D63" s="146" t="s">
        <v>192</v>
      </c>
      <c r="E63" s="147"/>
      <c r="H63" s="4"/>
    </row>
    <row r="64" ht="19.5" customHeight="1">
      <c r="A64" s="148"/>
      <c r="E64" s="149"/>
      <c r="H64" s="4"/>
    </row>
    <row r="65" ht="19.5" customHeight="1">
      <c r="A65" s="150" t="s">
        <v>193</v>
      </c>
      <c r="D65" s="151" t="s">
        <v>194</v>
      </c>
      <c r="E65" s="149"/>
      <c r="H65" s="4"/>
    </row>
    <row r="66" ht="19.5" customHeight="1">
      <c r="A66" s="150" t="s">
        <v>195</v>
      </c>
      <c r="D66" s="151" t="s">
        <v>196</v>
      </c>
      <c r="E66" s="152"/>
      <c r="H66" s="4"/>
    </row>
    <row r="67" ht="19.5" customHeight="1">
      <c r="A67" s="150" t="s">
        <v>197</v>
      </c>
      <c r="D67" s="153" t="s">
        <v>198</v>
      </c>
      <c r="E67" s="152"/>
      <c r="H67" s="4"/>
    </row>
    <row r="68" ht="19.5" customHeight="1">
      <c r="A68" s="150" t="s">
        <v>199</v>
      </c>
      <c r="D68" s="153" t="s">
        <v>200</v>
      </c>
      <c r="E68" s="152"/>
      <c r="H68" s="4"/>
    </row>
    <row r="69" ht="19.5" customHeight="1">
      <c r="A69" s="154" t="s">
        <v>201</v>
      </c>
      <c r="B69" s="155"/>
      <c r="C69" s="155"/>
      <c r="D69" s="156" t="s">
        <v>202</v>
      </c>
      <c r="E69" s="157"/>
      <c r="H69" s="4"/>
    </row>
    <row r="70" ht="19.5" customHeight="1">
      <c r="H70" s="4"/>
    </row>
    <row r="71" ht="19.5" customHeight="1">
      <c r="A71" s="158"/>
      <c r="B71" s="159"/>
      <c r="C71" s="159"/>
      <c r="D71" s="160"/>
      <c r="E71" s="161"/>
      <c r="H71" s="4"/>
    </row>
    <row r="72" ht="19.5" customHeight="1">
      <c r="A72" s="162" t="s">
        <v>203</v>
      </c>
      <c r="B72" s="163"/>
      <c r="C72" s="163"/>
      <c r="D72" s="163"/>
      <c r="E72" s="164"/>
      <c r="H72" s="4"/>
    </row>
    <row r="73" ht="19.5" customHeight="1">
      <c r="A73" s="162" t="s">
        <v>204</v>
      </c>
      <c r="B73" s="163"/>
      <c r="C73" s="163"/>
      <c r="D73" s="163"/>
      <c r="E73" s="164"/>
      <c r="H73" s="4"/>
    </row>
    <row r="74" ht="19.5" customHeight="1">
      <c r="A74" s="162" t="s">
        <v>205</v>
      </c>
      <c r="B74" s="163"/>
      <c r="C74" s="163"/>
      <c r="D74" s="163"/>
      <c r="E74" s="164"/>
      <c r="H74" s="4"/>
    </row>
    <row r="75" ht="19.5" customHeight="1">
      <c r="A75" s="162" t="s">
        <v>206</v>
      </c>
      <c r="B75" s="163"/>
      <c r="C75" s="163"/>
      <c r="D75" s="163"/>
      <c r="E75" s="164"/>
      <c r="H75" s="4"/>
    </row>
    <row r="76" ht="19.5" customHeight="1">
      <c r="A76" s="165" t="s">
        <v>207</v>
      </c>
      <c r="B76" s="166"/>
      <c r="C76" s="166"/>
      <c r="D76" s="163"/>
      <c r="E76" s="164"/>
      <c r="H76" s="4"/>
    </row>
    <row r="77">
      <c r="A77" s="167" t="s">
        <v>208</v>
      </c>
      <c r="C77" s="168" t="s">
        <v>209</v>
      </c>
      <c r="D77" s="169"/>
      <c r="E77" s="170"/>
      <c r="H77" s="4"/>
    </row>
    <row r="78">
      <c r="A78" s="171"/>
      <c r="C78" s="138" t="str">
        <f t="array" ref="C78:C88">UNIQUE(C2:C60)</f>
        <v>Arms &amp; Arm Attachments</v>
      </c>
      <c r="D78" s="169"/>
      <c r="E78" s="170"/>
      <c r="H78" s="4"/>
    </row>
    <row r="79">
      <c r="A79" s="171"/>
      <c r="C79" s="172" t="s">
        <v>23</v>
      </c>
      <c r="D79" s="169"/>
      <c r="E79" s="170"/>
      <c r="H79" s="4"/>
    </row>
    <row r="80">
      <c r="A80" s="171"/>
      <c r="C80" s="173" t="s">
        <v>30</v>
      </c>
      <c r="D80" s="169"/>
      <c r="E80" s="170"/>
      <c r="H80" s="4"/>
    </row>
    <row r="81">
      <c r="A81" s="171"/>
      <c r="C81" s="42" t="s">
        <v>43</v>
      </c>
      <c r="D81" s="169"/>
      <c r="E81" s="170"/>
      <c r="H81" s="4"/>
    </row>
    <row r="82">
      <c r="A82" s="171"/>
      <c r="C82" s="174" t="s">
        <v>65</v>
      </c>
      <c r="D82" s="169"/>
      <c r="E82" s="170"/>
      <c r="H82" s="4"/>
    </row>
    <row r="83">
      <c r="A83" s="171"/>
      <c r="C83" s="175" t="s">
        <v>98</v>
      </c>
      <c r="D83" s="169"/>
      <c r="E83" s="170"/>
      <c r="H83" s="4"/>
    </row>
    <row r="84">
      <c r="A84" s="171"/>
      <c r="C84" s="88" t="s">
        <v>105</v>
      </c>
      <c r="D84" s="169"/>
      <c r="E84" s="170"/>
      <c r="H84" s="4"/>
    </row>
    <row r="85">
      <c r="A85" s="171"/>
      <c r="C85" s="102" t="s">
        <v>144</v>
      </c>
      <c r="D85" s="169"/>
      <c r="E85" s="170"/>
      <c r="H85" s="4"/>
    </row>
    <row r="86">
      <c r="A86" s="171"/>
      <c r="C86" s="117" t="s">
        <v>163</v>
      </c>
      <c r="D86" s="169"/>
      <c r="E86" s="170"/>
      <c r="H86" s="4"/>
    </row>
    <row r="87">
      <c r="A87" s="171"/>
      <c r="C87" s="132" t="s">
        <v>176</v>
      </c>
      <c r="D87" s="169"/>
      <c r="E87" s="170"/>
      <c r="H87" s="4"/>
    </row>
    <row r="88">
      <c r="A88" s="176"/>
      <c r="B88" s="177"/>
      <c r="C88" s="178" t="s">
        <v>186</v>
      </c>
      <c r="D88" s="179"/>
      <c r="E88" s="180"/>
      <c r="H88" s="4"/>
    </row>
    <row r="89">
      <c r="H89" s="4"/>
    </row>
    <row r="90">
      <c r="H90" s="4"/>
    </row>
    <row r="91">
      <c r="H91" s="4"/>
    </row>
    <row r="92">
      <c r="H92" s="4"/>
    </row>
    <row r="93">
      <c r="H93" s="4"/>
    </row>
    <row r="94">
      <c r="H94" s="4"/>
    </row>
    <row r="95">
      <c r="H95" s="4"/>
    </row>
    <row r="96">
      <c r="H96" s="4"/>
    </row>
    <row r="97">
      <c r="H97" s="4"/>
    </row>
    <row r="98">
      <c r="H98" s="4"/>
    </row>
    <row r="99">
      <c r="H99" s="4"/>
    </row>
    <row r="100">
      <c r="H100" s="4"/>
    </row>
    <row r="101">
      <c r="H101" s="4"/>
    </row>
    <row r="102">
      <c r="H102" s="4"/>
    </row>
    <row r="103">
      <c r="H103" s="4"/>
    </row>
    <row r="104">
      <c r="H104" s="4"/>
    </row>
    <row r="105">
      <c r="H105" s="4"/>
    </row>
    <row r="106">
      <c r="H106" s="4"/>
    </row>
    <row r="107">
      <c r="H107" s="4"/>
    </row>
    <row r="108">
      <c r="H108" s="4"/>
    </row>
    <row r="109">
      <c r="H109" s="4"/>
    </row>
    <row r="110">
      <c r="H110" s="4"/>
    </row>
    <row r="111">
      <c r="H111" s="4"/>
    </row>
    <row r="112">
      <c r="H112" s="4"/>
    </row>
    <row r="113">
      <c r="H113" s="4"/>
    </row>
    <row r="114">
      <c r="H114" s="4"/>
    </row>
    <row r="115">
      <c r="H115" s="4"/>
    </row>
    <row r="116">
      <c r="H116" s="4"/>
    </row>
    <row r="117">
      <c r="H117" s="4"/>
    </row>
    <row r="118">
      <c r="H118" s="4"/>
    </row>
    <row r="119">
      <c r="H119" s="4"/>
    </row>
    <row r="120">
      <c r="H120" s="4"/>
    </row>
    <row r="121">
      <c r="H121" s="4"/>
    </row>
    <row r="122">
      <c r="H122" s="4"/>
    </row>
    <row r="123">
      <c r="H123" s="4"/>
    </row>
    <row r="124">
      <c r="H124" s="4"/>
    </row>
    <row r="125">
      <c r="H125" s="4"/>
    </row>
    <row r="126">
      <c r="H126" s="4"/>
    </row>
    <row r="127">
      <c r="H127" s="4"/>
    </row>
    <row r="128">
      <c r="H128" s="4"/>
    </row>
    <row r="129">
      <c r="H129" s="4"/>
    </row>
    <row r="130">
      <c r="H130" s="4"/>
    </row>
    <row r="131">
      <c r="H131" s="4"/>
    </row>
    <row r="132">
      <c r="H132" s="4"/>
    </row>
    <row r="133">
      <c r="H133" s="4"/>
    </row>
    <row r="134">
      <c r="H134" s="4"/>
    </row>
    <row r="135">
      <c r="H135" s="4"/>
    </row>
    <row r="136">
      <c r="H136" s="4"/>
    </row>
    <row r="137">
      <c r="H137" s="4"/>
    </row>
    <row r="138">
      <c r="H138" s="4"/>
    </row>
    <row r="139">
      <c r="H139" s="4"/>
    </row>
    <row r="140">
      <c r="H140" s="4"/>
    </row>
    <row r="141">
      <c r="H141" s="4"/>
    </row>
    <row r="142">
      <c r="H142" s="4"/>
    </row>
    <row r="143">
      <c r="H143" s="4"/>
    </row>
    <row r="144">
      <c r="H144" s="4"/>
    </row>
    <row r="145">
      <c r="H145" s="4"/>
    </row>
    <row r="146">
      <c r="H146" s="4"/>
    </row>
    <row r="147">
      <c r="H147" s="4"/>
    </row>
    <row r="148">
      <c r="H148" s="4"/>
    </row>
    <row r="149">
      <c r="H149" s="4"/>
    </row>
    <row r="150">
      <c r="H150" s="4"/>
    </row>
    <row r="151">
      <c r="H151" s="4"/>
    </row>
    <row r="152">
      <c r="H152" s="4"/>
    </row>
    <row r="153">
      <c r="H153" s="4"/>
    </row>
    <row r="154">
      <c r="H154" s="4"/>
    </row>
    <row r="155">
      <c r="H155" s="4"/>
    </row>
    <row r="156">
      <c r="H156" s="4"/>
    </row>
    <row r="157">
      <c r="H157" s="4"/>
    </row>
    <row r="158">
      <c r="H158" s="4"/>
    </row>
    <row r="159">
      <c r="H159" s="4"/>
    </row>
    <row r="160">
      <c r="H160" s="4"/>
    </row>
    <row r="161">
      <c r="H161" s="4"/>
    </row>
    <row r="162">
      <c r="H162" s="4"/>
    </row>
    <row r="163">
      <c r="H163" s="4"/>
    </row>
    <row r="164">
      <c r="H164" s="4"/>
    </row>
    <row r="165">
      <c r="H165" s="4"/>
    </row>
    <row r="166">
      <c r="H166" s="4"/>
    </row>
    <row r="167">
      <c r="H167" s="4"/>
    </row>
    <row r="168">
      <c r="H168" s="4"/>
    </row>
    <row r="169">
      <c r="H169" s="4"/>
    </row>
    <row r="170">
      <c r="H170" s="4"/>
    </row>
    <row r="171">
      <c r="H171" s="4"/>
    </row>
    <row r="172">
      <c r="H172" s="4"/>
    </row>
    <row r="173">
      <c r="H173" s="4"/>
    </row>
    <row r="174">
      <c r="H174" s="4"/>
    </row>
    <row r="175">
      <c r="H175" s="4"/>
    </row>
    <row r="176">
      <c r="H176" s="4"/>
    </row>
    <row r="177">
      <c r="H177" s="4"/>
    </row>
    <row r="178">
      <c r="H178" s="4"/>
    </row>
    <row r="179">
      <c r="H179" s="4"/>
    </row>
    <row r="180">
      <c r="H180" s="4"/>
    </row>
    <row r="181">
      <c r="H181" s="4"/>
    </row>
    <row r="182">
      <c r="H182" s="4"/>
    </row>
    <row r="183">
      <c r="H183" s="4"/>
    </row>
    <row r="184">
      <c r="H184" s="4"/>
    </row>
    <row r="185">
      <c r="H185" s="4"/>
    </row>
    <row r="186">
      <c r="H186" s="4"/>
    </row>
    <row r="187">
      <c r="H187" s="4"/>
    </row>
    <row r="188">
      <c r="H188" s="4"/>
    </row>
    <row r="189">
      <c r="H189" s="4"/>
    </row>
    <row r="190">
      <c r="H190" s="4"/>
    </row>
    <row r="191">
      <c r="H191" s="4"/>
    </row>
    <row r="192">
      <c r="H192" s="4"/>
    </row>
    <row r="193">
      <c r="H193" s="4"/>
    </row>
    <row r="194">
      <c r="H194" s="4"/>
    </row>
    <row r="195">
      <c r="H195" s="4"/>
    </row>
    <row r="196">
      <c r="H196" s="4"/>
    </row>
    <row r="197">
      <c r="H197" s="4"/>
    </row>
    <row r="198">
      <c r="H198" s="4"/>
    </row>
    <row r="199">
      <c r="H199" s="4"/>
    </row>
    <row r="200">
      <c r="H200" s="4"/>
    </row>
    <row r="201">
      <c r="H201" s="4"/>
    </row>
    <row r="202">
      <c r="H202" s="4"/>
    </row>
    <row r="203">
      <c r="H203" s="4"/>
    </row>
    <row r="204">
      <c r="H204" s="4"/>
    </row>
    <row r="205">
      <c r="H205" s="4"/>
    </row>
    <row r="206">
      <c r="H206" s="4"/>
    </row>
    <row r="207">
      <c r="H207" s="4"/>
    </row>
    <row r="208">
      <c r="H208" s="4"/>
    </row>
    <row r="209">
      <c r="H209" s="4"/>
    </row>
    <row r="210">
      <c r="H210" s="4"/>
    </row>
    <row r="211">
      <c r="H211" s="4"/>
    </row>
    <row r="212">
      <c r="H212" s="4"/>
    </row>
    <row r="213">
      <c r="H213" s="4"/>
    </row>
    <row r="214">
      <c r="H214" s="4"/>
    </row>
    <row r="215">
      <c r="H215" s="4"/>
    </row>
    <row r="216">
      <c r="H216" s="4"/>
    </row>
    <row r="217">
      <c r="H217" s="4"/>
    </row>
    <row r="218">
      <c r="H218" s="4"/>
    </row>
    <row r="219">
      <c r="H219" s="4"/>
    </row>
    <row r="220">
      <c r="H220" s="4"/>
    </row>
    <row r="221">
      <c r="H221" s="4"/>
    </row>
    <row r="222">
      <c r="H222" s="4"/>
    </row>
    <row r="223">
      <c r="H223" s="4"/>
    </row>
    <row r="224">
      <c r="H224" s="4"/>
    </row>
    <row r="225">
      <c r="H225" s="4"/>
    </row>
    <row r="226">
      <c r="H226" s="4"/>
    </row>
    <row r="227">
      <c r="H227" s="4"/>
    </row>
    <row r="228">
      <c r="H228" s="4"/>
    </row>
    <row r="229">
      <c r="H229" s="4"/>
    </row>
    <row r="230">
      <c r="H230" s="4"/>
    </row>
    <row r="231">
      <c r="H231" s="4"/>
    </row>
    <row r="232">
      <c r="H232" s="4"/>
    </row>
    <row r="233">
      <c r="H233" s="4"/>
    </row>
    <row r="234">
      <c r="H234" s="4"/>
    </row>
    <row r="235">
      <c r="H235" s="4"/>
    </row>
    <row r="236">
      <c r="H236" s="4"/>
    </row>
    <row r="237">
      <c r="H237" s="4"/>
    </row>
    <row r="238">
      <c r="H238" s="4"/>
    </row>
    <row r="239">
      <c r="H239" s="4"/>
    </row>
    <row r="240">
      <c r="H240" s="4"/>
    </row>
    <row r="241">
      <c r="H241" s="4"/>
    </row>
    <row r="242">
      <c r="H242" s="4"/>
    </row>
    <row r="243">
      <c r="H243" s="4"/>
    </row>
    <row r="244">
      <c r="H244" s="4"/>
    </row>
    <row r="245">
      <c r="H245" s="4"/>
    </row>
    <row r="246">
      <c r="H246" s="4"/>
    </row>
    <row r="247">
      <c r="H247" s="4"/>
    </row>
    <row r="248">
      <c r="H248" s="4"/>
    </row>
    <row r="249">
      <c r="H249" s="4"/>
    </row>
    <row r="250">
      <c r="H250" s="4"/>
    </row>
    <row r="251">
      <c r="H251" s="4"/>
    </row>
    <row r="252">
      <c r="H252" s="4"/>
    </row>
    <row r="253">
      <c r="H253" s="4"/>
    </row>
    <row r="254">
      <c r="H254" s="4"/>
    </row>
    <row r="255">
      <c r="H255" s="4"/>
    </row>
    <row r="256">
      <c r="H256" s="4"/>
    </row>
    <row r="257">
      <c r="H257" s="4"/>
    </row>
    <row r="258">
      <c r="H258" s="4"/>
    </row>
    <row r="259">
      <c r="H259" s="4"/>
    </row>
    <row r="260">
      <c r="H260" s="4"/>
    </row>
    <row r="261">
      <c r="H261" s="4"/>
    </row>
    <row r="262">
      <c r="H262" s="4"/>
    </row>
    <row r="263">
      <c r="H263" s="4"/>
    </row>
    <row r="264">
      <c r="H264" s="4"/>
    </row>
    <row r="265">
      <c r="H265" s="4"/>
    </row>
    <row r="266">
      <c r="H266" s="4"/>
    </row>
    <row r="267">
      <c r="H267" s="4"/>
    </row>
    <row r="268">
      <c r="H268" s="4"/>
    </row>
    <row r="269">
      <c r="H269" s="4"/>
    </row>
    <row r="270">
      <c r="H270" s="4"/>
    </row>
    <row r="271">
      <c r="H271" s="4"/>
    </row>
    <row r="272">
      <c r="H272" s="4"/>
    </row>
    <row r="273">
      <c r="H273" s="4"/>
    </row>
    <row r="274">
      <c r="H274" s="4"/>
    </row>
    <row r="275">
      <c r="H275" s="4"/>
    </row>
    <row r="276">
      <c r="H276" s="4"/>
    </row>
    <row r="277">
      <c r="H277" s="4"/>
    </row>
    <row r="278">
      <c r="H278" s="4"/>
    </row>
    <row r="279">
      <c r="H279" s="4"/>
    </row>
    <row r="280">
      <c r="H280" s="4"/>
    </row>
    <row r="281">
      <c r="H281" s="4"/>
    </row>
    <row r="282">
      <c r="H282" s="4"/>
    </row>
    <row r="283">
      <c r="H283" s="4"/>
    </row>
    <row r="284">
      <c r="H284" s="4"/>
    </row>
    <row r="285">
      <c r="H285" s="4"/>
    </row>
    <row r="286">
      <c r="H286" s="4"/>
    </row>
    <row r="287">
      <c r="H287" s="4"/>
    </row>
    <row r="288">
      <c r="H288" s="4"/>
    </row>
    <row r="289">
      <c r="H289" s="4"/>
    </row>
    <row r="290">
      <c r="H290" s="4"/>
    </row>
    <row r="291">
      <c r="H291" s="4"/>
    </row>
    <row r="292">
      <c r="H292" s="4"/>
    </row>
    <row r="293">
      <c r="H293" s="4"/>
    </row>
    <row r="294">
      <c r="H294" s="4"/>
    </row>
    <row r="295">
      <c r="H295" s="4"/>
    </row>
    <row r="296">
      <c r="H296" s="4"/>
    </row>
    <row r="297">
      <c r="H297" s="4"/>
    </row>
    <row r="298">
      <c r="H298" s="4"/>
    </row>
    <row r="299">
      <c r="H299" s="4"/>
    </row>
    <row r="300">
      <c r="H300" s="4"/>
    </row>
    <row r="301">
      <c r="H301" s="4"/>
    </row>
    <row r="302">
      <c r="H302" s="4"/>
    </row>
    <row r="303">
      <c r="H303" s="4"/>
    </row>
    <row r="304">
      <c r="H304" s="4"/>
    </row>
    <row r="305">
      <c r="H305" s="4"/>
    </row>
    <row r="306">
      <c r="H306" s="4"/>
    </row>
    <row r="307">
      <c r="H307" s="4"/>
    </row>
    <row r="308">
      <c r="H308" s="4"/>
    </row>
    <row r="309">
      <c r="H309" s="4"/>
    </row>
    <row r="310">
      <c r="H310" s="4"/>
    </row>
    <row r="311">
      <c r="H311" s="4"/>
    </row>
    <row r="312">
      <c r="H312" s="4"/>
    </row>
    <row r="313">
      <c r="H313" s="4"/>
    </row>
    <row r="314">
      <c r="H314" s="4"/>
    </row>
    <row r="315">
      <c r="H315" s="4"/>
    </row>
    <row r="316">
      <c r="H316" s="4"/>
    </row>
    <row r="317">
      <c r="H317" s="4"/>
    </row>
    <row r="318">
      <c r="H318" s="4"/>
    </row>
    <row r="319">
      <c r="H319" s="4"/>
    </row>
    <row r="320">
      <c r="H320" s="4"/>
    </row>
    <row r="321">
      <c r="H321" s="4"/>
    </row>
    <row r="322">
      <c r="H322" s="4"/>
    </row>
    <row r="323">
      <c r="H323" s="4"/>
    </row>
    <row r="324">
      <c r="H324" s="4"/>
    </row>
    <row r="325">
      <c r="H325" s="4"/>
    </row>
    <row r="326">
      <c r="H326" s="4"/>
    </row>
    <row r="327">
      <c r="H327" s="4"/>
    </row>
    <row r="328">
      <c r="H328" s="4"/>
    </row>
    <row r="329">
      <c r="H329" s="4"/>
    </row>
    <row r="330">
      <c r="H330" s="4"/>
    </row>
    <row r="331">
      <c r="H331" s="4"/>
    </row>
    <row r="332">
      <c r="H332" s="4"/>
    </row>
    <row r="333">
      <c r="H333" s="4"/>
    </row>
    <row r="334">
      <c r="H334" s="4"/>
    </row>
    <row r="335">
      <c r="H335" s="4"/>
    </row>
    <row r="336">
      <c r="H336" s="4"/>
    </row>
    <row r="337">
      <c r="H337" s="4"/>
    </row>
    <row r="338">
      <c r="H338" s="4"/>
    </row>
    <row r="339">
      <c r="H339" s="4"/>
    </row>
    <row r="340">
      <c r="H340" s="4"/>
    </row>
    <row r="341">
      <c r="H341" s="4"/>
    </row>
    <row r="342">
      <c r="H342" s="4"/>
    </row>
    <row r="343">
      <c r="H343" s="4"/>
    </row>
    <row r="344">
      <c r="H344" s="4"/>
    </row>
    <row r="345">
      <c r="H345" s="4"/>
    </row>
    <row r="346">
      <c r="H346" s="4"/>
    </row>
    <row r="347">
      <c r="H347" s="4"/>
    </row>
    <row r="348">
      <c r="H348" s="4"/>
    </row>
    <row r="349">
      <c r="H349" s="4"/>
    </row>
    <row r="350">
      <c r="H350" s="4"/>
    </row>
    <row r="351">
      <c r="H351" s="4"/>
    </row>
    <row r="352">
      <c r="H352" s="4"/>
    </row>
    <row r="353">
      <c r="H353" s="4"/>
    </row>
    <row r="354">
      <c r="H354" s="4"/>
    </row>
    <row r="355">
      <c r="H355" s="4"/>
    </row>
    <row r="356">
      <c r="H356" s="4"/>
    </row>
    <row r="357">
      <c r="H357" s="4"/>
    </row>
    <row r="358">
      <c r="H358" s="4"/>
    </row>
    <row r="359">
      <c r="H359" s="4"/>
    </row>
    <row r="360">
      <c r="H360" s="4"/>
    </row>
    <row r="361">
      <c r="H361" s="4"/>
    </row>
    <row r="362">
      <c r="H362" s="4"/>
    </row>
    <row r="363">
      <c r="H363" s="4"/>
    </row>
    <row r="364">
      <c r="H364" s="4"/>
    </row>
    <row r="365">
      <c r="H365" s="4"/>
    </row>
    <row r="366">
      <c r="H366" s="4"/>
    </row>
    <row r="367">
      <c r="H367" s="4"/>
    </row>
    <row r="368">
      <c r="H368" s="4"/>
    </row>
    <row r="369">
      <c r="H369" s="4"/>
    </row>
    <row r="370">
      <c r="H370" s="4"/>
    </row>
    <row r="371">
      <c r="H371" s="4"/>
    </row>
    <row r="372">
      <c r="H372" s="4"/>
    </row>
    <row r="373">
      <c r="H373" s="4"/>
    </row>
    <row r="374">
      <c r="H374" s="4"/>
    </row>
    <row r="375">
      <c r="H375" s="4"/>
    </row>
    <row r="376">
      <c r="H376" s="4"/>
    </row>
    <row r="377">
      <c r="H377" s="4"/>
    </row>
    <row r="378">
      <c r="H378" s="4"/>
    </row>
    <row r="379">
      <c r="H379" s="4"/>
    </row>
    <row r="380">
      <c r="H380" s="4"/>
    </row>
    <row r="381">
      <c r="H381" s="4"/>
    </row>
    <row r="382">
      <c r="H382" s="4"/>
    </row>
    <row r="383">
      <c r="H383" s="4"/>
    </row>
    <row r="384">
      <c r="H384" s="4"/>
    </row>
    <row r="385">
      <c r="H385" s="4"/>
    </row>
    <row r="386">
      <c r="H386" s="4"/>
    </row>
    <row r="387">
      <c r="H387" s="4"/>
    </row>
    <row r="388">
      <c r="H388" s="4"/>
    </row>
    <row r="389">
      <c r="H389" s="4"/>
    </row>
    <row r="390">
      <c r="H390" s="4"/>
    </row>
    <row r="391">
      <c r="H391" s="4"/>
    </row>
    <row r="392">
      <c r="H392" s="4"/>
    </row>
    <row r="393">
      <c r="H393" s="4"/>
    </row>
    <row r="394">
      <c r="H394" s="4"/>
    </row>
    <row r="395">
      <c r="H395" s="4"/>
    </row>
    <row r="396">
      <c r="H396" s="4"/>
    </row>
    <row r="397">
      <c r="H397" s="4"/>
    </row>
    <row r="398">
      <c r="H398" s="4"/>
    </row>
    <row r="399">
      <c r="H399" s="4"/>
    </row>
    <row r="400">
      <c r="H400" s="4"/>
    </row>
    <row r="401">
      <c r="H401" s="4"/>
    </row>
    <row r="402">
      <c r="H402" s="4"/>
    </row>
    <row r="403">
      <c r="H403" s="4"/>
    </row>
    <row r="404">
      <c r="H404" s="4"/>
    </row>
    <row r="405">
      <c r="H405" s="4"/>
    </row>
    <row r="406">
      <c r="H406" s="4"/>
    </row>
    <row r="407">
      <c r="H407" s="4"/>
    </row>
    <row r="408">
      <c r="H408" s="4"/>
    </row>
    <row r="409">
      <c r="H409" s="4"/>
    </row>
    <row r="410">
      <c r="H410" s="4"/>
    </row>
    <row r="411">
      <c r="H411" s="4"/>
    </row>
    <row r="412">
      <c r="H412" s="4"/>
    </row>
    <row r="413">
      <c r="H413" s="4"/>
    </row>
    <row r="414">
      <c r="H414" s="4"/>
    </row>
    <row r="415">
      <c r="H415" s="4"/>
    </row>
    <row r="416">
      <c r="H416" s="4"/>
    </row>
    <row r="417">
      <c r="H417" s="4"/>
    </row>
    <row r="418">
      <c r="H418" s="4"/>
    </row>
    <row r="419">
      <c r="H419" s="4"/>
    </row>
    <row r="420">
      <c r="H420" s="4"/>
    </row>
    <row r="421">
      <c r="H421" s="4"/>
    </row>
    <row r="422">
      <c r="H422" s="4"/>
    </row>
    <row r="423">
      <c r="H423" s="4"/>
    </row>
    <row r="424">
      <c r="H424" s="4"/>
    </row>
    <row r="425">
      <c r="H425" s="4"/>
    </row>
    <row r="426">
      <c r="H426" s="4"/>
    </row>
    <row r="427">
      <c r="H427" s="4"/>
    </row>
    <row r="428">
      <c r="H428" s="4"/>
    </row>
    <row r="429">
      <c r="H429" s="4"/>
    </row>
    <row r="430">
      <c r="H430" s="4"/>
    </row>
    <row r="431">
      <c r="H431" s="4"/>
    </row>
    <row r="432">
      <c r="H432" s="4"/>
    </row>
    <row r="433">
      <c r="H433" s="4"/>
    </row>
    <row r="434">
      <c r="H434" s="4"/>
    </row>
    <row r="435">
      <c r="H435" s="4"/>
    </row>
    <row r="436">
      <c r="H436" s="4"/>
    </row>
    <row r="437">
      <c r="H437" s="4"/>
    </row>
    <row r="438">
      <c r="H438" s="4"/>
    </row>
    <row r="439">
      <c r="H439" s="4"/>
    </row>
    <row r="440">
      <c r="H440" s="4"/>
    </row>
    <row r="441">
      <c r="H441" s="4"/>
    </row>
    <row r="442">
      <c r="H442" s="4"/>
    </row>
    <row r="443">
      <c r="H443" s="4"/>
    </row>
    <row r="444">
      <c r="H444" s="4"/>
    </row>
    <row r="445">
      <c r="H445" s="4"/>
    </row>
    <row r="446">
      <c r="H446" s="4"/>
    </row>
    <row r="447">
      <c r="H447" s="4"/>
    </row>
    <row r="448">
      <c r="H448" s="4"/>
    </row>
    <row r="449">
      <c r="H449" s="4"/>
    </row>
    <row r="450">
      <c r="H450" s="4"/>
    </row>
    <row r="451">
      <c r="H451" s="4"/>
    </row>
    <row r="452">
      <c r="H452" s="4"/>
    </row>
    <row r="453">
      <c r="H453" s="4"/>
    </row>
    <row r="454">
      <c r="H454" s="4"/>
    </row>
    <row r="455">
      <c r="H455" s="4"/>
    </row>
    <row r="456">
      <c r="H456" s="4"/>
    </row>
    <row r="457">
      <c r="H457" s="4"/>
    </row>
    <row r="458">
      <c r="H458" s="4"/>
    </row>
    <row r="459">
      <c r="H459" s="4"/>
    </row>
    <row r="460">
      <c r="H460" s="4"/>
    </row>
    <row r="461">
      <c r="H461" s="4"/>
    </row>
    <row r="462">
      <c r="H462" s="4"/>
    </row>
    <row r="463">
      <c r="H463" s="4"/>
    </row>
    <row r="464">
      <c r="H464" s="4"/>
    </row>
    <row r="465">
      <c r="H465" s="4"/>
    </row>
    <row r="466">
      <c r="H466" s="4"/>
    </row>
    <row r="467">
      <c r="H467" s="4"/>
    </row>
    <row r="468">
      <c r="H468" s="4"/>
    </row>
    <row r="469">
      <c r="H469" s="4"/>
    </row>
    <row r="470">
      <c r="H470" s="4"/>
    </row>
    <row r="471">
      <c r="H471" s="4"/>
    </row>
    <row r="472">
      <c r="H472" s="4"/>
    </row>
    <row r="473">
      <c r="H473" s="4"/>
    </row>
    <row r="474">
      <c r="H474" s="4"/>
    </row>
    <row r="475">
      <c r="H475" s="4"/>
    </row>
    <row r="476">
      <c r="H476" s="4"/>
    </row>
    <row r="477">
      <c r="H477" s="4"/>
    </row>
    <row r="478">
      <c r="H478" s="4"/>
    </row>
    <row r="479">
      <c r="H479" s="4"/>
    </row>
    <row r="480">
      <c r="H480" s="4"/>
    </row>
    <row r="481">
      <c r="H481" s="4"/>
    </row>
    <row r="482">
      <c r="H482" s="4"/>
    </row>
    <row r="483">
      <c r="H483" s="4"/>
    </row>
    <row r="484">
      <c r="H484" s="4"/>
    </row>
    <row r="485">
      <c r="H485" s="4"/>
    </row>
    <row r="486">
      <c r="H486" s="4"/>
    </row>
    <row r="487">
      <c r="H487" s="4"/>
    </row>
    <row r="488">
      <c r="H488" s="4"/>
    </row>
    <row r="489">
      <c r="H489" s="4"/>
    </row>
    <row r="490">
      <c r="H490" s="4"/>
    </row>
    <row r="491">
      <c r="H491" s="4"/>
    </row>
    <row r="492">
      <c r="H492" s="4"/>
    </row>
    <row r="493">
      <c r="H493" s="4"/>
    </row>
    <row r="494">
      <c r="H494" s="4"/>
    </row>
    <row r="495">
      <c r="H495" s="4"/>
    </row>
    <row r="496">
      <c r="H496" s="4"/>
    </row>
    <row r="497">
      <c r="H497" s="4"/>
    </row>
    <row r="498">
      <c r="H498" s="4"/>
    </row>
    <row r="499">
      <c r="H499" s="4"/>
    </row>
    <row r="500">
      <c r="H500" s="4"/>
    </row>
    <row r="501">
      <c r="H501" s="4"/>
    </row>
    <row r="502">
      <c r="H502" s="4"/>
    </row>
    <row r="503">
      <c r="H503" s="4"/>
    </row>
    <row r="504">
      <c r="H504" s="4"/>
    </row>
    <row r="505">
      <c r="H505" s="4"/>
    </row>
    <row r="506">
      <c r="H506" s="4"/>
    </row>
    <row r="507">
      <c r="H507" s="4"/>
    </row>
    <row r="508">
      <c r="H508" s="4"/>
    </row>
    <row r="509">
      <c r="H509" s="4"/>
    </row>
    <row r="510">
      <c r="H510" s="4"/>
    </row>
    <row r="511">
      <c r="H511" s="4"/>
    </row>
    <row r="512">
      <c r="H512" s="4"/>
    </row>
    <row r="513">
      <c r="H513" s="4"/>
    </row>
    <row r="514">
      <c r="H514" s="4"/>
    </row>
    <row r="515">
      <c r="H515" s="4"/>
    </row>
    <row r="516">
      <c r="H516" s="4"/>
    </row>
    <row r="517">
      <c r="H517" s="4"/>
    </row>
    <row r="518">
      <c r="H518" s="4"/>
    </row>
    <row r="519">
      <c r="H519" s="4"/>
    </row>
    <row r="520">
      <c r="H520" s="4"/>
    </row>
    <row r="521">
      <c r="H521" s="4"/>
    </row>
    <row r="522">
      <c r="H522" s="4"/>
    </row>
    <row r="523">
      <c r="H523" s="4"/>
    </row>
    <row r="524">
      <c r="H524" s="4"/>
    </row>
    <row r="525">
      <c r="H525" s="4"/>
    </row>
    <row r="526">
      <c r="H526" s="4"/>
    </row>
    <row r="527">
      <c r="H527" s="4"/>
    </row>
    <row r="528">
      <c r="H528" s="4"/>
    </row>
    <row r="529">
      <c r="H529" s="4"/>
    </row>
    <row r="530">
      <c r="H530" s="4"/>
    </row>
    <row r="531">
      <c r="H531" s="4"/>
    </row>
    <row r="532">
      <c r="H532" s="4"/>
    </row>
    <row r="533">
      <c r="H533" s="4"/>
    </row>
    <row r="534">
      <c r="H534" s="4"/>
    </row>
    <row r="535">
      <c r="H535" s="4"/>
    </row>
    <row r="536">
      <c r="H536" s="4"/>
    </row>
    <row r="537">
      <c r="H537" s="4"/>
    </row>
    <row r="538">
      <c r="H538" s="4"/>
    </row>
    <row r="539">
      <c r="H539" s="4"/>
    </row>
    <row r="540">
      <c r="H540" s="4"/>
    </row>
    <row r="541">
      <c r="H541" s="4"/>
    </row>
    <row r="542">
      <c r="H542" s="4"/>
    </row>
    <row r="543">
      <c r="H543" s="4"/>
    </row>
    <row r="544">
      <c r="H544" s="4"/>
    </row>
    <row r="545">
      <c r="H545" s="4"/>
    </row>
    <row r="546">
      <c r="H546" s="4"/>
    </row>
    <row r="547">
      <c r="H547" s="4"/>
    </row>
    <row r="548">
      <c r="H548" s="4"/>
    </row>
    <row r="549">
      <c r="H549" s="4"/>
    </row>
    <row r="550">
      <c r="H550" s="4"/>
    </row>
    <row r="551">
      <c r="H551" s="4"/>
    </row>
    <row r="552">
      <c r="H552" s="4"/>
    </row>
    <row r="553">
      <c r="H553" s="4"/>
    </row>
    <row r="554">
      <c r="H554" s="4"/>
    </row>
    <row r="555">
      <c r="H555" s="4"/>
    </row>
    <row r="556">
      <c r="H556" s="4"/>
    </row>
    <row r="557">
      <c r="H557" s="4"/>
    </row>
    <row r="558">
      <c r="H558" s="4"/>
    </row>
    <row r="559">
      <c r="H559" s="4"/>
    </row>
    <row r="560">
      <c r="H560" s="4"/>
    </row>
    <row r="561">
      <c r="H561" s="4"/>
    </row>
    <row r="562">
      <c r="H562" s="4"/>
    </row>
    <row r="563">
      <c r="H563" s="4"/>
    </row>
    <row r="564">
      <c r="H564" s="4"/>
    </row>
    <row r="565">
      <c r="H565" s="4"/>
    </row>
    <row r="566">
      <c r="H566" s="4"/>
    </row>
    <row r="567">
      <c r="H567" s="4"/>
    </row>
    <row r="568">
      <c r="H568" s="4"/>
    </row>
    <row r="569">
      <c r="H569" s="4"/>
    </row>
    <row r="570">
      <c r="H570" s="4"/>
    </row>
    <row r="571">
      <c r="H571" s="4"/>
    </row>
    <row r="572">
      <c r="H572" s="4"/>
    </row>
    <row r="573">
      <c r="H573" s="4"/>
    </row>
    <row r="574">
      <c r="H574" s="4"/>
    </row>
    <row r="575">
      <c r="H575" s="4"/>
    </row>
    <row r="576">
      <c r="H576" s="4"/>
    </row>
    <row r="577">
      <c r="H577" s="4"/>
    </row>
    <row r="578">
      <c r="H578" s="4"/>
    </row>
    <row r="579">
      <c r="H579" s="4"/>
    </row>
    <row r="580">
      <c r="H580" s="4"/>
    </row>
    <row r="581">
      <c r="H581" s="4"/>
    </row>
    <row r="582">
      <c r="H582" s="4"/>
    </row>
    <row r="583">
      <c r="H583" s="4"/>
    </row>
    <row r="584">
      <c r="H584" s="4"/>
    </row>
    <row r="585">
      <c r="H585" s="4"/>
    </row>
    <row r="586">
      <c r="H586" s="4"/>
    </row>
    <row r="587">
      <c r="H587" s="4"/>
    </row>
    <row r="588">
      <c r="H588" s="4"/>
    </row>
    <row r="589">
      <c r="H589" s="4"/>
    </row>
    <row r="590">
      <c r="H590" s="4"/>
    </row>
    <row r="591">
      <c r="H591" s="4"/>
    </row>
    <row r="592">
      <c r="H592" s="4"/>
    </row>
    <row r="593">
      <c r="H593" s="4"/>
    </row>
    <row r="594">
      <c r="H594" s="4"/>
    </row>
    <row r="595">
      <c r="H595" s="4"/>
    </row>
    <row r="596">
      <c r="H596" s="4"/>
    </row>
    <row r="597">
      <c r="H597" s="4"/>
    </row>
    <row r="598">
      <c r="H598" s="4"/>
    </row>
    <row r="599">
      <c r="H599" s="4"/>
    </row>
    <row r="600">
      <c r="H600" s="4"/>
    </row>
    <row r="601">
      <c r="H601" s="4"/>
    </row>
    <row r="602">
      <c r="H602" s="4"/>
    </row>
    <row r="603">
      <c r="H603" s="4"/>
    </row>
    <row r="604">
      <c r="H604" s="4"/>
    </row>
    <row r="605">
      <c r="H605" s="4"/>
    </row>
    <row r="606">
      <c r="H606" s="4"/>
    </row>
    <row r="607">
      <c r="H607" s="4"/>
    </row>
    <row r="608">
      <c r="H608" s="4"/>
    </row>
    <row r="609">
      <c r="H609" s="4"/>
    </row>
    <row r="610">
      <c r="H610" s="4"/>
    </row>
    <row r="611">
      <c r="H611" s="4"/>
    </row>
    <row r="612">
      <c r="H612" s="4"/>
    </row>
    <row r="613">
      <c r="H613" s="4"/>
    </row>
    <row r="614">
      <c r="H614" s="4"/>
    </row>
    <row r="615">
      <c r="H615" s="4"/>
    </row>
    <row r="616">
      <c r="H616" s="4"/>
    </row>
    <row r="617">
      <c r="H617" s="4"/>
    </row>
    <row r="618">
      <c r="H618" s="4"/>
    </row>
    <row r="619">
      <c r="H619" s="4"/>
    </row>
    <row r="620">
      <c r="H620" s="4"/>
    </row>
    <row r="621">
      <c r="H621" s="4"/>
    </row>
    <row r="622">
      <c r="H622" s="4"/>
    </row>
    <row r="623">
      <c r="H623" s="4"/>
    </row>
    <row r="624">
      <c r="H624" s="4"/>
    </row>
    <row r="625">
      <c r="H625" s="4"/>
    </row>
    <row r="626">
      <c r="H626" s="4"/>
    </row>
    <row r="627">
      <c r="H627" s="4"/>
    </row>
    <row r="628">
      <c r="H628" s="4"/>
    </row>
    <row r="629">
      <c r="H629" s="4"/>
    </row>
    <row r="630">
      <c r="H630" s="4"/>
    </row>
    <row r="631">
      <c r="H631" s="4"/>
    </row>
    <row r="632">
      <c r="H632" s="4"/>
    </row>
    <row r="633">
      <c r="H633" s="4"/>
    </row>
    <row r="634">
      <c r="H634" s="4"/>
    </row>
    <row r="635">
      <c r="H635" s="4"/>
    </row>
    <row r="636">
      <c r="H636" s="4"/>
    </row>
    <row r="637">
      <c r="H637" s="4"/>
    </row>
    <row r="638">
      <c r="H638" s="4"/>
    </row>
    <row r="639">
      <c r="H639" s="4"/>
    </row>
    <row r="640">
      <c r="H640" s="4"/>
    </row>
    <row r="641">
      <c r="H641" s="4"/>
    </row>
    <row r="642">
      <c r="H642" s="4"/>
    </row>
    <row r="643">
      <c r="H643" s="4"/>
    </row>
    <row r="644">
      <c r="H644" s="4"/>
    </row>
    <row r="645">
      <c r="H645" s="4"/>
    </row>
    <row r="646">
      <c r="H646" s="4"/>
    </row>
    <row r="647">
      <c r="H647" s="4"/>
    </row>
    <row r="648">
      <c r="H648" s="4"/>
    </row>
    <row r="649">
      <c r="H649" s="4"/>
    </row>
    <row r="650">
      <c r="H650" s="4"/>
    </row>
    <row r="651">
      <c r="H651" s="4"/>
    </row>
    <row r="652">
      <c r="H652" s="4"/>
    </row>
    <row r="653">
      <c r="H653" s="4"/>
    </row>
    <row r="654">
      <c r="H654" s="4"/>
    </row>
    <row r="655">
      <c r="H655" s="4"/>
    </row>
    <row r="656">
      <c r="H656" s="4"/>
    </row>
    <row r="657">
      <c r="H657" s="4"/>
    </row>
    <row r="658">
      <c r="H658" s="4"/>
    </row>
    <row r="659">
      <c r="H659" s="4"/>
    </row>
    <row r="660">
      <c r="H660" s="4"/>
    </row>
    <row r="661">
      <c r="H661" s="4"/>
    </row>
    <row r="662">
      <c r="H662" s="4"/>
    </row>
    <row r="663">
      <c r="H663" s="4"/>
    </row>
    <row r="664">
      <c r="H664" s="4"/>
    </row>
    <row r="665">
      <c r="H665" s="4"/>
    </row>
    <row r="666">
      <c r="H666" s="4"/>
    </row>
    <row r="667">
      <c r="H667" s="4"/>
    </row>
    <row r="668">
      <c r="H668" s="4"/>
    </row>
    <row r="669">
      <c r="H669" s="4"/>
    </row>
    <row r="670">
      <c r="H670" s="4"/>
    </row>
    <row r="671">
      <c r="H671" s="4"/>
    </row>
    <row r="672">
      <c r="H672" s="4"/>
    </row>
    <row r="673">
      <c r="H673" s="4"/>
    </row>
    <row r="674">
      <c r="H674" s="4"/>
    </row>
    <row r="675">
      <c r="H675" s="4"/>
    </row>
    <row r="676">
      <c r="H676" s="4"/>
    </row>
    <row r="677">
      <c r="H677" s="4"/>
    </row>
    <row r="678">
      <c r="H678" s="4"/>
    </row>
    <row r="679">
      <c r="H679" s="4"/>
    </row>
    <row r="680">
      <c r="H680" s="4"/>
    </row>
    <row r="681">
      <c r="H681" s="4"/>
    </row>
    <row r="682">
      <c r="H682" s="4"/>
    </row>
    <row r="683">
      <c r="H683" s="4"/>
    </row>
    <row r="684">
      <c r="H684" s="4"/>
    </row>
    <row r="685">
      <c r="H685" s="4"/>
    </row>
    <row r="686">
      <c r="H686" s="4"/>
    </row>
    <row r="687">
      <c r="H687" s="4"/>
    </row>
    <row r="688">
      <c r="H688" s="4"/>
    </row>
    <row r="689">
      <c r="H689" s="4"/>
    </row>
    <row r="690">
      <c r="H690" s="4"/>
    </row>
    <row r="691">
      <c r="H691" s="4"/>
    </row>
    <row r="692">
      <c r="H692" s="4"/>
    </row>
    <row r="693">
      <c r="H693" s="4"/>
    </row>
    <row r="694">
      <c r="H694" s="4"/>
    </row>
    <row r="695">
      <c r="H695" s="4"/>
    </row>
    <row r="696">
      <c r="H696" s="4"/>
    </row>
    <row r="697">
      <c r="H697" s="4"/>
    </row>
    <row r="698">
      <c r="H698" s="4"/>
    </row>
    <row r="699">
      <c r="H699" s="4"/>
    </row>
    <row r="700">
      <c r="H700" s="4"/>
    </row>
    <row r="701">
      <c r="H701" s="4"/>
    </row>
    <row r="702">
      <c r="H702" s="4"/>
    </row>
    <row r="703">
      <c r="H703" s="4"/>
    </row>
    <row r="704">
      <c r="H704" s="4"/>
    </row>
    <row r="705">
      <c r="H705" s="4"/>
    </row>
    <row r="706">
      <c r="H706" s="4"/>
    </row>
    <row r="707">
      <c r="H707" s="4"/>
    </row>
    <row r="708">
      <c r="H708" s="4"/>
    </row>
    <row r="709">
      <c r="H709" s="4"/>
    </row>
    <row r="710">
      <c r="H710" s="4"/>
    </row>
    <row r="711">
      <c r="H711" s="4"/>
    </row>
    <row r="712">
      <c r="H712" s="4"/>
    </row>
    <row r="713">
      <c r="H713" s="4"/>
    </row>
    <row r="714">
      <c r="H714" s="4"/>
    </row>
    <row r="715">
      <c r="H715" s="4"/>
    </row>
    <row r="716">
      <c r="H716" s="4"/>
    </row>
    <row r="717">
      <c r="H717" s="4"/>
    </row>
    <row r="718">
      <c r="H718" s="4"/>
    </row>
    <row r="719">
      <c r="H719" s="4"/>
    </row>
    <row r="720">
      <c r="H720" s="4"/>
    </row>
    <row r="721">
      <c r="H721" s="4"/>
    </row>
    <row r="722">
      <c r="H722" s="4"/>
    </row>
    <row r="723">
      <c r="H723" s="4"/>
    </row>
    <row r="724">
      <c r="H724" s="4"/>
    </row>
    <row r="725">
      <c r="H725" s="4"/>
    </row>
    <row r="726">
      <c r="H726" s="4"/>
    </row>
    <row r="727">
      <c r="H727" s="4"/>
    </row>
    <row r="728">
      <c r="H728" s="4"/>
    </row>
    <row r="729">
      <c r="H729" s="4"/>
    </row>
    <row r="730">
      <c r="H730" s="4"/>
    </row>
    <row r="731">
      <c r="H731" s="4"/>
    </row>
    <row r="732">
      <c r="H732" s="4"/>
    </row>
    <row r="733">
      <c r="H733" s="4"/>
    </row>
    <row r="734">
      <c r="H734" s="4"/>
    </row>
    <row r="735">
      <c r="H735" s="4"/>
    </row>
    <row r="736">
      <c r="H736" s="4"/>
    </row>
    <row r="737">
      <c r="H737" s="4"/>
    </row>
    <row r="738">
      <c r="H738" s="4"/>
    </row>
    <row r="739">
      <c r="H739" s="4"/>
    </row>
    <row r="740">
      <c r="H740" s="4"/>
    </row>
    <row r="741">
      <c r="H741" s="4"/>
    </row>
    <row r="742">
      <c r="H742" s="4"/>
    </row>
    <row r="743">
      <c r="H743" s="4"/>
    </row>
    <row r="744">
      <c r="H744" s="4"/>
    </row>
    <row r="745">
      <c r="H745" s="4"/>
    </row>
    <row r="746">
      <c r="H746" s="4"/>
    </row>
    <row r="747">
      <c r="H747" s="4"/>
    </row>
    <row r="748">
      <c r="H748" s="4"/>
    </row>
    <row r="749">
      <c r="H749" s="4"/>
    </row>
    <row r="750">
      <c r="H750" s="4"/>
    </row>
    <row r="751">
      <c r="H751" s="4"/>
    </row>
    <row r="752">
      <c r="H752" s="4"/>
    </row>
    <row r="753">
      <c r="H753" s="4"/>
    </row>
    <row r="754">
      <c r="H754" s="4"/>
    </row>
    <row r="755">
      <c r="H755" s="4"/>
    </row>
    <row r="756">
      <c r="H756" s="4"/>
    </row>
    <row r="757">
      <c r="H757" s="4"/>
    </row>
    <row r="758">
      <c r="H758" s="4"/>
    </row>
    <row r="759">
      <c r="H759" s="4"/>
    </row>
    <row r="760">
      <c r="H760" s="4"/>
    </row>
    <row r="761">
      <c r="H761" s="4"/>
    </row>
    <row r="762">
      <c r="H762" s="4"/>
    </row>
    <row r="763">
      <c r="H763" s="4"/>
    </row>
    <row r="764">
      <c r="H764" s="4"/>
    </row>
    <row r="765">
      <c r="H765" s="4"/>
    </row>
    <row r="766">
      <c r="H766" s="4"/>
    </row>
    <row r="767">
      <c r="H767" s="4"/>
    </row>
    <row r="768">
      <c r="H768" s="4"/>
    </row>
    <row r="769">
      <c r="H769" s="4"/>
    </row>
    <row r="770">
      <c r="H770" s="4"/>
    </row>
    <row r="771">
      <c r="H771" s="4"/>
    </row>
    <row r="772">
      <c r="H772" s="4"/>
    </row>
    <row r="773">
      <c r="H773" s="4"/>
    </row>
    <row r="774">
      <c r="H774" s="4"/>
    </row>
    <row r="775">
      <c r="H775" s="4"/>
    </row>
    <row r="776">
      <c r="H776" s="4"/>
    </row>
    <row r="777">
      <c r="H777" s="4"/>
    </row>
    <row r="778">
      <c r="H778" s="4"/>
    </row>
    <row r="779">
      <c r="H779" s="4"/>
    </row>
    <row r="780">
      <c r="H780" s="4"/>
    </row>
    <row r="781">
      <c r="H781" s="4"/>
    </row>
    <row r="782">
      <c r="H782" s="4"/>
    </row>
    <row r="783">
      <c r="H783" s="4"/>
    </row>
    <row r="784">
      <c r="H784" s="4"/>
    </row>
    <row r="785">
      <c r="H785" s="4"/>
    </row>
    <row r="786">
      <c r="H786" s="4"/>
    </row>
    <row r="787">
      <c r="H787" s="4"/>
    </row>
    <row r="788">
      <c r="H788" s="4"/>
    </row>
    <row r="789">
      <c r="H789" s="4"/>
    </row>
    <row r="790">
      <c r="H790" s="4"/>
    </row>
    <row r="791">
      <c r="H791" s="4"/>
    </row>
    <row r="792">
      <c r="H792" s="4"/>
    </row>
    <row r="793">
      <c r="H793" s="4"/>
    </row>
    <row r="794">
      <c r="H794" s="4"/>
    </row>
    <row r="795">
      <c r="H795" s="4"/>
    </row>
    <row r="796">
      <c r="H796" s="4"/>
    </row>
    <row r="797">
      <c r="H797" s="4"/>
    </row>
    <row r="798">
      <c r="H798" s="4"/>
    </row>
    <row r="799">
      <c r="H799" s="4"/>
    </row>
    <row r="800">
      <c r="H800" s="4"/>
    </row>
    <row r="801">
      <c r="H801" s="4"/>
    </row>
    <row r="802">
      <c r="H802" s="4"/>
    </row>
    <row r="803">
      <c r="H803" s="4"/>
    </row>
    <row r="804">
      <c r="H804" s="4"/>
    </row>
    <row r="805">
      <c r="H805" s="4"/>
    </row>
    <row r="806">
      <c r="H806" s="4"/>
    </row>
    <row r="807">
      <c r="H807" s="4"/>
    </row>
    <row r="808">
      <c r="H808" s="4"/>
    </row>
    <row r="809">
      <c r="H809" s="4"/>
    </row>
    <row r="810">
      <c r="H810" s="4"/>
    </row>
    <row r="811">
      <c r="H811" s="4"/>
    </row>
    <row r="812">
      <c r="H812" s="4"/>
    </row>
    <row r="813">
      <c r="H813" s="4"/>
    </row>
    <row r="814">
      <c r="H814" s="4"/>
    </row>
    <row r="815">
      <c r="H815" s="4"/>
    </row>
    <row r="816">
      <c r="H816" s="4"/>
    </row>
    <row r="817">
      <c r="H817" s="4"/>
    </row>
    <row r="818">
      <c r="H818" s="4"/>
    </row>
    <row r="819">
      <c r="H819" s="4"/>
    </row>
    <row r="820">
      <c r="H820" s="4"/>
    </row>
    <row r="821">
      <c r="H821" s="4"/>
    </row>
    <row r="822">
      <c r="H822" s="4"/>
    </row>
    <row r="823">
      <c r="H823" s="4"/>
    </row>
    <row r="824">
      <c r="H824" s="4"/>
    </row>
    <row r="825">
      <c r="H825" s="4"/>
    </row>
    <row r="826">
      <c r="H826" s="4"/>
    </row>
    <row r="827">
      <c r="H827" s="4"/>
    </row>
    <row r="828">
      <c r="H828" s="4"/>
    </row>
    <row r="829">
      <c r="H829" s="4"/>
    </row>
    <row r="830">
      <c r="H830" s="4"/>
    </row>
    <row r="831">
      <c r="H831" s="4"/>
    </row>
    <row r="832">
      <c r="H832" s="4"/>
    </row>
    <row r="833">
      <c r="H833" s="4"/>
    </row>
    <row r="834">
      <c r="H834" s="4"/>
    </row>
    <row r="835">
      <c r="H835" s="4"/>
    </row>
    <row r="836">
      <c r="H836" s="4"/>
    </row>
    <row r="837">
      <c r="H837" s="4"/>
    </row>
    <row r="838">
      <c r="H838" s="4"/>
    </row>
    <row r="839">
      <c r="H839" s="4"/>
    </row>
    <row r="840">
      <c r="H840" s="4"/>
    </row>
    <row r="841">
      <c r="H841" s="4"/>
    </row>
    <row r="842">
      <c r="H842" s="4"/>
    </row>
    <row r="843">
      <c r="H843" s="4"/>
    </row>
    <row r="844">
      <c r="H844" s="4"/>
    </row>
    <row r="845">
      <c r="H845" s="4"/>
    </row>
    <row r="846">
      <c r="H846" s="4"/>
    </row>
    <row r="847">
      <c r="H847" s="4"/>
    </row>
    <row r="848">
      <c r="H848" s="4"/>
    </row>
    <row r="849">
      <c r="H849" s="4"/>
    </row>
    <row r="850">
      <c r="H850" s="4"/>
    </row>
    <row r="851">
      <c r="H851" s="4"/>
    </row>
    <row r="852">
      <c r="H852" s="4"/>
    </row>
    <row r="853">
      <c r="H853" s="4"/>
    </row>
    <row r="854">
      <c r="H854" s="4"/>
    </row>
    <row r="855">
      <c r="H855" s="4"/>
    </row>
    <row r="856">
      <c r="H856" s="4"/>
    </row>
    <row r="857">
      <c r="H857" s="4"/>
    </row>
    <row r="858">
      <c r="H858" s="4"/>
    </row>
    <row r="859">
      <c r="H859" s="4"/>
    </row>
    <row r="860">
      <c r="H860" s="4"/>
    </row>
    <row r="861">
      <c r="H861" s="4"/>
    </row>
    <row r="862">
      <c r="H862" s="4"/>
    </row>
    <row r="863">
      <c r="H863" s="4"/>
    </row>
    <row r="864">
      <c r="H864" s="4"/>
    </row>
    <row r="865">
      <c r="H865" s="4"/>
    </row>
    <row r="866">
      <c r="H866" s="4"/>
    </row>
    <row r="867">
      <c r="H867" s="4"/>
    </row>
    <row r="868">
      <c r="H868" s="4"/>
    </row>
    <row r="869">
      <c r="H869" s="4"/>
    </row>
    <row r="870">
      <c r="H870" s="4"/>
    </row>
    <row r="871">
      <c r="H871" s="4"/>
    </row>
    <row r="872">
      <c r="H872" s="4"/>
    </row>
    <row r="873">
      <c r="H873" s="4"/>
    </row>
    <row r="874">
      <c r="H874" s="4"/>
    </row>
    <row r="875">
      <c r="H875" s="4"/>
    </row>
    <row r="876">
      <c r="H876" s="4"/>
    </row>
    <row r="877">
      <c r="H877" s="4"/>
    </row>
    <row r="878">
      <c r="H878" s="4"/>
    </row>
    <row r="879">
      <c r="H879" s="4"/>
    </row>
    <row r="880">
      <c r="H880" s="4"/>
    </row>
    <row r="881">
      <c r="H881" s="4"/>
    </row>
    <row r="882">
      <c r="H882" s="4"/>
    </row>
    <row r="883">
      <c r="H883" s="4"/>
    </row>
    <row r="884">
      <c r="H884" s="4"/>
    </row>
    <row r="885">
      <c r="H885" s="4"/>
    </row>
    <row r="886">
      <c r="H886" s="4"/>
    </row>
    <row r="887">
      <c r="H887" s="4"/>
    </row>
    <row r="888">
      <c r="H888" s="4"/>
    </row>
    <row r="889">
      <c r="H889" s="4"/>
    </row>
    <row r="890">
      <c r="H890" s="4"/>
    </row>
    <row r="891">
      <c r="H891" s="4"/>
    </row>
    <row r="892">
      <c r="H892" s="4"/>
    </row>
    <row r="893">
      <c r="H893" s="4"/>
    </row>
    <row r="894">
      <c r="H894" s="4"/>
    </row>
    <row r="895">
      <c r="H895" s="4"/>
    </row>
    <row r="896">
      <c r="H896" s="4"/>
    </row>
    <row r="897">
      <c r="H897" s="4"/>
    </row>
    <row r="898">
      <c r="H898" s="4"/>
    </row>
    <row r="899">
      <c r="H899" s="4"/>
    </row>
    <row r="900">
      <c r="H900" s="4"/>
    </row>
    <row r="901">
      <c r="H901" s="4"/>
    </row>
    <row r="902">
      <c r="H902" s="4"/>
    </row>
    <row r="903">
      <c r="H903" s="4"/>
    </row>
    <row r="904">
      <c r="H904" s="4"/>
    </row>
    <row r="905">
      <c r="H905" s="4"/>
    </row>
    <row r="906">
      <c r="H906" s="4"/>
    </row>
    <row r="907">
      <c r="H907" s="4"/>
    </row>
    <row r="908">
      <c r="H908" s="4"/>
    </row>
    <row r="909">
      <c r="H909" s="4"/>
    </row>
    <row r="910">
      <c r="H910" s="4"/>
    </row>
    <row r="911">
      <c r="H911" s="4"/>
    </row>
    <row r="912">
      <c r="H912" s="4"/>
    </row>
    <row r="913">
      <c r="H913" s="4"/>
    </row>
    <row r="914">
      <c r="H914" s="4"/>
    </row>
    <row r="915">
      <c r="H915" s="4"/>
    </row>
    <row r="916">
      <c r="H916" s="4"/>
    </row>
    <row r="917">
      <c r="H917" s="4"/>
    </row>
    <row r="918">
      <c r="H918" s="4"/>
    </row>
    <row r="919">
      <c r="H919" s="4"/>
    </row>
    <row r="920">
      <c r="H920" s="4"/>
    </row>
    <row r="921">
      <c r="H921" s="4"/>
    </row>
    <row r="922">
      <c r="H922" s="4"/>
    </row>
    <row r="923">
      <c r="H923" s="4"/>
    </row>
    <row r="924">
      <c r="H924" s="4"/>
    </row>
    <row r="925">
      <c r="H925" s="4"/>
    </row>
    <row r="926">
      <c r="H926" s="4"/>
    </row>
    <row r="927">
      <c r="H927" s="4"/>
    </row>
    <row r="928">
      <c r="H928" s="4"/>
    </row>
    <row r="929">
      <c r="H929" s="4"/>
    </row>
    <row r="930">
      <c r="H930" s="4"/>
    </row>
    <row r="931">
      <c r="H931" s="4"/>
    </row>
    <row r="932">
      <c r="H932" s="4"/>
    </row>
    <row r="933">
      <c r="H933" s="4"/>
    </row>
    <row r="934">
      <c r="H934" s="4"/>
    </row>
    <row r="935">
      <c r="H935" s="4"/>
    </row>
    <row r="936">
      <c r="H936" s="4"/>
    </row>
    <row r="937">
      <c r="H937" s="4"/>
    </row>
    <row r="938">
      <c r="H938" s="4"/>
    </row>
    <row r="939">
      <c r="H939" s="4"/>
    </row>
    <row r="940">
      <c r="H940" s="4"/>
    </row>
    <row r="941">
      <c r="H941" s="4"/>
    </row>
    <row r="942">
      <c r="H942" s="4"/>
    </row>
    <row r="943">
      <c r="H943" s="4"/>
    </row>
    <row r="944">
      <c r="H944" s="4"/>
    </row>
    <row r="945">
      <c r="H945" s="4"/>
    </row>
    <row r="946">
      <c r="H946" s="4"/>
    </row>
    <row r="947">
      <c r="H947" s="4"/>
    </row>
    <row r="948">
      <c r="H948" s="4"/>
    </row>
    <row r="949">
      <c r="H949" s="4"/>
    </row>
    <row r="950">
      <c r="H950" s="4"/>
    </row>
    <row r="951">
      <c r="H951" s="4"/>
    </row>
    <row r="952">
      <c r="H952" s="4"/>
    </row>
    <row r="953">
      <c r="H953" s="4"/>
    </row>
    <row r="954">
      <c r="H954" s="4"/>
    </row>
    <row r="955">
      <c r="H955" s="4"/>
    </row>
    <row r="956">
      <c r="H956" s="4"/>
    </row>
    <row r="957">
      <c r="H957" s="4"/>
    </row>
    <row r="958">
      <c r="H958" s="4"/>
    </row>
    <row r="959">
      <c r="H959" s="4"/>
    </row>
    <row r="960">
      <c r="H960" s="4"/>
    </row>
    <row r="961">
      <c r="H961" s="4"/>
    </row>
    <row r="962">
      <c r="H962" s="4"/>
    </row>
    <row r="963">
      <c r="H963" s="4"/>
    </row>
    <row r="964">
      <c r="H964" s="4"/>
    </row>
    <row r="965">
      <c r="H965" s="4"/>
    </row>
    <row r="966">
      <c r="H966" s="4"/>
    </row>
    <row r="967">
      <c r="H967" s="4"/>
    </row>
    <row r="968">
      <c r="H968" s="4"/>
    </row>
    <row r="969">
      <c r="H969" s="4"/>
    </row>
    <row r="970">
      <c r="H970" s="4"/>
    </row>
    <row r="971">
      <c r="H971" s="4"/>
    </row>
    <row r="972">
      <c r="H972" s="4"/>
    </row>
    <row r="973">
      <c r="H973" s="4"/>
    </row>
    <row r="974">
      <c r="H974" s="4"/>
    </row>
    <row r="975">
      <c r="H975" s="4"/>
    </row>
    <row r="976">
      <c r="H976" s="4"/>
    </row>
    <row r="977">
      <c r="H977" s="4"/>
    </row>
    <row r="978">
      <c r="H978" s="4"/>
    </row>
    <row r="979">
      <c r="H979" s="4"/>
    </row>
    <row r="980">
      <c r="H980" s="4"/>
    </row>
    <row r="981">
      <c r="H981" s="4"/>
    </row>
    <row r="982">
      <c r="H982" s="4"/>
    </row>
    <row r="983">
      <c r="H983" s="4"/>
    </row>
    <row r="984">
      <c r="H984" s="4"/>
    </row>
    <row r="985">
      <c r="H985" s="4"/>
    </row>
    <row r="986">
      <c r="H986" s="4"/>
    </row>
    <row r="987">
      <c r="H987" s="4"/>
    </row>
    <row r="988">
      <c r="H988" s="4"/>
    </row>
    <row r="989">
      <c r="H989" s="4"/>
    </row>
    <row r="990">
      <c r="H990" s="4"/>
    </row>
    <row r="991">
      <c r="H991" s="4"/>
    </row>
    <row r="992">
      <c r="H992" s="4"/>
    </row>
    <row r="993">
      <c r="H993" s="4"/>
    </row>
    <row r="994">
      <c r="H994" s="4"/>
    </row>
    <row r="995">
      <c r="H995" s="4"/>
    </row>
    <row r="996">
      <c r="H996" s="4"/>
    </row>
    <row r="997">
      <c r="H997" s="4"/>
    </row>
    <row r="998">
      <c r="H998" s="4"/>
    </row>
    <row r="999">
      <c r="H999" s="4"/>
    </row>
    <row r="1000">
      <c r="H1000" s="4"/>
    </row>
    <row r="1001">
      <c r="H1001" s="4"/>
    </row>
    <row r="1002">
      <c r="H1002" s="4"/>
    </row>
    <row r="1003">
      <c r="H1003" s="4"/>
    </row>
    <row r="1004">
      <c r="H1004" s="4"/>
    </row>
  </sheetData>
  <mergeCells count="8">
    <mergeCell ref="A63:C63"/>
    <mergeCell ref="A64:C64"/>
    <mergeCell ref="A65:C65"/>
    <mergeCell ref="A66:C66"/>
    <mergeCell ref="A67:C67"/>
    <mergeCell ref="A68:C68"/>
    <mergeCell ref="A69:C69"/>
    <mergeCell ref="A77:B8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34.25"/>
    <col customWidth="1" min="3" max="3" width="101.63"/>
    <col customWidth="1" min="4" max="4" width="125.38"/>
  </cols>
  <sheetData>
    <row r="1">
      <c r="A1" s="181" t="s">
        <v>210</v>
      </c>
      <c r="B1" s="182" t="s">
        <v>211</v>
      </c>
      <c r="C1" s="183" t="s">
        <v>212</v>
      </c>
      <c r="D1" s="184" t="s">
        <v>213</v>
      </c>
    </row>
    <row r="2">
      <c r="A2" s="181" t="s">
        <v>214</v>
      </c>
      <c r="B2" s="182">
        <v>100.0</v>
      </c>
      <c r="C2" s="183" t="s">
        <v>215</v>
      </c>
      <c r="D2" s="185"/>
    </row>
    <row r="3">
      <c r="A3" s="181" t="s">
        <v>216</v>
      </c>
      <c r="B3" s="182" t="s">
        <v>217</v>
      </c>
      <c r="C3" s="183" t="s">
        <v>218</v>
      </c>
      <c r="D3" s="184" t="s">
        <v>219</v>
      </c>
    </row>
    <row r="4">
      <c r="A4" s="181" t="s">
        <v>220</v>
      </c>
      <c r="B4" s="182">
        <v>500.0</v>
      </c>
      <c r="C4" s="183" t="s">
        <v>221</v>
      </c>
      <c r="D4" s="184" t="s">
        <v>222</v>
      </c>
    </row>
    <row r="5">
      <c r="A5" s="181" t="s">
        <v>223</v>
      </c>
      <c r="B5" s="182">
        <v>150.0</v>
      </c>
      <c r="C5" s="183" t="s">
        <v>224</v>
      </c>
      <c r="D5" s="185"/>
    </row>
    <row r="6">
      <c r="A6" s="181" t="s">
        <v>225</v>
      </c>
      <c r="B6" s="182">
        <v>300.0</v>
      </c>
      <c r="C6" s="183" t="s">
        <v>226</v>
      </c>
      <c r="D6" s="185"/>
    </row>
    <row r="7">
      <c r="A7" s="181" t="s">
        <v>227</v>
      </c>
      <c r="B7" s="182" t="s">
        <v>228</v>
      </c>
      <c r="C7" s="183" t="s">
        <v>229</v>
      </c>
      <c r="D7" s="185"/>
    </row>
    <row r="8">
      <c r="A8" s="181" t="s">
        <v>230</v>
      </c>
      <c r="B8" s="182" t="s">
        <v>231</v>
      </c>
      <c r="C8" s="183" t="s">
        <v>232</v>
      </c>
      <c r="D8" s="185"/>
    </row>
    <row r="9">
      <c r="A9" s="181" t="s">
        <v>233</v>
      </c>
      <c r="B9" s="182" t="s">
        <v>234</v>
      </c>
      <c r="C9" s="183" t="s">
        <v>235</v>
      </c>
      <c r="D9" s="185"/>
    </row>
    <row r="10">
      <c r="A10" s="181" t="s">
        <v>236</v>
      </c>
      <c r="B10" s="182" t="s">
        <v>237</v>
      </c>
      <c r="C10" s="183" t="s">
        <v>238</v>
      </c>
      <c r="D10" s="184" t="s">
        <v>239</v>
      </c>
    </row>
    <row r="11">
      <c r="A11" s="181" t="s">
        <v>240</v>
      </c>
      <c r="B11" s="182" t="s">
        <v>241</v>
      </c>
      <c r="C11" s="183" t="s">
        <v>242</v>
      </c>
      <c r="D11" s="184" t="s">
        <v>243</v>
      </c>
    </row>
    <row r="12" ht="48.0" customHeight="1">
      <c r="C12" s="186" t="s">
        <v>244</v>
      </c>
    </row>
    <row r="13">
      <c r="A13" s="181" t="s">
        <v>245</v>
      </c>
      <c r="B13" s="182" t="s">
        <v>211</v>
      </c>
      <c r="C13" s="183" t="s">
        <v>212</v>
      </c>
      <c r="D13" s="184" t="s">
        <v>246</v>
      </c>
    </row>
    <row r="14">
      <c r="A14" s="181" t="s">
        <v>247</v>
      </c>
      <c r="B14" s="182" t="s">
        <v>248</v>
      </c>
      <c r="C14" s="183" t="s">
        <v>249</v>
      </c>
      <c r="D14" s="184" t="s">
        <v>250</v>
      </c>
    </row>
    <row r="15">
      <c r="A15" s="181" t="s">
        <v>251</v>
      </c>
      <c r="B15" s="182" t="s">
        <v>252</v>
      </c>
      <c r="C15" s="183" t="s">
        <v>253</v>
      </c>
      <c r="D15" s="184" t="s">
        <v>254</v>
      </c>
    </row>
    <row r="16">
      <c r="A16" s="181" t="s">
        <v>255</v>
      </c>
      <c r="B16" s="182" t="s">
        <v>256</v>
      </c>
      <c r="C16" s="183" t="s">
        <v>257</v>
      </c>
      <c r="D16" s="184" t="s">
        <v>258</v>
      </c>
    </row>
    <row r="17">
      <c r="A17" s="181" t="s">
        <v>259</v>
      </c>
      <c r="B17" s="182" t="s">
        <v>260</v>
      </c>
      <c r="C17" s="183" t="s">
        <v>261</v>
      </c>
      <c r="D17" s="184" t="s">
        <v>262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 customWidth="1" min="2" max="2" width="31.25"/>
    <col customWidth="1" min="3" max="3" width="10.13"/>
    <col customWidth="1" min="4" max="4" width="42.13"/>
    <col customWidth="1" min="5" max="5" width="8.5"/>
    <col customWidth="1" min="6" max="6" width="19.88"/>
    <col customWidth="1" min="7" max="7" width="23.5"/>
    <col customWidth="1" min="8" max="8" width="154.63"/>
    <col customWidth="1" min="9" max="9" width="30.38"/>
  </cols>
  <sheetData>
    <row r="1">
      <c r="A1" s="187" t="s">
        <v>263</v>
      </c>
      <c r="B1" s="187" t="s">
        <v>264</v>
      </c>
      <c r="C1" s="188" t="s">
        <v>265</v>
      </c>
      <c r="D1" s="189" t="s">
        <v>266</v>
      </c>
      <c r="E1" s="189" t="s">
        <v>1</v>
      </c>
      <c r="F1" s="190" t="s">
        <v>267</v>
      </c>
      <c r="G1" s="190" t="s">
        <v>268</v>
      </c>
      <c r="H1" s="191" t="s">
        <v>269</v>
      </c>
      <c r="I1" s="192" t="s">
        <v>2</v>
      </c>
      <c r="J1" s="190" t="s">
        <v>270</v>
      </c>
      <c r="K1" s="193"/>
      <c r="L1" s="193"/>
      <c r="M1" s="194"/>
      <c r="N1" s="194"/>
      <c r="O1" s="194"/>
      <c r="P1" s="194"/>
      <c r="Q1" s="194"/>
      <c r="R1" s="194"/>
      <c r="S1" s="194"/>
      <c r="T1" s="194"/>
      <c r="U1" s="194"/>
      <c r="V1" s="194"/>
      <c r="W1" s="194"/>
      <c r="X1" s="194"/>
      <c r="Y1" s="194"/>
      <c r="Z1" s="194"/>
      <c r="AA1" s="194"/>
      <c r="AB1" s="194"/>
      <c r="AC1" s="194"/>
    </row>
    <row r="2">
      <c r="A2" s="195" t="s">
        <v>271</v>
      </c>
      <c r="B2" s="196" t="s">
        <v>272</v>
      </c>
      <c r="C2" s="197">
        <f>sum(E2:E6)</f>
        <v>15</v>
      </c>
      <c r="D2" s="198" t="s">
        <v>273</v>
      </c>
      <c r="E2" s="199">
        <v>2.0</v>
      </c>
      <c r="F2" s="200"/>
      <c r="G2" s="201"/>
      <c r="H2" s="202" t="s">
        <v>274</v>
      </c>
      <c r="I2" s="203" t="s">
        <v>176</v>
      </c>
      <c r="K2" s="204"/>
      <c r="L2" s="204"/>
    </row>
    <row r="3">
      <c r="A3" s="205"/>
      <c r="D3" s="206" t="s">
        <v>179</v>
      </c>
      <c r="E3" s="206">
        <v>3.0</v>
      </c>
      <c r="F3" s="130"/>
      <c r="G3" s="131"/>
      <c r="H3" s="207" t="s">
        <v>180</v>
      </c>
      <c r="I3" s="208" t="s">
        <v>176</v>
      </c>
      <c r="K3" s="204"/>
      <c r="L3" s="204"/>
    </row>
    <row r="4">
      <c r="A4" s="205"/>
      <c r="D4" s="209" t="s">
        <v>275</v>
      </c>
      <c r="E4" s="209">
        <v>4.0</v>
      </c>
      <c r="F4" s="210"/>
      <c r="G4" s="211"/>
      <c r="H4" s="212" t="s">
        <v>276</v>
      </c>
      <c r="I4" s="213" t="s">
        <v>7</v>
      </c>
      <c r="K4" s="204"/>
      <c r="L4" s="204"/>
    </row>
    <row r="5">
      <c r="A5" s="205"/>
      <c r="D5" s="214" t="s">
        <v>277</v>
      </c>
      <c r="E5" s="209">
        <v>2.0</v>
      </c>
      <c r="F5" s="215"/>
      <c r="G5" s="216"/>
      <c r="H5" s="212" t="s">
        <v>278</v>
      </c>
      <c r="I5" s="213" t="s">
        <v>105</v>
      </c>
      <c r="K5" s="204"/>
      <c r="L5" s="204"/>
    </row>
    <row r="6">
      <c r="A6" s="217"/>
      <c r="B6" s="218"/>
      <c r="C6" s="218"/>
      <c r="D6" s="219" t="s">
        <v>279</v>
      </c>
      <c r="E6" s="219">
        <v>4.0</v>
      </c>
      <c r="F6" s="220"/>
      <c r="G6" s="221"/>
      <c r="H6" s="222" t="s">
        <v>280</v>
      </c>
      <c r="I6" s="223" t="s">
        <v>65</v>
      </c>
      <c r="K6" s="204"/>
      <c r="L6" s="204"/>
    </row>
    <row r="7">
      <c r="A7" s="224" t="s">
        <v>281</v>
      </c>
      <c r="B7" s="225" t="s">
        <v>282</v>
      </c>
      <c r="C7" s="226">
        <f>sum(E7:E12)</f>
        <v>15</v>
      </c>
      <c r="D7" s="209" t="s">
        <v>143</v>
      </c>
      <c r="E7" s="209">
        <v>5.0</v>
      </c>
      <c r="F7" s="227"/>
      <c r="G7" s="227"/>
      <c r="H7" s="212" t="s">
        <v>145</v>
      </c>
      <c r="I7" s="228" t="s">
        <v>144</v>
      </c>
      <c r="K7" s="204"/>
      <c r="L7" s="204"/>
    </row>
    <row r="8">
      <c r="A8" s="205"/>
      <c r="D8" s="209" t="s">
        <v>64</v>
      </c>
      <c r="E8" s="209">
        <v>3.0</v>
      </c>
      <c r="F8" s="215"/>
      <c r="G8" s="216"/>
      <c r="H8" s="212" t="s">
        <v>283</v>
      </c>
      <c r="I8" s="213" t="s">
        <v>65</v>
      </c>
      <c r="K8" s="204"/>
      <c r="L8" s="204"/>
    </row>
    <row r="9">
      <c r="A9" s="205"/>
      <c r="D9" s="209" t="s">
        <v>19</v>
      </c>
      <c r="E9" s="209">
        <v>2.0</v>
      </c>
      <c r="F9" s="210"/>
      <c r="G9" s="211"/>
      <c r="H9" s="212" t="s">
        <v>20</v>
      </c>
      <c r="I9" s="213" t="s">
        <v>7</v>
      </c>
      <c r="K9" s="204"/>
      <c r="L9" s="204"/>
    </row>
    <row r="10">
      <c r="A10" s="205"/>
      <c r="D10" s="229" t="s">
        <v>179</v>
      </c>
      <c r="E10" s="229">
        <v>3.0</v>
      </c>
      <c r="F10" s="230"/>
      <c r="G10" s="230"/>
      <c r="H10" s="231" t="s">
        <v>180</v>
      </c>
      <c r="I10" s="232" t="s">
        <v>176</v>
      </c>
      <c r="K10" s="204"/>
      <c r="L10" s="204"/>
    </row>
    <row r="11">
      <c r="A11" s="205"/>
      <c r="D11" s="227" t="s">
        <v>120</v>
      </c>
      <c r="E11" s="227">
        <v>1.0</v>
      </c>
      <c r="F11" s="3"/>
      <c r="G11" s="233"/>
      <c r="H11" s="234" t="s">
        <v>121</v>
      </c>
      <c r="I11" s="235" t="s">
        <v>105</v>
      </c>
      <c r="K11" s="204"/>
      <c r="L11" s="204"/>
    </row>
    <row r="12">
      <c r="A12" s="217"/>
      <c r="B12" s="218"/>
      <c r="C12" s="218"/>
      <c r="D12" s="219" t="s">
        <v>284</v>
      </c>
      <c r="E12" s="219">
        <v>1.0</v>
      </c>
      <c r="F12" s="220"/>
      <c r="G12" s="221"/>
      <c r="H12" s="222" t="s">
        <v>115</v>
      </c>
      <c r="I12" s="223" t="s">
        <v>105</v>
      </c>
      <c r="K12" s="204"/>
      <c r="L12" s="204"/>
    </row>
    <row r="13">
      <c r="A13" s="236" t="s">
        <v>285</v>
      </c>
      <c r="B13" s="237" t="s">
        <v>286</v>
      </c>
      <c r="C13" s="197">
        <f>sum(E13:E19)</f>
        <v>14</v>
      </c>
      <c r="D13" s="238" t="s">
        <v>284</v>
      </c>
      <c r="E13" s="238">
        <v>1.0</v>
      </c>
      <c r="F13" s="239"/>
      <c r="G13" s="240"/>
      <c r="H13" s="241" t="s">
        <v>115</v>
      </c>
      <c r="I13" s="242" t="s">
        <v>105</v>
      </c>
      <c r="K13" s="204"/>
      <c r="L13" s="204"/>
    </row>
    <row r="14">
      <c r="A14" s="205"/>
      <c r="D14" s="209" t="s">
        <v>153</v>
      </c>
      <c r="E14" s="209">
        <v>2.0</v>
      </c>
      <c r="F14" s="243"/>
      <c r="G14" s="211"/>
      <c r="H14" s="212" t="s">
        <v>154</v>
      </c>
      <c r="I14" s="228" t="s">
        <v>144</v>
      </c>
      <c r="K14" s="204"/>
      <c r="L14" s="204"/>
    </row>
    <row r="15">
      <c r="A15" s="205"/>
      <c r="D15" s="244" t="s">
        <v>189</v>
      </c>
      <c r="E15" s="244">
        <v>1.0</v>
      </c>
      <c r="F15" s="11"/>
      <c r="G15" s="245"/>
      <c r="H15" s="246" t="s">
        <v>190</v>
      </c>
      <c r="I15" s="247" t="s">
        <v>186</v>
      </c>
      <c r="K15" s="204"/>
      <c r="L15" s="204"/>
    </row>
    <row r="16">
      <c r="A16" s="205"/>
      <c r="D16" s="209" t="s">
        <v>58</v>
      </c>
      <c r="E16" s="209">
        <v>1.0</v>
      </c>
      <c r="F16" s="209"/>
      <c r="G16" s="209"/>
      <c r="H16" s="212" t="s">
        <v>59</v>
      </c>
      <c r="I16" s="213" t="s">
        <v>43</v>
      </c>
      <c r="K16" s="204"/>
      <c r="L16" s="204"/>
    </row>
    <row r="17">
      <c r="A17" s="205"/>
      <c r="D17" s="209" t="s">
        <v>162</v>
      </c>
      <c r="E17" s="209">
        <v>2.0</v>
      </c>
      <c r="F17" s="243"/>
      <c r="G17" s="210"/>
      <c r="H17" s="212" t="s">
        <v>164</v>
      </c>
      <c r="I17" s="213" t="s">
        <v>163</v>
      </c>
      <c r="K17" s="204"/>
      <c r="L17" s="204"/>
    </row>
    <row r="18">
      <c r="A18" s="205"/>
      <c r="D18" s="248" t="s">
        <v>79</v>
      </c>
      <c r="E18" s="248">
        <v>2.0</v>
      </c>
      <c r="F18" s="53"/>
      <c r="G18" s="55"/>
      <c r="H18" s="249" t="s">
        <v>80</v>
      </c>
      <c r="I18" s="250" t="s">
        <v>65</v>
      </c>
      <c r="K18" s="204"/>
      <c r="L18" s="204"/>
    </row>
    <row r="19">
      <c r="A19" s="217"/>
      <c r="B19" s="218"/>
      <c r="C19" s="218"/>
      <c r="D19" s="251" t="s">
        <v>143</v>
      </c>
      <c r="E19" s="219">
        <v>5.0</v>
      </c>
      <c r="F19" s="252"/>
      <c r="G19" s="252"/>
      <c r="H19" s="222" t="s">
        <v>145</v>
      </c>
      <c r="I19" s="253" t="s">
        <v>144</v>
      </c>
      <c r="K19" s="204"/>
      <c r="L19" s="204"/>
    </row>
    <row r="20">
      <c r="A20" s="254" t="s">
        <v>287</v>
      </c>
      <c r="B20" s="196" t="s">
        <v>288</v>
      </c>
      <c r="C20" s="197">
        <f>sum(E20:E26)</f>
        <v>14</v>
      </c>
      <c r="D20" s="238" t="s">
        <v>175</v>
      </c>
      <c r="E20" s="238">
        <v>3.0</v>
      </c>
      <c r="F20" s="255"/>
      <c r="G20" s="255"/>
      <c r="H20" s="241" t="s">
        <v>289</v>
      </c>
      <c r="I20" s="242" t="s">
        <v>176</v>
      </c>
      <c r="K20" s="204"/>
      <c r="L20" s="204"/>
    </row>
    <row r="21">
      <c r="A21" s="205"/>
      <c r="D21" s="209" t="s">
        <v>166</v>
      </c>
      <c r="E21" s="209">
        <v>2.0</v>
      </c>
      <c r="F21" s="227"/>
      <c r="G21" s="227"/>
      <c r="H21" s="212" t="s">
        <v>167</v>
      </c>
      <c r="I21" s="213" t="s">
        <v>163</v>
      </c>
      <c r="K21" s="204"/>
      <c r="L21" s="204"/>
    </row>
    <row r="22">
      <c r="A22" s="205"/>
      <c r="D22" s="227" t="s">
        <v>97</v>
      </c>
      <c r="E22" s="227">
        <v>2.0</v>
      </c>
      <c r="F22" s="233"/>
      <c r="G22" s="233"/>
      <c r="H22" s="234" t="s">
        <v>99</v>
      </c>
      <c r="I22" s="213" t="s">
        <v>98</v>
      </c>
      <c r="K22" s="204"/>
      <c r="L22" s="204"/>
    </row>
    <row r="23">
      <c r="A23" s="205"/>
      <c r="D23" s="209" t="s">
        <v>49</v>
      </c>
      <c r="E23" s="209">
        <v>2.0</v>
      </c>
      <c r="F23" s="210"/>
      <c r="G23" s="211"/>
      <c r="H23" s="212" t="s">
        <v>50</v>
      </c>
      <c r="I23" s="213" t="s">
        <v>43</v>
      </c>
      <c r="K23" s="204"/>
      <c r="L23" s="204"/>
    </row>
    <row r="24">
      <c r="A24" s="205"/>
      <c r="D24" s="251" t="s">
        <v>76</v>
      </c>
      <c r="E24" s="251">
        <v>2.0</v>
      </c>
      <c r="F24" s="53"/>
      <c r="G24" s="54"/>
      <c r="H24" s="256" t="s">
        <v>77</v>
      </c>
      <c r="I24" s="257" t="s">
        <v>65</v>
      </c>
      <c r="K24" s="204"/>
      <c r="L24" s="204"/>
    </row>
    <row r="25">
      <c r="A25" s="205"/>
      <c r="D25" s="209" t="s">
        <v>290</v>
      </c>
      <c r="E25" s="209">
        <v>2.0</v>
      </c>
      <c r="F25" s="215"/>
      <c r="G25" s="216"/>
      <c r="H25" s="212" t="s">
        <v>283</v>
      </c>
      <c r="I25" s="213" t="s">
        <v>65</v>
      </c>
      <c r="K25" s="204"/>
      <c r="L25" s="204"/>
    </row>
    <row r="26">
      <c r="A26" s="217"/>
      <c r="B26" s="218"/>
      <c r="C26" s="218"/>
      <c r="D26" s="219" t="s">
        <v>291</v>
      </c>
      <c r="E26" s="219">
        <v>1.0</v>
      </c>
      <c r="F26" s="258"/>
      <c r="G26" s="258"/>
      <c r="H26" s="222" t="s">
        <v>292</v>
      </c>
      <c r="I26" s="223" t="s">
        <v>105</v>
      </c>
      <c r="K26" s="204"/>
      <c r="L26" s="204"/>
    </row>
    <row r="27">
      <c r="A27" s="236" t="s">
        <v>293</v>
      </c>
      <c r="B27" s="237" t="s">
        <v>294</v>
      </c>
      <c r="C27" s="197">
        <f>sum(E27:E33)</f>
        <v>14</v>
      </c>
      <c r="D27" s="238" t="s">
        <v>64</v>
      </c>
      <c r="E27" s="238">
        <v>3.0</v>
      </c>
      <c r="F27" s="239"/>
      <c r="G27" s="240"/>
      <c r="H27" s="241" t="s">
        <v>283</v>
      </c>
      <c r="I27" s="259" t="s">
        <v>65</v>
      </c>
      <c r="J27" s="4"/>
      <c r="K27" s="204"/>
      <c r="L27" s="204"/>
    </row>
    <row r="28">
      <c r="A28" s="205"/>
      <c r="D28" s="209" t="s">
        <v>295</v>
      </c>
      <c r="E28" s="209">
        <v>1.0</v>
      </c>
      <c r="F28" s="243"/>
      <c r="G28" s="211"/>
      <c r="H28" s="212" t="s">
        <v>296</v>
      </c>
      <c r="I28" s="213" t="s">
        <v>7</v>
      </c>
      <c r="J28" s="4"/>
      <c r="K28" s="204"/>
      <c r="L28" s="204"/>
    </row>
    <row r="29">
      <c r="A29" s="205"/>
      <c r="D29" s="209" t="s">
        <v>297</v>
      </c>
      <c r="E29" s="209">
        <v>3.0</v>
      </c>
      <c r="F29" s="243"/>
      <c r="G29" s="211"/>
      <c r="H29" s="212" t="s">
        <v>298</v>
      </c>
      <c r="I29" s="213" t="s">
        <v>7</v>
      </c>
      <c r="J29" s="4"/>
      <c r="K29" s="204"/>
      <c r="L29" s="204"/>
    </row>
    <row r="30">
      <c r="A30" s="205"/>
      <c r="D30" s="209" t="s">
        <v>162</v>
      </c>
      <c r="E30" s="209">
        <v>2.0</v>
      </c>
      <c r="F30" s="243"/>
      <c r="G30" s="211"/>
      <c r="H30" s="212" t="s">
        <v>164</v>
      </c>
      <c r="I30" s="260" t="s">
        <v>163</v>
      </c>
      <c r="J30" s="4"/>
      <c r="K30" s="204"/>
      <c r="L30" s="204"/>
    </row>
    <row r="31">
      <c r="A31" s="205"/>
      <c r="D31" s="206" t="s">
        <v>179</v>
      </c>
      <c r="E31" s="206">
        <v>3.0</v>
      </c>
      <c r="F31" s="130"/>
      <c r="G31" s="131"/>
      <c r="H31" s="207" t="s">
        <v>180</v>
      </c>
      <c r="I31" s="261" t="s">
        <v>176</v>
      </c>
      <c r="J31" s="4"/>
      <c r="K31" s="204"/>
      <c r="L31" s="204"/>
    </row>
    <row r="32">
      <c r="A32" s="205"/>
      <c r="D32" s="244" t="s">
        <v>189</v>
      </c>
      <c r="E32" s="244">
        <v>1.0</v>
      </c>
      <c r="F32" s="11"/>
      <c r="G32" s="245"/>
      <c r="H32" s="246" t="s">
        <v>190</v>
      </c>
      <c r="I32" s="262" t="s">
        <v>186</v>
      </c>
      <c r="J32" s="4"/>
      <c r="K32" s="204"/>
      <c r="L32" s="204"/>
    </row>
    <row r="33">
      <c r="A33" s="217"/>
      <c r="B33" s="218"/>
      <c r="C33" s="218"/>
      <c r="D33" s="219" t="s">
        <v>299</v>
      </c>
      <c r="E33" s="219">
        <v>1.0</v>
      </c>
      <c r="F33" s="263"/>
      <c r="G33" s="264"/>
      <c r="H33" s="222" t="s">
        <v>300</v>
      </c>
      <c r="I33" s="265" t="s">
        <v>105</v>
      </c>
      <c r="J33" s="4"/>
      <c r="K33" s="204"/>
      <c r="L33" s="204"/>
    </row>
    <row r="34">
      <c r="A34" s="236" t="s">
        <v>301</v>
      </c>
      <c r="B34" s="266" t="s">
        <v>302</v>
      </c>
      <c r="C34" s="267">
        <f>sum(E34:E39)</f>
        <v>14</v>
      </c>
      <c r="D34" s="268" t="s">
        <v>76</v>
      </c>
      <c r="E34" s="268">
        <v>2.0</v>
      </c>
      <c r="F34" s="48"/>
      <c r="G34" s="49"/>
      <c r="H34" s="269" t="s">
        <v>77</v>
      </c>
      <c r="I34" s="270" t="s">
        <v>65</v>
      </c>
      <c r="K34" s="204"/>
      <c r="L34" s="204"/>
    </row>
    <row r="35">
      <c r="A35" s="205"/>
      <c r="D35" s="271" t="s">
        <v>101</v>
      </c>
      <c r="E35" s="271">
        <v>2.0</v>
      </c>
      <c r="F35" s="272"/>
      <c r="G35" s="273"/>
      <c r="H35" s="274" t="s">
        <v>102</v>
      </c>
      <c r="I35" s="275" t="s">
        <v>98</v>
      </c>
      <c r="K35" s="204"/>
      <c r="L35" s="204"/>
    </row>
    <row r="36">
      <c r="A36" s="205"/>
      <c r="D36" s="209" t="s">
        <v>143</v>
      </c>
      <c r="E36" s="209">
        <v>5.0</v>
      </c>
      <c r="F36" s="227"/>
      <c r="G36" s="227"/>
      <c r="H36" s="212" t="s">
        <v>145</v>
      </c>
      <c r="I36" s="228" t="s">
        <v>144</v>
      </c>
      <c r="K36" s="204"/>
      <c r="L36" s="204"/>
    </row>
    <row r="37">
      <c r="A37" s="205"/>
      <c r="D37" s="209" t="s">
        <v>153</v>
      </c>
      <c r="E37" s="209">
        <v>2.0</v>
      </c>
      <c r="F37" s="243"/>
      <c r="G37" s="211"/>
      <c r="H37" s="212" t="s">
        <v>154</v>
      </c>
      <c r="I37" s="228" t="s">
        <v>144</v>
      </c>
      <c r="K37" s="204"/>
      <c r="L37" s="204"/>
    </row>
    <row r="38">
      <c r="A38" s="205"/>
      <c r="D38" s="209" t="s">
        <v>166</v>
      </c>
      <c r="E38" s="209">
        <v>2.0</v>
      </c>
      <c r="F38" s="227"/>
      <c r="G38" s="227"/>
      <c r="H38" s="212" t="s">
        <v>167</v>
      </c>
      <c r="I38" s="213" t="s">
        <v>163</v>
      </c>
      <c r="K38" s="204"/>
      <c r="L38" s="204"/>
    </row>
    <row r="39">
      <c r="A39" s="217"/>
      <c r="B39" s="218"/>
      <c r="C39" s="218"/>
      <c r="D39" s="219" t="s">
        <v>284</v>
      </c>
      <c r="E39" s="219">
        <v>1.0</v>
      </c>
      <c r="F39" s="220"/>
      <c r="G39" s="221"/>
      <c r="H39" s="222" t="s">
        <v>115</v>
      </c>
      <c r="I39" s="223" t="s">
        <v>105</v>
      </c>
      <c r="K39" s="204"/>
      <c r="L39" s="204"/>
    </row>
    <row r="40">
      <c r="A40" s="224" t="s">
        <v>303</v>
      </c>
      <c r="B40" s="225" t="s">
        <v>304</v>
      </c>
      <c r="C40" s="276">
        <f>sum(E40:E44)</f>
        <v>13</v>
      </c>
      <c r="D40" s="209" t="s">
        <v>162</v>
      </c>
      <c r="E40" s="209">
        <v>2.0</v>
      </c>
      <c r="F40" s="243"/>
      <c r="G40" s="211"/>
      <c r="H40" s="212" t="s">
        <v>164</v>
      </c>
      <c r="I40" s="213" t="s">
        <v>163</v>
      </c>
      <c r="K40" s="204"/>
      <c r="L40" s="204"/>
    </row>
    <row r="41">
      <c r="A41" s="205"/>
      <c r="D41" s="209" t="s">
        <v>64</v>
      </c>
      <c r="E41" s="209">
        <v>3.0</v>
      </c>
      <c r="F41" s="215"/>
      <c r="G41" s="216"/>
      <c r="H41" s="212" t="s">
        <v>283</v>
      </c>
      <c r="I41" s="213" t="s">
        <v>65</v>
      </c>
      <c r="K41" s="204"/>
      <c r="L41" s="204"/>
    </row>
    <row r="42">
      <c r="A42" s="205"/>
      <c r="D42" s="209" t="s">
        <v>284</v>
      </c>
      <c r="E42" s="209">
        <v>1.0</v>
      </c>
      <c r="F42" s="215"/>
      <c r="G42" s="216"/>
      <c r="H42" s="212" t="s">
        <v>115</v>
      </c>
      <c r="I42" s="213" t="s">
        <v>105</v>
      </c>
      <c r="K42" s="204"/>
      <c r="L42" s="204"/>
    </row>
    <row r="43">
      <c r="A43" s="205"/>
      <c r="D43" s="209" t="s">
        <v>153</v>
      </c>
      <c r="E43" s="209">
        <v>2.0</v>
      </c>
      <c r="F43" s="243"/>
      <c r="G43" s="211"/>
      <c r="H43" s="212" t="s">
        <v>154</v>
      </c>
      <c r="I43" s="228" t="s">
        <v>144</v>
      </c>
      <c r="K43" s="204"/>
      <c r="L43" s="204"/>
    </row>
    <row r="44">
      <c r="A44" s="217"/>
      <c r="B44" s="218"/>
      <c r="C44" s="218"/>
      <c r="D44" s="219" t="s">
        <v>143</v>
      </c>
      <c r="E44" s="219">
        <v>5.0</v>
      </c>
      <c r="F44" s="252"/>
      <c r="G44" s="252"/>
      <c r="H44" s="222" t="s">
        <v>145</v>
      </c>
      <c r="I44" s="253" t="s">
        <v>144</v>
      </c>
      <c r="K44" s="204"/>
      <c r="L44" s="204"/>
    </row>
    <row r="45">
      <c r="A45" s="195" t="s">
        <v>305</v>
      </c>
      <c r="B45" s="277" t="s">
        <v>306</v>
      </c>
      <c r="C45" s="197">
        <f>sum(E45:E51)</f>
        <v>13</v>
      </c>
      <c r="D45" s="238" t="s">
        <v>64</v>
      </c>
      <c r="E45" s="238">
        <v>3.0</v>
      </c>
      <c r="F45" s="278"/>
      <c r="G45" s="255"/>
      <c r="H45" s="241" t="s">
        <v>283</v>
      </c>
      <c r="I45" s="242" t="s">
        <v>65</v>
      </c>
      <c r="K45" s="204"/>
      <c r="L45" s="204"/>
    </row>
    <row r="46">
      <c r="A46" s="205"/>
      <c r="I46" s="279"/>
      <c r="K46" s="204"/>
      <c r="L46" s="204"/>
    </row>
    <row r="47">
      <c r="A47" s="205"/>
      <c r="D47" s="209" t="s">
        <v>22</v>
      </c>
      <c r="E47" s="209">
        <v>2.0</v>
      </c>
      <c r="F47" s="243"/>
      <c r="G47" s="211"/>
      <c r="H47" s="212" t="s">
        <v>307</v>
      </c>
      <c r="I47" s="213" t="s">
        <v>23</v>
      </c>
      <c r="K47" s="204"/>
      <c r="L47" s="204"/>
    </row>
    <row r="48">
      <c r="A48" s="205"/>
      <c r="D48" s="209" t="s">
        <v>162</v>
      </c>
      <c r="E48" s="209">
        <v>2.0</v>
      </c>
      <c r="F48" s="243"/>
      <c r="G48" s="211"/>
      <c r="H48" s="212" t="s">
        <v>164</v>
      </c>
      <c r="I48" s="213" t="s">
        <v>163</v>
      </c>
      <c r="K48" s="204"/>
      <c r="L48" s="204"/>
    </row>
    <row r="49">
      <c r="A49" s="205"/>
      <c r="D49" s="209" t="s">
        <v>166</v>
      </c>
      <c r="E49" s="209">
        <v>2.0</v>
      </c>
      <c r="F49" s="227"/>
      <c r="G49" s="227"/>
      <c r="H49" s="212" t="s">
        <v>167</v>
      </c>
      <c r="I49" s="213" t="s">
        <v>163</v>
      </c>
      <c r="K49" s="204"/>
      <c r="L49" s="204"/>
    </row>
    <row r="50">
      <c r="A50" s="205"/>
      <c r="D50" s="209" t="s">
        <v>308</v>
      </c>
      <c r="E50" s="209">
        <v>2.0</v>
      </c>
      <c r="F50" s="227"/>
      <c r="G50" s="227"/>
      <c r="H50" s="212" t="s">
        <v>309</v>
      </c>
      <c r="I50" s="213" t="s">
        <v>7</v>
      </c>
      <c r="K50" s="204"/>
      <c r="L50" s="204"/>
    </row>
    <row r="51">
      <c r="A51" s="217"/>
      <c r="B51" s="218"/>
      <c r="C51" s="218"/>
      <c r="D51" s="219" t="s">
        <v>310</v>
      </c>
      <c r="E51" s="219">
        <v>2.0</v>
      </c>
      <c r="F51" s="252"/>
      <c r="G51" s="252"/>
      <c r="H51" s="222" t="s">
        <v>311</v>
      </c>
      <c r="I51" s="223" t="s">
        <v>7</v>
      </c>
      <c r="K51" s="204"/>
      <c r="L51" s="204"/>
    </row>
    <row r="52">
      <c r="A52" s="236" t="s">
        <v>312</v>
      </c>
      <c r="B52" s="237" t="s">
        <v>313</v>
      </c>
      <c r="C52" s="267">
        <f>sum(E52:E58)</f>
        <v>13</v>
      </c>
      <c r="D52" s="280" t="s">
        <v>97</v>
      </c>
      <c r="E52" s="280">
        <v>2.0</v>
      </c>
      <c r="F52" s="281"/>
      <c r="G52" s="281"/>
      <c r="H52" s="282" t="s">
        <v>99</v>
      </c>
      <c r="I52" s="242" t="s">
        <v>98</v>
      </c>
      <c r="K52" s="204"/>
      <c r="L52" s="204"/>
    </row>
    <row r="53">
      <c r="A53" s="205"/>
      <c r="D53" s="283" t="s">
        <v>39</v>
      </c>
      <c r="E53" s="283">
        <v>1.0</v>
      </c>
      <c r="F53" s="30"/>
      <c r="G53" s="32"/>
      <c r="H53" s="284" t="s">
        <v>40</v>
      </c>
      <c r="I53" s="285" t="s">
        <v>30</v>
      </c>
      <c r="K53" s="204"/>
      <c r="L53" s="204"/>
    </row>
    <row r="54">
      <c r="A54" s="205"/>
      <c r="D54" s="209" t="s">
        <v>49</v>
      </c>
      <c r="E54" s="209">
        <v>2.0</v>
      </c>
      <c r="F54" s="210"/>
      <c r="G54" s="211"/>
      <c r="H54" s="212" t="s">
        <v>50</v>
      </c>
      <c r="I54" s="213" t="s">
        <v>43</v>
      </c>
      <c r="K54" s="204"/>
      <c r="L54" s="204"/>
    </row>
    <row r="55">
      <c r="A55" s="205"/>
      <c r="D55" s="209" t="s">
        <v>64</v>
      </c>
      <c r="E55" s="209">
        <v>3.0</v>
      </c>
      <c r="F55" s="215"/>
      <c r="G55" s="216"/>
      <c r="H55" s="212" t="s">
        <v>283</v>
      </c>
      <c r="I55" s="213" t="s">
        <v>65</v>
      </c>
      <c r="K55" s="204"/>
      <c r="L55" s="204"/>
    </row>
    <row r="56">
      <c r="A56" s="205"/>
      <c r="D56" s="227" t="s">
        <v>61</v>
      </c>
      <c r="E56" s="227">
        <v>1.0</v>
      </c>
      <c r="F56" s="233"/>
      <c r="G56" s="233"/>
      <c r="H56" s="234" t="s">
        <v>62</v>
      </c>
      <c r="I56" s="213" t="s">
        <v>43</v>
      </c>
      <c r="K56" s="204"/>
      <c r="L56" s="204"/>
    </row>
    <row r="57">
      <c r="A57" s="205"/>
      <c r="D57" s="209" t="s">
        <v>162</v>
      </c>
      <c r="E57" s="209">
        <v>2.0</v>
      </c>
      <c r="F57" s="243"/>
      <c r="G57" s="210"/>
      <c r="H57" s="212" t="s">
        <v>164</v>
      </c>
      <c r="I57" s="213" t="s">
        <v>163</v>
      </c>
      <c r="K57" s="204"/>
      <c r="L57" s="204"/>
    </row>
    <row r="58">
      <c r="A58" s="217"/>
      <c r="B58" s="218"/>
      <c r="C58" s="218"/>
      <c r="D58" s="286" t="s">
        <v>314</v>
      </c>
      <c r="E58" s="287">
        <v>2.0</v>
      </c>
      <c r="F58" s="288"/>
      <c r="G58" s="288"/>
      <c r="H58" s="289" t="s">
        <v>315</v>
      </c>
      <c r="I58" s="213" t="s">
        <v>7</v>
      </c>
      <c r="K58" s="204"/>
      <c r="L58" s="204"/>
    </row>
    <row r="59">
      <c r="A59" s="195" t="s">
        <v>316</v>
      </c>
      <c r="B59" s="290" t="s">
        <v>317</v>
      </c>
      <c r="C59" s="267">
        <f>sum(E59:E63)</f>
        <v>13</v>
      </c>
      <c r="D59" s="238" t="s">
        <v>175</v>
      </c>
      <c r="E59" s="238">
        <v>3.0</v>
      </c>
      <c r="F59" s="255"/>
      <c r="G59" s="255"/>
      <c r="H59" s="241" t="s">
        <v>289</v>
      </c>
      <c r="I59" s="242" t="s">
        <v>176</v>
      </c>
      <c r="K59" s="204"/>
      <c r="L59" s="204"/>
    </row>
    <row r="60">
      <c r="A60" s="205"/>
      <c r="D60" s="209" t="s">
        <v>143</v>
      </c>
      <c r="E60" s="209">
        <v>5.0</v>
      </c>
      <c r="F60" s="227"/>
      <c r="G60" s="227"/>
      <c r="H60" s="212" t="s">
        <v>145</v>
      </c>
      <c r="I60" s="228" t="s">
        <v>144</v>
      </c>
      <c r="K60" s="204"/>
      <c r="L60" s="204"/>
    </row>
    <row r="61">
      <c r="A61" s="205"/>
      <c r="D61" s="209" t="s">
        <v>162</v>
      </c>
      <c r="E61" s="209">
        <v>2.0</v>
      </c>
      <c r="F61" s="243"/>
      <c r="G61" s="211"/>
      <c r="H61" s="212" t="s">
        <v>164</v>
      </c>
      <c r="I61" s="213" t="s">
        <v>163</v>
      </c>
      <c r="K61" s="204"/>
      <c r="L61" s="204"/>
    </row>
    <row r="62">
      <c r="A62" s="205"/>
      <c r="D62" s="209" t="s">
        <v>55</v>
      </c>
      <c r="E62" s="209">
        <v>1.0</v>
      </c>
      <c r="F62" s="210"/>
      <c r="G62" s="211"/>
      <c r="H62" s="212" t="s">
        <v>56</v>
      </c>
      <c r="I62" s="213" t="s">
        <v>43</v>
      </c>
      <c r="K62" s="204"/>
      <c r="L62" s="204"/>
    </row>
    <row r="63">
      <c r="A63" s="217"/>
      <c r="B63" s="218"/>
      <c r="C63" s="218"/>
      <c r="D63" s="287" t="s">
        <v>150</v>
      </c>
      <c r="E63" s="287">
        <v>2.0</v>
      </c>
      <c r="F63" s="288"/>
      <c r="G63" s="288"/>
      <c r="H63" s="291" t="s">
        <v>151</v>
      </c>
      <c r="I63" s="292" t="s">
        <v>144</v>
      </c>
      <c r="K63" s="204"/>
      <c r="L63" s="204"/>
    </row>
    <row r="64" ht="45.0" customHeight="1">
      <c r="A64" s="293" t="s">
        <v>318</v>
      </c>
      <c r="B64" s="294"/>
      <c r="C64" s="294"/>
      <c r="D64" s="294"/>
      <c r="E64" s="294"/>
      <c r="F64" s="294"/>
      <c r="G64" s="294"/>
      <c r="H64" s="295"/>
      <c r="I64" s="296"/>
      <c r="J64" s="233"/>
      <c r="K64" s="233"/>
      <c r="L64" s="233"/>
      <c r="M64" s="233"/>
      <c r="N64" s="297"/>
      <c r="O64" s="297"/>
      <c r="P64" s="297"/>
      <c r="Q64" s="297"/>
      <c r="R64" s="297"/>
      <c r="S64" s="297"/>
      <c r="T64" s="297"/>
      <c r="U64" s="297"/>
      <c r="V64" s="297"/>
      <c r="W64" s="297"/>
      <c r="X64" s="297"/>
      <c r="Y64" s="297"/>
      <c r="Z64" s="297"/>
      <c r="AA64" s="297"/>
      <c r="AB64" s="297"/>
      <c r="AC64" s="297"/>
    </row>
    <row r="65">
      <c r="A65" s="236" t="s">
        <v>319</v>
      </c>
      <c r="B65" s="237" t="s">
        <v>320</v>
      </c>
      <c r="C65" s="267">
        <f>sum(E65:E72)</f>
        <v>12</v>
      </c>
      <c r="D65" s="238" t="s">
        <v>17</v>
      </c>
      <c r="E65" s="238">
        <v>2.0</v>
      </c>
      <c r="F65" s="278"/>
      <c r="G65" s="255"/>
      <c r="H65" s="298" t="s">
        <v>321</v>
      </c>
      <c r="I65" s="242" t="s">
        <v>7</v>
      </c>
      <c r="K65" s="204"/>
      <c r="L65" s="204"/>
    </row>
    <row r="66">
      <c r="A66" s="205"/>
      <c r="D66" s="209" t="s">
        <v>22</v>
      </c>
      <c r="E66" s="209">
        <v>2.0</v>
      </c>
      <c r="F66" s="299"/>
      <c r="G66" s="300"/>
      <c r="H66" s="212" t="s">
        <v>307</v>
      </c>
      <c r="I66" s="213" t="s">
        <v>23</v>
      </c>
      <c r="K66" s="204"/>
      <c r="L66" s="204"/>
    </row>
    <row r="67">
      <c r="A67" s="205"/>
      <c r="D67" s="209" t="s">
        <v>49</v>
      </c>
      <c r="E67" s="209">
        <v>2.0</v>
      </c>
      <c r="F67" s="210"/>
      <c r="G67" s="211"/>
      <c r="H67" s="212" t="s">
        <v>50</v>
      </c>
      <c r="I67" s="213" t="s">
        <v>43</v>
      </c>
      <c r="K67" s="204"/>
      <c r="L67" s="204"/>
    </row>
    <row r="68">
      <c r="A68" s="205"/>
      <c r="D68" s="209" t="s">
        <v>55</v>
      </c>
      <c r="E68" s="209">
        <v>1.0</v>
      </c>
      <c r="F68" s="210"/>
      <c r="G68" s="211"/>
      <c r="H68" s="212" t="s">
        <v>56</v>
      </c>
      <c r="I68" s="213" t="s">
        <v>43</v>
      </c>
      <c r="K68" s="204"/>
      <c r="L68" s="204"/>
    </row>
    <row r="69">
      <c r="A69" s="205"/>
      <c r="D69" s="209" t="s">
        <v>117</v>
      </c>
      <c r="E69" s="209">
        <v>1.0</v>
      </c>
      <c r="F69" s="211"/>
      <c r="G69" s="211"/>
      <c r="H69" s="212" t="s">
        <v>322</v>
      </c>
      <c r="I69" s="213" t="s">
        <v>105</v>
      </c>
      <c r="K69" s="204"/>
      <c r="L69" s="204"/>
    </row>
    <row r="70">
      <c r="A70" s="205"/>
      <c r="D70" s="301" t="s">
        <v>129</v>
      </c>
      <c r="E70" s="301">
        <v>1.0</v>
      </c>
      <c r="F70" s="80"/>
      <c r="G70" s="81"/>
      <c r="H70" s="302" t="s">
        <v>130</v>
      </c>
      <c r="I70" s="303" t="s">
        <v>105</v>
      </c>
      <c r="K70" s="204"/>
      <c r="L70" s="204"/>
    </row>
    <row r="71">
      <c r="A71" s="205"/>
      <c r="D71" s="209" t="s">
        <v>79</v>
      </c>
      <c r="E71" s="209">
        <v>2.0</v>
      </c>
      <c r="F71" s="211"/>
      <c r="G71" s="211"/>
      <c r="H71" s="212" t="s">
        <v>80</v>
      </c>
      <c r="I71" s="213" t="s">
        <v>65</v>
      </c>
      <c r="K71" s="204"/>
      <c r="L71" s="204"/>
    </row>
    <row r="72">
      <c r="A72" s="217"/>
      <c r="B72" s="218"/>
      <c r="C72" s="218"/>
      <c r="D72" s="219" t="s">
        <v>159</v>
      </c>
      <c r="E72" s="219">
        <v>1.0</v>
      </c>
      <c r="F72" s="252"/>
      <c r="G72" s="252"/>
      <c r="H72" s="222" t="s">
        <v>160</v>
      </c>
      <c r="I72" s="253" t="s">
        <v>144</v>
      </c>
      <c r="K72" s="204"/>
      <c r="L72" s="204"/>
    </row>
    <row r="73">
      <c r="A73" s="195" t="s">
        <v>323</v>
      </c>
      <c r="B73" s="196" t="s">
        <v>324</v>
      </c>
      <c r="C73" s="267">
        <f>sum(E73:E79)</f>
        <v>12</v>
      </c>
      <c r="D73" s="238" t="s">
        <v>58</v>
      </c>
      <c r="E73" s="238">
        <v>1.0</v>
      </c>
      <c r="F73" s="238"/>
      <c r="G73" s="238"/>
      <c r="H73" s="241" t="s">
        <v>59</v>
      </c>
      <c r="I73" s="242" t="s">
        <v>43</v>
      </c>
      <c r="K73" s="204"/>
      <c r="L73" s="204"/>
    </row>
    <row r="74">
      <c r="A74" s="205"/>
      <c r="D74" s="214" t="s">
        <v>325</v>
      </c>
      <c r="E74" s="209">
        <v>4.0</v>
      </c>
      <c r="F74" s="210"/>
      <c r="G74" s="211"/>
      <c r="H74" s="212" t="s">
        <v>326</v>
      </c>
      <c r="I74" s="213" t="s">
        <v>65</v>
      </c>
      <c r="K74" s="204"/>
      <c r="L74" s="204"/>
    </row>
    <row r="75">
      <c r="A75" s="205"/>
      <c r="D75" s="209" t="s">
        <v>162</v>
      </c>
      <c r="E75" s="209">
        <v>2.0</v>
      </c>
      <c r="F75" s="243"/>
      <c r="G75" s="211"/>
      <c r="H75" s="212" t="s">
        <v>164</v>
      </c>
      <c r="I75" s="213" t="s">
        <v>163</v>
      </c>
      <c r="K75" s="204"/>
      <c r="L75" s="204"/>
    </row>
    <row r="76">
      <c r="A76" s="205"/>
      <c r="D76" s="304" t="s">
        <v>150</v>
      </c>
      <c r="E76" s="304">
        <v>2.0</v>
      </c>
      <c r="F76" s="305"/>
      <c r="G76" s="305"/>
      <c r="H76" s="306" t="s">
        <v>151</v>
      </c>
      <c r="I76" s="307" t="s">
        <v>144</v>
      </c>
      <c r="K76" s="204"/>
      <c r="L76" s="204"/>
    </row>
    <row r="77">
      <c r="A77" s="205"/>
      <c r="D77" s="209" t="s">
        <v>299</v>
      </c>
      <c r="E77" s="209">
        <v>1.0</v>
      </c>
      <c r="F77" s="210"/>
      <c r="G77" s="211"/>
      <c r="H77" s="212" t="s">
        <v>300</v>
      </c>
      <c r="I77" s="213" t="s">
        <v>105</v>
      </c>
      <c r="K77" s="204"/>
      <c r="L77" s="204"/>
    </row>
    <row r="78">
      <c r="A78" s="205"/>
      <c r="D78" s="308" t="s">
        <v>137</v>
      </c>
      <c r="E78" s="308">
        <v>1.0</v>
      </c>
      <c r="F78" s="80"/>
      <c r="G78" s="86"/>
      <c r="H78" s="309" t="s">
        <v>138</v>
      </c>
      <c r="I78" s="303" t="s">
        <v>105</v>
      </c>
      <c r="K78" s="204"/>
      <c r="L78" s="204"/>
    </row>
    <row r="79">
      <c r="A79" s="217"/>
      <c r="B79" s="218"/>
      <c r="C79" s="218"/>
      <c r="D79" s="209" t="s">
        <v>120</v>
      </c>
      <c r="E79" s="209">
        <v>1.0</v>
      </c>
      <c r="F79" s="310"/>
      <c r="G79" s="310"/>
      <c r="H79" s="212" t="s">
        <v>327</v>
      </c>
      <c r="I79" s="213" t="s">
        <v>105</v>
      </c>
      <c r="K79" s="204"/>
      <c r="L79" s="204"/>
    </row>
    <row r="80">
      <c r="A80" s="236" t="s">
        <v>328</v>
      </c>
      <c r="B80" s="196" t="s">
        <v>329</v>
      </c>
      <c r="C80" s="267">
        <f>sum(E80:E85)</f>
        <v>12</v>
      </c>
      <c r="D80" s="280" t="s">
        <v>97</v>
      </c>
      <c r="E80" s="280">
        <v>2.0</v>
      </c>
      <c r="F80" s="281"/>
      <c r="G80" s="281"/>
      <c r="H80" s="282" t="s">
        <v>99</v>
      </c>
      <c r="I80" s="242" t="s">
        <v>98</v>
      </c>
      <c r="K80" s="204"/>
      <c r="L80" s="204"/>
    </row>
    <row r="81">
      <c r="A81" s="205"/>
      <c r="D81" s="209" t="s">
        <v>330</v>
      </c>
      <c r="E81" s="209">
        <v>2.0</v>
      </c>
      <c r="F81" s="210"/>
      <c r="G81" s="211"/>
      <c r="H81" s="212" t="s">
        <v>331</v>
      </c>
      <c r="I81" s="213" t="s">
        <v>7</v>
      </c>
      <c r="K81" s="204"/>
      <c r="L81" s="204"/>
    </row>
    <row r="82">
      <c r="A82" s="205"/>
      <c r="D82" s="209" t="s">
        <v>162</v>
      </c>
      <c r="E82" s="209">
        <v>2.0</v>
      </c>
      <c r="F82" s="243"/>
      <c r="G82" s="210"/>
      <c r="H82" s="212" t="s">
        <v>164</v>
      </c>
      <c r="I82" s="213" t="s">
        <v>163</v>
      </c>
      <c r="K82" s="204"/>
      <c r="L82" s="204"/>
    </row>
    <row r="83">
      <c r="A83" s="205"/>
      <c r="D83" s="206" t="s">
        <v>179</v>
      </c>
      <c r="E83" s="206">
        <v>3.0</v>
      </c>
      <c r="F83" s="130"/>
      <c r="G83" s="131"/>
      <c r="H83" s="207" t="s">
        <v>180</v>
      </c>
      <c r="I83" s="208" t="s">
        <v>176</v>
      </c>
      <c r="K83" s="204"/>
      <c r="L83" s="204"/>
    </row>
    <row r="84">
      <c r="A84" s="205"/>
      <c r="D84" s="209" t="s">
        <v>159</v>
      </c>
      <c r="E84" s="209">
        <v>1.0</v>
      </c>
      <c r="F84" s="227"/>
      <c r="G84" s="227"/>
      <c r="H84" s="212" t="s">
        <v>145</v>
      </c>
      <c r="I84" s="228" t="s">
        <v>144</v>
      </c>
      <c r="K84" s="204"/>
      <c r="L84" s="204"/>
    </row>
    <row r="85">
      <c r="A85" s="217"/>
      <c r="B85" s="218"/>
      <c r="C85" s="218"/>
      <c r="D85" s="219" t="s">
        <v>290</v>
      </c>
      <c r="E85" s="219">
        <v>2.0</v>
      </c>
      <c r="F85" s="220"/>
      <c r="G85" s="221"/>
      <c r="H85" s="222" t="s">
        <v>283</v>
      </c>
      <c r="I85" s="223" t="s">
        <v>65</v>
      </c>
      <c r="K85" s="204"/>
      <c r="L85" s="204"/>
    </row>
    <row r="86">
      <c r="A86" s="311" t="s">
        <v>332</v>
      </c>
      <c r="B86" s="312" t="s">
        <v>333</v>
      </c>
      <c r="C86" s="276">
        <f>sum(E86:E91)</f>
        <v>11</v>
      </c>
      <c r="D86" s="209" t="s">
        <v>49</v>
      </c>
      <c r="E86" s="209">
        <v>2.0</v>
      </c>
      <c r="F86" s="210"/>
      <c r="G86" s="211"/>
      <c r="H86" s="212" t="s">
        <v>50</v>
      </c>
      <c r="I86" s="213" t="s">
        <v>43</v>
      </c>
      <c r="K86" s="204"/>
      <c r="L86" s="204"/>
    </row>
    <row r="87">
      <c r="A87" s="205"/>
      <c r="D87" s="209" t="s">
        <v>58</v>
      </c>
      <c r="E87" s="209">
        <v>1.0</v>
      </c>
      <c r="F87" s="209"/>
      <c r="G87" s="209"/>
      <c r="H87" s="212" t="s">
        <v>59</v>
      </c>
      <c r="I87" s="213" t="s">
        <v>43</v>
      </c>
      <c r="K87" s="204"/>
      <c r="L87" s="204"/>
    </row>
    <row r="88">
      <c r="A88" s="205"/>
      <c r="D88" s="209" t="s">
        <v>79</v>
      </c>
      <c r="E88" s="209">
        <v>2.0</v>
      </c>
      <c r="F88" s="211"/>
      <c r="G88" s="211"/>
      <c r="H88" s="212" t="s">
        <v>80</v>
      </c>
      <c r="I88" s="213" t="s">
        <v>65</v>
      </c>
      <c r="K88" s="204"/>
      <c r="L88" s="204"/>
    </row>
    <row r="89">
      <c r="A89" s="205"/>
      <c r="D89" s="227" t="s">
        <v>97</v>
      </c>
      <c r="E89" s="227">
        <v>2.0</v>
      </c>
      <c r="F89" s="233"/>
      <c r="G89" s="233"/>
      <c r="H89" s="234" t="s">
        <v>99</v>
      </c>
      <c r="I89" s="213" t="s">
        <v>98</v>
      </c>
      <c r="K89" s="204"/>
      <c r="L89" s="204"/>
    </row>
    <row r="90">
      <c r="A90" s="205"/>
      <c r="D90" s="209" t="s">
        <v>162</v>
      </c>
      <c r="E90" s="209">
        <v>2.0</v>
      </c>
      <c r="F90" s="243"/>
      <c r="G90" s="211"/>
      <c r="H90" s="212" t="s">
        <v>164</v>
      </c>
      <c r="I90" s="213" t="s">
        <v>163</v>
      </c>
      <c r="K90" s="204"/>
      <c r="L90" s="204"/>
    </row>
    <row r="91">
      <c r="A91" s="217"/>
      <c r="B91" s="218"/>
      <c r="C91" s="218"/>
      <c r="D91" s="219" t="s">
        <v>22</v>
      </c>
      <c r="E91" s="219">
        <v>2.0</v>
      </c>
      <c r="F91" s="313"/>
      <c r="G91" s="264"/>
      <c r="H91" s="222" t="s">
        <v>307</v>
      </c>
      <c r="I91" s="223" t="s">
        <v>23</v>
      </c>
      <c r="K91" s="204"/>
      <c r="L91" s="204"/>
    </row>
    <row r="92">
      <c r="A92" s="314" t="s">
        <v>334</v>
      </c>
      <c r="B92" s="196" t="s">
        <v>335</v>
      </c>
      <c r="C92" s="197">
        <f>sum(E92:E97)</f>
        <v>11</v>
      </c>
      <c r="D92" s="238" t="s">
        <v>58</v>
      </c>
      <c r="E92" s="238">
        <v>1.0</v>
      </c>
      <c r="F92" s="238"/>
      <c r="G92" s="238"/>
      <c r="H92" s="241" t="s">
        <v>59</v>
      </c>
      <c r="I92" s="242" t="s">
        <v>43</v>
      </c>
      <c r="K92" s="204"/>
      <c r="L92" s="204"/>
    </row>
    <row r="93">
      <c r="A93" s="205"/>
      <c r="D93" s="209" t="s">
        <v>22</v>
      </c>
      <c r="E93" s="209">
        <v>2.0</v>
      </c>
      <c r="F93" s="299"/>
      <c r="G93" s="300"/>
      <c r="H93" s="212" t="s">
        <v>307</v>
      </c>
      <c r="I93" s="213" t="s">
        <v>23</v>
      </c>
      <c r="K93" s="204"/>
      <c r="L93" s="204"/>
    </row>
    <row r="94">
      <c r="A94" s="205"/>
      <c r="D94" s="227" t="s">
        <v>61</v>
      </c>
      <c r="E94" s="227">
        <v>1.0</v>
      </c>
      <c r="F94" s="233"/>
      <c r="G94" s="233"/>
      <c r="H94" s="234" t="s">
        <v>62</v>
      </c>
      <c r="I94" s="213" t="s">
        <v>43</v>
      </c>
      <c r="K94" s="204"/>
      <c r="L94" s="204"/>
    </row>
    <row r="95">
      <c r="A95" s="205"/>
      <c r="D95" s="209" t="s">
        <v>166</v>
      </c>
      <c r="E95" s="209">
        <v>2.0</v>
      </c>
      <c r="F95" s="210"/>
      <c r="G95" s="211"/>
      <c r="H95" s="212" t="s">
        <v>167</v>
      </c>
      <c r="I95" s="213" t="s">
        <v>163</v>
      </c>
      <c r="K95" s="204"/>
      <c r="L95" s="204"/>
    </row>
    <row r="96">
      <c r="A96" s="205"/>
      <c r="D96" s="209" t="s">
        <v>175</v>
      </c>
      <c r="E96" s="209">
        <v>4.0</v>
      </c>
      <c r="F96" s="211"/>
      <c r="G96" s="211"/>
      <c r="H96" s="212" t="s">
        <v>289</v>
      </c>
      <c r="I96" s="213" t="s">
        <v>176</v>
      </c>
      <c r="K96" s="204"/>
      <c r="L96" s="204"/>
    </row>
    <row r="97">
      <c r="A97" s="217"/>
      <c r="B97" s="218"/>
      <c r="C97" s="218"/>
      <c r="D97" s="219" t="s">
        <v>131</v>
      </c>
      <c r="E97" s="219">
        <v>1.0</v>
      </c>
      <c r="F97" s="263"/>
      <c r="G97" s="264"/>
      <c r="H97" s="222" t="s">
        <v>132</v>
      </c>
      <c r="I97" s="223" t="s">
        <v>105</v>
      </c>
      <c r="K97" s="204"/>
      <c r="L97" s="204"/>
    </row>
    <row r="98">
      <c r="A98" s="236" t="s">
        <v>336</v>
      </c>
      <c r="B98" s="315" t="s">
        <v>337</v>
      </c>
      <c r="C98" s="267">
        <f>sum(E98:E103)</f>
        <v>11</v>
      </c>
      <c r="D98" s="238" t="s">
        <v>64</v>
      </c>
      <c r="E98" s="238">
        <v>3.0</v>
      </c>
      <c r="F98" s="239"/>
      <c r="G98" s="240"/>
      <c r="H98" s="241" t="s">
        <v>283</v>
      </c>
      <c r="I98" s="242" t="s">
        <v>65</v>
      </c>
      <c r="K98" s="204"/>
      <c r="L98" s="204"/>
    </row>
    <row r="99">
      <c r="A99" s="205"/>
      <c r="D99" s="206" t="s">
        <v>179</v>
      </c>
      <c r="E99" s="206">
        <v>3.0</v>
      </c>
      <c r="F99" s="130"/>
      <c r="G99" s="131"/>
      <c r="H99" s="207" t="s">
        <v>180</v>
      </c>
      <c r="I99" s="208" t="s">
        <v>176</v>
      </c>
      <c r="K99" s="204"/>
      <c r="L99" s="204"/>
    </row>
    <row r="100">
      <c r="A100" s="205"/>
      <c r="D100" s="209" t="s">
        <v>189</v>
      </c>
      <c r="E100" s="209">
        <v>1.0</v>
      </c>
      <c r="F100" s="210"/>
      <c r="G100" s="211"/>
      <c r="H100" s="212" t="s">
        <v>190</v>
      </c>
      <c r="I100" s="235" t="s">
        <v>186</v>
      </c>
      <c r="K100" s="204"/>
      <c r="L100" s="204"/>
    </row>
    <row r="101">
      <c r="A101" s="205"/>
      <c r="D101" s="209" t="s">
        <v>120</v>
      </c>
      <c r="E101" s="209">
        <v>1.0</v>
      </c>
      <c r="F101" s="210"/>
      <c r="G101" s="211"/>
      <c r="H101" s="316" t="s">
        <v>121</v>
      </c>
      <c r="I101" s="235" t="s">
        <v>105</v>
      </c>
      <c r="K101" s="204"/>
      <c r="L101" s="204"/>
    </row>
    <row r="102">
      <c r="A102" s="205"/>
      <c r="D102" s="209" t="s">
        <v>338</v>
      </c>
      <c r="E102" s="209">
        <v>2.0</v>
      </c>
      <c r="F102" s="210"/>
      <c r="G102" s="211"/>
      <c r="H102" s="212" t="s">
        <v>331</v>
      </c>
      <c r="I102" s="213" t="s">
        <v>7</v>
      </c>
      <c r="K102" s="204"/>
      <c r="L102" s="204"/>
    </row>
    <row r="103">
      <c r="A103" s="217"/>
      <c r="B103" s="218"/>
      <c r="C103" s="218"/>
      <c r="D103" s="219" t="s">
        <v>117</v>
      </c>
      <c r="E103" s="219">
        <v>1.0</v>
      </c>
      <c r="F103" s="264"/>
      <c r="G103" s="264"/>
      <c r="H103" s="222" t="s">
        <v>322</v>
      </c>
      <c r="I103" s="223" t="s">
        <v>105</v>
      </c>
      <c r="K103" s="204"/>
      <c r="L103" s="204"/>
    </row>
    <row r="104">
      <c r="A104" s="195" t="s">
        <v>339</v>
      </c>
      <c r="B104" s="290" t="s">
        <v>340</v>
      </c>
      <c r="C104" s="267">
        <f>sum(E104:E109)</f>
        <v>11</v>
      </c>
      <c r="D104" s="238" t="s">
        <v>22</v>
      </c>
      <c r="E104" s="238">
        <v>2.0</v>
      </c>
      <c r="F104" s="317"/>
      <c r="G104" s="318"/>
      <c r="H104" s="241" t="s">
        <v>307</v>
      </c>
      <c r="I104" s="242" t="s">
        <v>23</v>
      </c>
      <c r="K104" s="204"/>
      <c r="L104" s="204"/>
    </row>
    <row r="105">
      <c r="A105" s="205"/>
      <c r="D105" s="283" t="s">
        <v>39</v>
      </c>
      <c r="E105" s="283">
        <v>1.0</v>
      </c>
      <c r="F105" s="30"/>
      <c r="G105" s="32"/>
      <c r="H105" s="284" t="s">
        <v>40</v>
      </c>
      <c r="I105" s="285" t="s">
        <v>30</v>
      </c>
      <c r="K105" s="204"/>
      <c r="L105" s="204"/>
    </row>
    <row r="106">
      <c r="A106" s="205"/>
      <c r="D106" s="209" t="s">
        <v>162</v>
      </c>
      <c r="E106" s="209">
        <v>2.0</v>
      </c>
      <c r="F106" s="243"/>
      <c r="G106" s="216"/>
      <c r="H106" s="212" t="s">
        <v>164</v>
      </c>
      <c r="I106" s="213" t="s">
        <v>163</v>
      </c>
      <c r="K106" s="204"/>
      <c r="L106" s="204"/>
    </row>
    <row r="107">
      <c r="A107" s="205"/>
      <c r="D107" s="209" t="s">
        <v>49</v>
      </c>
      <c r="E107" s="209">
        <v>2.0</v>
      </c>
      <c r="F107" s="210"/>
      <c r="G107" s="211"/>
      <c r="H107" s="212" t="s">
        <v>50</v>
      </c>
      <c r="I107" s="213" t="s">
        <v>43</v>
      </c>
      <c r="K107" s="204"/>
      <c r="L107" s="204"/>
    </row>
    <row r="108">
      <c r="A108" s="205"/>
      <c r="D108" s="209" t="s">
        <v>162</v>
      </c>
      <c r="E108" s="209">
        <v>2.0</v>
      </c>
      <c r="F108" s="243"/>
      <c r="G108" s="211"/>
      <c r="H108" s="212" t="s">
        <v>164</v>
      </c>
      <c r="I108" s="213" t="s">
        <v>163</v>
      </c>
      <c r="K108" s="204"/>
      <c r="L108" s="204"/>
    </row>
    <row r="109">
      <c r="A109" s="217"/>
      <c r="B109" s="218"/>
      <c r="C109" s="218"/>
      <c r="D109" s="252" t="s">
        <v>97</v>
      </c>
      <c r="E109" s="252">
        <v>2.0</v>
      </c>
      <c r="F109" s="319"/>
      <c r="G109" s="319"/>
      <c r="H109" s="320" t="s">
        <v>99</v>
      </c>
      <c r="I109" s="223" t="s">
        <v>98</v>
      </c>
      <c r="K109" s="204"/>
      <c r="L109" s="204"/>
    </row>
    <row r="110">
      <c r="A110" s="195" t="s">
        <v>341</v>
      </c>
      <c r="B110" s="237" t="s">
        <v>342</v>
      </c>
      <c r="C110" s="267">
        <f>sum(E110:E113)</f>
        <v>11</v>
      </c>
      <c r="D110" s="238" t="s">
        <v>162</v>
      </c>
      <c r="E110" s="238">
        <v>2.0</v>
      </c>
      <c r="F110" s="321"/>
      <c r="G110" s="255"/>
      <c r="H110" s="241" t="s">
        <v>164</v>
      </c>
      <c r="I110" s="242" t="s">
        <v>163</v>
      </c>
      <c r="K110" s="204"/>
      <c r="L110" s="204"/>
    </row>
    <row r="111">
      <c r="A111" s="205"/>
      <c r="D111" s="209" t="s">
        <v>343</v>
      </c>
      <c r="E111" s="209">
        <v>3.0</v>
      </c>
      <c r="F111" s="227"/>
      <c r="G111" s="227"/>
      <c r="H111" s="212" t="s">
        <v>344</v>
      </c>
      <c r="I111" s="213" t="s">
        <v>105</v>
      </c>
      <c r="K111" s="204"/>
      <c r="L111" s="204"/>
    </row>
    <row r="112">
      <c r="A112" s="205"/>
      <c r="D112" s="209" t="s">
        <v>143</v>
      </c>
      <c r="E112" s="209">
        <v>5.0</v>
      </c>
      <c r="F112" s="227"/>
      <c r="G112" s="227"/>
      <c r="H112" s="212" t="s">
        <v>145</v>
      </c>
      <c r="I112" s="228" t="s">
        <v>144</v>
      </c>
      <c r="K112" s="204"/>
      <c r="L112" s="204"/>
    </row>
    <row r="113">
      <c r="A113" s="217"/>
      <c r="B113" s="218"/>
      <c r="C113" s="218"/>
      <c r="D113" s="219" t="s">
        <v>284</v>
      </c>
      <c r="E113" s="219">
        <v>1.0</v>
      </c>
      <c r="F113" s="220"/>
      <c r="G113" s="221"/>
      <c r="H113" s="222" t="s">
        <v>115</v>
      </c>
      <c r="I113" s="223" t="s">
        <v>105</v>
      </c>
      <c r="K113" s="204"/>
      <c r="L113" s="204"/>
    </row>
    <row r="114">
      <c r="A114" s="322" t="s">
        <v>345</v>
      </c>
      <c r="B114" s="323" t="s">
        <v>346</v>
      </c>
      <c r="C114" s="267">
        <f>sum(E114:AC120)</f>
        <v>11</v>
      </c>
      <c r="D114" s="238" t="s">
        <v>159</v>
      </c>
      <c r="E114" s="238">
        <v>1.0</v>
      </c>
      <c r="F114" s="280"/>
      <c r="G114" s="280"/>
      <c r="H114" s="241" t="s">
        <v>160</v>
      </c>
      <c r="I114" s="324" t="s">
        <v>144</v>
      </c>
      <c r="K114" s="204"/>
      <c r="L114" s="204"/>
    </row>
    <row r="115">
      <c r="A115" s="205"/>
      <c r="D115" s="248" t="s">
        <v>70</v>
      </c>
      <c r="E115" s="248">
        <v>2.0</v>
      </c>
      <c r="F115" s="53"/>
      <c r="G115" s="55"/>
      <c r="H115" s="249" t="s">
        <v>71</v>
      </c>
      <c r="I115" s="250" t="s">
        <v>65</v>
      </c>
      <c r="K115" s="204"/>
      <c r="L115" s="204"/>
    </row>
    <row r="116">
      <c r="A116" s="205"/>
      <c r="D116" s="271" t="s">
        <v>101</v>
      </c>
      <c r="E116" s="271">
        <v>2.0</v>
      </c>
      <c r="F116" s="272"/>
      <c r="G116" s="273"/>
      <c r="H116" s="274" t="s">
        <v>102</v>
      </c>
      <c r="I116" s="275" t="s">
        <v>98</v>
      </c>
      <c r="K116" s="204"/>
      <c r="L116" s="204"/>
    </row>
    <row r="117">
      <c r="A117" s="205"/>
      <c r="D117" s="209" t="s">
        <v>185</v>
      </c>
      <c r="E117" s="325">
        <v>1.0</v>
      </c>
      <c r="F117" s="3"/>
      <c r="G117" s="326"/>
      <c r="H117" s="327" t="s">
        <v>187</v>
      </c>
      <c r="I117" s="235" t="s">
        <v>186</v>
      </c>
      <c r="K117" s="204"/>
      <c r="L117" s="204"/>
    </row>
    <row r="118">
      <c r="A118" s="205"/>
      <c r="D118" s="328" t="s">
        <v>52</v>
      </c>
      <c r="E118" s="328">
        <v>2.0</v>
      </c>
      <c r="F118" s="329"/>
      <c r="G118" s="330"/>
      <c r="H118" s="331" t="s">
        <v>53</v>
      </c>
      <c r="I118" s="332" t="s">
        <v>43</v>
      </c>
      <c r="K118" s="204"/>
      <c r="L118" s="204"/>
    </row>
    <row r="119">
      <c r="A119" s="205"/>
      <c r="D119" s="333" t="s">
        <v>284</v>
      </c>
      <c r="E119" s="333">
        <v>1.0</v>
      </c>
      <c r="F119" s="334"/>
      <c r="G119" s="335"/>
      <c r="H119" s="336" t="s">
        <v>115</v>
      </c>
      <c r="I119" s="337" t="s">
        <v>105</v>
      </c>
      <c r="K119" s="204"/>
      <c r="L119" s="204"/>
    </row>
    <row r="120">
      <c r="A120" s="217"/>
      <c r="B120" s="218"/>
      <c r="C120" s="218"/>
      <c r="D120" s="219" t="s">
        <v>166</v>
      </c>
      <c r="E120" s="219">
        <v>2.0</v>
      </c>
      <c r="F120" s="252"/>
      <c r="G120" s="252"/>
      <c r="H120" s="222" t="s">
        <v>167</v>
      </c>
      <c r="I120" s="223" t="s">
        <v>163</v>
      </c>
      <c r="K120" s="204"/>
      <c r="L120" s="204"/>
    </row>
    <row r="121">
      <c r="A121" s="195" t="s">
        <v>347</v>
      </c>
      <c r="B121" s="277" t="s">
        <v>272</v>
      </c>
      <c r="C121" s="197">
        <f>sum(E121:E125)</f>
        <v>10</v>
      </c>
      <c r="D121" s="209" t="s">
        <v>19</v>
      </c>
      <c r="E121" s="209">
        <v>2.0</v>
      </c>
      <c r="F121" s="210"/>
      <c r="G121" s="211"/>
      <c r="H121" s="212" t="s">
        <v>20</v>
      </c>
      <c r="I121" s="213" t="s">
        <v>7</v>
      </c>
      <c r="K121" s="204"/>
      <c r="L121" s="204"/>
    </row>
    <row r="122">
      <c r="A122" s="205"/>
      <c r="D122" s="209" t="s">
        <v>64</v>
      </c>
      <c r="E122" s="209">
        <v>3.0</v>
      </c>
      <c r="F122" s="210"/>
      <c r="G122" s="210"/>
      <c r="H122" s="212" t="s">
        <v>283</v>
      </c>
      <c r="I122" s="213" t="s">
        <v>65</v>
      </c>
      <c r="K122" s="204"/>
      <c r="L122" s="204"/>
    </row>
    <row r="123">
      <c r="A123" s="205"/>
      <c r="D123" s="209" t="s">
        <v>49</v>
      </c>
      <c r="E123" s="209">
        <v>2.0</v>
      </c>
      <c r="F123" s="210"/>
      <c r="G123" s="211"/>
      <c r="H123" s="212" t="s">
        <v>50</v>
      </c>
      <c r="I123" s="213" t="s">
        <v>43</v>
      </c>
      <c r="K123" s="204"/>
      <c r="L123" s="204"/>
    </row>
    <row r="124">
      <c r="A124" s="205"/>
      <c r="D124" s="209" t="s">
        <v>58</v>
      </c>
      <c r="E124" s="209">
        <v>1.0</v>
      </c>
      <c r="F124" s="209"/>
      <c r="G124" s="209"/>
      <c r="H124" s="212" t="s">
        <v>59</v>
      </c>
      <c r="I124" s="213" t="s">
        <v>43</v>
      </c>
      <c r="K124" s="204"/>
      <c r="L124" s="204"/>
    </row>
    <row r="125">
      <c r="A125" s="217"/>
      <c r="B125" s="218"/>
      <c r="C125" s="218"/>
      <c r="D125" s="209" t="s">
        <v>11</v>
      </c>
      <c r="E125" s="209">
        <v>2.0</v>
      </c>
      <c r="F125" s="310"/>
      <c r="G125" s="310"/>
      <c r="H125" s="212" t="s">
        <v>348</v>
      </c>
      <c r="I125" s="213" t="s">
        <v>7</v>
      </c>
      <c r="K125" s="204"/>
      <c r="L125" s="204"/>
    </row>
    <row r="126">
      <c r="A126" s="338" t="s">
        <v>349</v>
      </c>
      <c r="B126" s="339" t="s">
        <v>350</v>
      </c>
      <c r="C126" s="197">
        <f>sum(E126:E131)</f>
        <v>10</v>
      </c>
      <c r="D126" s="238" t="s">
        <v>79</v>
      </c>
      <c r="E126" s="238">
        <v>2.0</v>
      </c>
      <c r="F126" s="255"/>
      <c r="G126" s="255"/>
      <c r="H126" s="241" t="s">
        <v>80</v>
      </c>
      <c r="I126" s="242" t="s">
        <v>65</v>
      </c>
      <c r="J126" s="4"/>
      <c r="K126" s="204"/>
      <c r="L126" s="204"/>
    </row>
    <row r="127">
      <c r="A127" s="205"/>
      <c r="D127" s="209" t="s">
        <v>55</v>
      </c>
      <c r="E127" s="209">
        <v>1.0</v>
      </c>
      <c r="F127" s="210"/>
      <c r="G127" s="211"/>
      <c r="H127" s="212" t="s">
        <v>56</v>
      </c>
      <c r="I127" s="213" t="s">
        <v>43</v>
      </c>
      <c r="K127" s="204"/>
      <c r="L127" s="204"/>
    </row>
    <row r="128">
      <c r="A128" s="205"/>
      <c r="D128" s="227" t="s">
        <v>156</v>
      </c>
      <c r="E128" s="227">
        <v>2.0</v>
      </c>
      <c r="F128" s="233"/>
      <c r="G128" s="233"/>
      <c r="H128" s="234" t="s">
        <v>157</v>
      </c>
      <c r="I128" s="228" t="s">
        <v>144</v>
      </c>
      <c r="K128" s="204"/>
      <c r="L128" s="204"/>
    </row>
    <row r="129">
      <c r="A129" s="205"/>
      <c r="D129" s="209" t="s">
        <v>162</v>
      </c>
      <c r="E129" s="209">
        <v>2.0</v>
      </c>
      <c r="F129" s="243"/>
      <c r="G129" s="211"/>
      <c r="H129" s="212" t="s">
        <v>164</v>
      </c>
      <c r="I129" s="213" t="s">
        <v>163</v>
      </c>
      <c r="K129" s="204"/>
      <c r="L129" s="204"/>
    </row>
    <row r="130">
      <c r="A130" s="205"/>
      <c r="D130" s="301" t="s">
        <v>129</v>
      </c>
      <c r="E130" s="301">
        <v>1.0</v>
      </c>
      <c r="F130" s="80"/>
      <c r="G130" s="81"/>
      <c r="H130" s="302" t="s">
        <v>130</v>
      </c>
      <c r="I130" s="303" t="s">
        <v>105</v>
      </c>
      <c r="K130" s="204"/>
      <c r="L130" s="204"/>
    </row>
    <row r="131">
      <c r="A131" s="217"/>
      <c r="B131" s="218"/>
      <c r="C131" s="218"/>
      <c r="D131" s="219" t="s">
        <v>17</v>
      </c>
      <c r="E131" s="219">
        <v>2.0</v>
      </c>
      <c r="F131" s="263"/>
      <c r="G131" s="264"/>
      <c r="H131" s="340" t="s">
        <v>321</v>
      </c>
      <c r="I131" s="223" t="s">
        <v>7</v>
      </c>
      <c r="K131" s="204"/>
      <c r="L131" s="204"/>
    </row>
    <row r="132">
      <c r="A132" s="236" t="s">
        <v>351</v>
      </c>
      <c r="B132" s="237" t="s">
        <v>352</v>
      </c>
      <c r="C132" s="197">
        <f>sum(E132:E136)</f>
        <v>10</v>
      </c>
      <c r="D132" s="238" t="s">
        <v>55</v>
      </c>
      <c r="E132" s="238">
        <v>1.0</v>
      </c>
      <c r="F132" s="278"/>
      <c r="G132" s="255"/>
      <c r="H132" s="241" t="s">
        <v>56</v>
      </c>
      <c r="I132" s="242" t="s">
        <v>43</v>
      </c>
      <c r="K132" s="204"/>
      <c r="L132" s="204"/>
    </row>
    <row r="133">
      <c r="A133" s="205"/>
      <c r="D133" s="227" t="s">
        <v>97</v>
      </c>
      <c r="E133" s="227">
        <v>2.0</v>
      </c>
      <c r="F133" s="233"/>
      <c r="G133" s="233"/>
      <c r="H133" s="234" t="s">
        <v>99</v>
      </c>
      <c r="I133" s="213" t="s">
        <v>98</v>
      </c>
      <c r="K133" s="204"/>
      <c r="L133" s="204"/>
    </row>
    <row r="134">
      <c r="A134" s="205"/>
      <c r="D134" s="209" t="s">
        <v>143</v>
      </c>
      <c r="E134" s="209">
        <v>5.0</v>
      </c>
      <c r="F134" s="227"/>
      <c r="G134" s="227"/>
      <c r="H134" s="212" t="s">
        <v>145</v>
      </c>
      <c r="I134" s="228" t="s">
        <v>144</v>
      </c>
      <c r="K134" s="204"/>
      <c r="L134" s="204"/>
    </row>
    <row r="135">
      <c r="A135" s="205"/>
      <c r="D135" s="301" t="s">
        <v>129</v>
      </c>
      <c r="E135" s="301">
        <v>1.0</v>
      </c>
      <c r="F135" s="80"/>
      <c r="G135" s="81"/>
      <c r="H135" s="302" t="s">
        <v>130</v>
      </c>
      <c r="I135" s="303" t="s">
        <v>105</v>
      </c>
      <c r="K135" s="204"/>
      <c r="L135" s="204"/>
    </row>
    <row r="136">
      <c r="A136" s="217"/>
      <c r="B136" s="218"/>
      <c r="C136" s="218"/>
      <c r="D136" s="219" t="s">
        <v>117</v>
      </c>
      <c r="E136" s="219">
        <v>1.0</v>
      </c>
      <c r="F136" s="264"/>
      <c r="G136" s="264"/>
      <c r="H136" s="222" t="s">
        <v>322</v>
      </c>
      <c r="I136" s="223" t="s">
        <v>105</v>
      </c>
      <c r="K136" s="204"/>
      <c r="L136" s="204"/>
    </row>
    <row r="137">
      <c r="A137" s="236" t="s">
        <v>353</v>
      </c>
      <c r="B137" s="237" t="s">
        <v>354</v>
      </c>
      <c r="C137" s="197">
        <f>sum(E137:E143)</f>
        <v>10</v>
      </c>
      <c r="D137" s="238" t="s">
        <v>58</v>
      </c>
      <c r="E137" s="238">
        <v>1.0</v>
      </c>
      <c r="F137" s="238"/>
      <c r="G137" s="238"/>
      <c r="H137" s="241" t="s">
        <v>59</v>
      </c>
      <c r="I137" s="242" t="s">
        <v>43</v>
      </c>
      <c r="K137" s="204"/>
      <c r="L137" s="204"/>
    </row>
    <row r="138">
      <c r="A138" s="205"/>
      <c r="D138" s="209" t="s">
        <v>355</v>
      </c>
      <c r="E138" s="209">
        <v>3.0</v>
      </c>
      <c r="F138" s="215"/>
      <c r="G138" s="216"/>
      <c r="H138" s="212" t="s">
        <v>283</v>
      </c>
      <c r="I138" s="213" t="s">
        <v>65</v>
      </c>
      <c r="K138" s="204"/>
      <c r="L138" s="204"/>
    </row>
    <row r="139">
      <c r="A139" s="205"/>
      <c r="D139" s="227" t="s">
        <v>97</v>
      </c>
      <c r="E139" s="227">
        <v>2.0</v>
      </c>
      <c r="F139" s="233"/>
      <c r="G139" s="233"/>
      <c r="H139" s="234" t="s">
        <v>99</v>
      </c>
      <c r="I139" s="213" t="s">
        <v>98</v>
      </c>
      <c r="K139" s="204"/>
      <c r="L139" s="204"/>
    </row>
    <row r="140">
      <c r="A140" s="205"/>
      <c r="D140" s="209" t="s">
        <v>356</v>
      </c>
      <c r="E140" s="209">
        <v>0.0</v>
      </c>
      <c r="F140" s="210"/>
      <c r="G140" s="211"/>
      <c r="H140" s="341" t="s">
        <v>357</v>
      </c>
      <c r="I140" s="228" t="s">
        <v>144</v>
      </c>
      <c r="K140" s="204"/>
      <c r="L140" s="204"/>
    </row>
    <row r="141">
      <c r="A141" s="205"/>
      <c r="D141" s="206" t="s">
        <v>182</v>
      </c>
      <c r="E141" s="206">
        <v>2.0</v>
      </c>
      <c r="F141" s="130"/>
      <c r="G141" s="131"/>
      <c r="H141" s="207" t="s">
        <v>183</v>
      </c>
      <c r="I141" s="208" t="s">
        <v>176</v>
      </c>
      <c r="K141" s="204"/>
      <c r="L141" s="204"/>
    </row>
    <row r="142">
      <c r="A142" s="205"/>
      <c r="D142" s="209" t="s">
        <v>358</v>
      </c>
      <c r="E142" s="209">
        <v>0.0</v>
      </c>
      <c r="F142" s="210"/>
      <c r="G142" s="211"/>
      <c r="H142" s="212" t="s">
        <v>359</v>
      </c>
      <c r="I142" s="213" t="s">
        <v>105</v>
      </c>
      <c r="K142" s="204"/>
      <c r="L142" s="204"/>
    </row>
    <row r="143">
      <c r="A143" s="217"/>
      <c r="B143" s="218"/>
      <c r="C143" s="218"/>
      <c r="D143" s="219" t="s">
        <v>11</v>
      </c>
      <c r="E143" s="219">
        <v>2.0</v>
      </c>
      <c r="F143" s="258"/>
      <c r="G143" s="258"/>
      <c r="H143" s="222" t="s">
        <v>348</v>
      </c>
      <c r="I143" s="223" t="s">
        <v>7</v>
      </c>
      <c r="K143" s="204"/>
      <c r="L143" s="204"/>
    </row>
    <row r="144">
      <c r="A144" s="254" t="s">
        <v>360</v>
      </c>
      <c r="B144" s="237" t="s">
        <v>361</v>
      </c>
      <c r="C144" s="197">
        <f>sum(E144:E148)</f>
        <v>10</v>
      </c>
      <c r="D144" s="238" t="s">
        <v>64</v>
      </c>
      <c r="E144" s="238">
        <v>3.0</v>
      </c>
      <c r="F144" s="239"/>
      <c r="G144" s="240"/>
      <c r="H144" s="241" t="s">
        <v>283</v>
      </c>
      <c r="I144" s="242" t="s">
        <v>65</v>
      </c>
      <c r="K144" s="204"/>
      <c r="L144" s="204"/>
    </row>
    <row r="145">
      <c r="A145" s="205"/>
      <c r="D145" s="227" t="s">
        <v>97</v>
      </c>
      <c r="E145" s="227">
        <v>2.0</v>
      </c>
      <c r="F145" s="233"/>
      <c r="G145" s="233"/>
      <c r="H145" s="234" t="s">
        <v>99</v>
      </c>
      <c r="I145" s="213" t="s">
        <v>98</v>
      </c>
      <c r="K145" s="204"/>
      <c r="L145" s="204"/>
    </row>
    <row r="146">
      <c r="A146" s="205"/>
      <c r="D146" s="206" t="s">
        <v>179</v>
      </c>
      <c r="E146" s="206">
        <v>3.0</v>
      </c>
      <c r="F146" s="130"/>
      <c r="G146" s="131"/>
      <c r="H146" s="207" t="s">
        <v>180</v>
      </c>
      <c r="I146" s="208" t="s">
        <v>176</v>
      </c>
      <c r="K146" s="204"/>
      <c r="L146" s="204"/>
    </row>
    <row r="147">
      <c r="A147" s="205"/>
      <c r="D147" s="209" t="s">
        <v>185</v>
      </c>
      <c r="E147" s="325">
        <v>1.0</v>
      </c>
      <c r="F147" s="3"/>
      <c r="G147" s="326"/>
      <c r="H147" s="327" t="s">
        <v>187</v>
      </c>
      <c r="I147" s="235" t="s">
        <v>186</v>
      </c>
      <c r="K147" s="204"/>
      <c r="L147" s="204"/>
    </row>
    <row r="148">
      <c r="A148" s="217"/>
      <c r="B148" s="218"/>
      <c r="C148" s="218"/>
      <c r="D148" s="252" t="s">
        <v>120</v>
      </c>
      <c r="E148" s="252">
        <v>1.0</v>
      </c>
      <c r="F148" s="342"/>
      <c r="G148" s="319"/>
      <c r="H148" s="320" t="s">
        <v>121</v>
      </c>
      <c r="I148" s="343" t="s">
        <v>105</v>
      </c>
      <c r="K148" s="204"/>
      <c r="L148" s="204"/>
    </row>
    <row r="149">
      <c r="A149" s="236" t="s">
        <v>362</v>
      </c>
      <c r="B149" s="237" t="s">
        <v>363</v>
      </c>
      <c r="C149" s="197">
        <f>sum(E149:E154)</f>
        <v>10</v>
      </c>
      <c r="D149" s="238" t="s">
        <v>330</v>
      </c>
      <c r="E149" s="238">
        <v>2.0</v>
      </c>
      <c r="F149" s="278"/>
      <c r="G149" s="255"/>
      <c r="H149" s="241" t="s">
        <v>331</v>
      </c>
      <c r="I149" s="242" t="s">
        <v>7</v>
      </c>
      <c r="K149" s="204"/>
      <c r="L149" s="204"/>
    </row>
    <row r="150">
      <c r="A150" s="205"/>
      <c r="D150" s="244" t="s">
        <v>189</v>
      </c>
      <c r="E150" s="244">
        <v>1.0</v>
      </c>
      <c r="F150" s="11"/>
      <c r="G150" s="245"/>
      <c r="H150" s="246" t="s">
        <v>190</v>
      </c>
      <c r="I150" s="247" t="s">
        <v>186</v>
      </c>
      <c r="K150" s="204"/>
      <c r="L150" s="204"/>
    </row>
    <row r="151">
      <c r="A151" s="205"/>
      <c r="D151" s="248" t="s">
        <v>73</v>
      </c>
      <c r="E151" s="248">
        <v>2.0</v>
      </c>
      <c r="F151" s="53"/>
      <c r="G151" s="55"/>
      <c r="H151" s="249" t="s">
        <v>74</v>
      </c>
      <c r="I151" s="344" t="s">
        <v>65</v>
      </c>
      <c r="J151" s="4"/>
      <c r="K151" s="204"/>
      <c r="L151" s="204"/>
    </row>
    <row r="152">
      <c r="A152" s="205"/>
      <c r="D152" s="301" t="s">
        <v>129</v>
      </c>
      <c r="E152" s="301">
        <v>1.0</v>
      </c>
      <c r="F152" s="80"/>
      <c r="G152" s="81"/>
      <c r="H152" s="302" t="s">
        <v>130</v>
      </c>
      <c r="I152" s="303" t="s">
        <v>105</v>
      </c>
      <c r="K152" s="204"/>
      <c r="L152" s="204"/>
    </row>
    <row r="153">
      <c r="A153" s="205"/>
      <c r="D153" s="209" t="s">
        <v>134</v>
      </c>
      <c r="E153" s="209">
        <v>1.0</v>
      </c>
      <c r="F153" s="210"/>
      <c r="G153" s="211"/>
      <c r="H153" s="212" t="s">
        <v>135</v>
      </c>
      <c r="I153" s="213" t="s">
        <v>105</v>
      </c>
      <c r="K153" s="204"/>
      <c r="L153" s="204"/>
    </row>
    <row r="154">
      <c r="A154" s="217"/>
      <c r="B154" s="218"/>
      <c r="C154" s="218"/>
      <c r="D154" s="219" t="s">
        <v>364</v>
      </c>
      <c r="E154" s="219">
        <v>3.0</v>
      </c>
      <c r="F154" s="263"/>
      <c r="G154" s="264"/>
      <c r="H154" s="222" t="s">
        <v>365</v>
      </c>
      <c r="I154" s="343" t="s">
        <v>144</v>
      </c>
      <c r="K154" s="204"/>
      <c r="L154" s="204"/>
    </row>
    <row r="155" ht="24.75" customHeight="1">
      <c r="A155" s="236" t="s">
        <v>366</v>
      </c>
      <c r="B155" s="237" t="s">
        <v>367</v>
      </c>
      <c r="C155" s="197">
        <f>sum(E155:E159)</f>
        <v>10</v>
      </c>
      <c r="D155" s="238" t="s">
        <v>58</v>
      </c>
      <c r="E155" s="238">
        <v>1.0</v>
      </c>
      <c r="F155" s="345" t="s">
        <v>368</v>
      </c>
      <c r="G155" s="346" t="s">
        <v>369</v>
      </c>
      <c r="H155" s="241" t="s">
        <v>59</v>
      </c>
      <c r="I155" s="213" t="s">
        <v>43</v>
      </c>
      <c r="K155" s="204"/>
      <c r="L155" s="204"/>
    </row>
    <row r="156">
      <c r="A156" s="205"/>
      <c r="D156" s="209" t="s">
        <v>126</v>
      </c>
      <c r="E156" s="209">
        <v>1.0</v>
      </c>
      <c r="F156" s="347" t="s">
        <v>368</v>
      </c>
      <c r="G156" s="348" t="s">
        <v>369</v>
      </c>
      <c r="H156" s="212" t="s">
        <v>127</v>
      </c>
      <c r="I156" s="213" t="s">
        <v>105</v>
      </c>
      <c r="J156" s="3" t="s">
        <v>370</v>
      </c>
      <c r="K156" s="204"/>
      <c r="L156" s="204"/>
    </row>
    <row r="157">
      <c r="A157" s="205"/>
      <c r="D157" s="209" t="s">
        <v>162</v>
      </c>
      <c r="E157" s="209">
        <v>2.0</v>
      </c>
      <c r="F157" s="349" t="s">
        <v>371</v>
      </c>
      <c r="G157" s="348" t="s">
        <v>372</v>
      </c>
      <c r="H157" s="212" t="s">
        <v>164</v>
      </c>
      <c r="I157" s="213" t="s">
        <v>163</v>
      </c>
      <c r="K157" s="204"/>
      <c r="L157" s="204"/>
    </row>
    <row r="158">
      <c r="A158" s="205"/>
      <c r="D158" s="209" t="s">
        <v>373</v>
      </c>
      <c r="E158" s="209">
        <v>4.0</v>
      </c>
      <c r="F158" s="350" t="s">
        <v>374</v>
      </c>
      <c r="G158" s="348" t="s">
        <v>375</v>
      </c>
      <c r="H158" s="212" t="s">
        <v>376</v>
      </c>
      <c r="I158" s="228" t="s">
        <v>144</v>
      </c>
      <c r="K158" s="204"/>
      <c r="L158" s="204"/>
    </row>
    <row r="159">
      <c r="A159" s="217"/>
      <c r="B159" s="218"/>
      <c r="C159" s="218"/>
      <c r="D159" s="219" t="s">
        <v>22</v>
      </c>
      <c r="E159" s="219">
        <v>2.0</v>
      </c>
      <c r="F159" s="351" t="s">
        <v>377</v>
      </c>
      <c r="G159" s="352" t="s">
        <v>369</v>
      </c>
      <c r="H159" s="222" t="s">
        <v>307</v>
      </c>
      <c r="I159" s="213" t="s">
        <v>23</v>
      </c>
      <c r="K159" s="204"/>
      <c r="L159" s="204"/>
    </row>
    <row r="160">
      <c r="A160" s="236" t="s">
        <v>378</v>
      </c>
      <c r="B160" s="237" t="s">
        <v>379</v>
      </c>
      <c r="C160" s="197">
        <f>sum(E160:E165)</f>
        <v>10</v>
      </c>
      <c r="D160" s="238" t="s">
        <v>22</v>
      </c>
      <c r="E160" s="238">
        <v>2.0</v>
      </c>
      <c r="F160" s="317"/>
      <c r="G160" s="318"/>
      <c r="H160" s="241" t="s">
        <v>307</v>
      </c>
      <c r="I160" s="242" t="s">
        <v>23</v>
      </c>
      <c r="K160" s="204"/>
      <c r="L160" s="204"/>
    </row>
    <row r="161">
      <c r="A161" s="205"/>
      <c r="D161" s="227" t="s">
        <v>97</v>
      </c>
      <c r="E161" s="227">
        <v>2.0</v>
      </c>
      <c r="F161" s="233"/>
      <c r="G161" s="233"/>
      <c r="H161" s="234" t="s">
        <v>99</v>
      </c>
      <c r="I161" s="213" t="s">
        <v>98</v>
      </c>
      <c r="K161" s="204"/>
      <c r="L161" s="204"/>
    </row>
    <row r="162">
      <c r="A162" s="205"/>
      <c r="D162" s="209" t="s">
        <v>159</v>
      </c>
      <c r="E162" s="209">
        <v>1.0</v>
      </c>
      <c r="F162" s="227"/>
      <c r="G162" s="227"/>
      <c r="H162" s="212" t="s">
        <v>160</v>
      </c>
      <c r="I162" s="228" t="s">
        <v>144</v>
      </c>
      <c r="K162" s="204"/>
      <c r="L162" s="204"/>
    </row>
    <row r="163">
      <c r="A163" s="205"/>
      <c r="D163" s="209" t="s">
        <v>162</v>
      </c>
      <c r="E163" s="209">
        <v>2.0</v>
      </c>
      <c r="F163" s="243"/>
      <c r="G163" s="211"/>
      <c r="H163" s="212" t="s">
        <v>164</v>
      </c>
      <c r="I163" s="213" t="s">
        <v>163</v>
      </c>
      <c r="K163" s="204"/>
      <c r="L163" s="204"/>
    </row>
    <row r="164">
      <c r="A164" s="205"/>
      <c r="D164" s="209" t="s">
        <v>134</v>
      </c>
      <c r="E164" s="209">
        <v>1.0</v>
      </c>
      <c r="F164" s="210"/>
      <c r="G164" s="211"/>
      <c r="H164" s="212" t="s">
        <v>135</v>
      </c>
      <c r="I164" s="213" t="s">
        <v>105</v>
      </c>
      <c r="K164" s="204"/>
      <c r="L164" s="204"/>
    </row>
    <row r="165">
      <c r="A165" s="217"/>
      <c r="B165" s="218"/>
      <c r="C165" s="218"/>
      <c r="D165" s="219" t="s">
        <v>380</v>
      </c>
      <c r="E165" s="219">
        <v>2.0</v>
      </c>
      <c r="F165" s="263"/>
      <c r="G165" s="264"/>
      <c r="H165" s="222" t="s">
        <v>381</v>
      </c>
      <c r="I165" s="223" t="s">
        <v>105</v>
      </c>
      <c r="K165" s="204"/>
      <c r="L165" s="204"/>
    </row>
    <row r="166">
      <c r="A166" s="236" t="s">
        <v>382</v>
      </c>
      <c r="B166" s="237" t="s">
        <v>383</v>
      </c>
      <c r="C166" s="197">
        <f>sum(E166:E170)</f>
        <v>10</v>
      </c>
      <c r="D166" s="238" t="s">
        <v>131</v>
      </c>
      <c r="E166" s="238">
        <v>1.0</v>
      </c>
      <c r="F166" s="353"/>
      <c r="G166" s="353"/>
      <c r="H166" s="241" t="s">
        <v>132</v>
      </c>
      <c r="I166" s="242" t="s">
        <v>105</v>
      </c>
      <c r="K166" s="204"/>
      <c r="L166" s="204"/>
    </row>
    <row r="167">
      <c r="A167" s="205"/>
      <c r="D167" s="209" t="s">
        <v>140</v>
      </c>
      <c r="E167" s="209">
        <v>1.0</v>
      </c>
      <c r="F167" s="310"/>
      <c r="G167" s="310"/>
      <c r="H167" s="212" t="s">
        <v>141</v>
      </c>
      <c r="I167" s="213" t="s">
        <v>105</v>
      </c>
      <c r="K167" s="204"/>
      <c r="L167" s="204"/>
    </row>
    <row r="168">
      <c r="A168" s="205"/>
      <c r="D168" s="209" t="s">
        <v>104</v>
      </c>
      <c r="E168" s="209">
        <v>2.0</v>
      </c>
      <c r="F168" s="310"/>
      <c r="G168" s="310"/>
      <c r="H168" s="212" t="s">
        <v>106</v>
      </c>
      <c r="I168" s="213" t="s">
        <v>105</v>
      </c>
      <c r="K168" s="204"/>
      <c r="L168" s="204"/>
    </row>
    <row r="169">
      <c r="A169" s="205"/>
      <c r="D169" s="209" t="s">
        <v>64</v>
      </c>
      <c r="E169" s="209">
        <v>3.0</v>
      </c>
      <c r="F169" s="215"/>
      <c r="G169" s="216"/>
      <c r="H169" s="212" t="s">
        <v>283</v>
      </c>
      <c r="I169" s="213" t="s">
        <v>65</v>
      </c>
      <c r="K169" s="204"/>
      <c r="L169" s="204"/>
    </row>
    <row r="170">
      <c r="A170" s="217"/>
      <c r="B170" s="218"/>
      <c r="C170" s="218"/>
      <c r="D170" s="219" t="s">
        <v>147</v>
      </c>
      <c r="E170" s="219">
        <v>3.0</v>
      </c>
      <c r="F170" s="252"/>
      <c r="G170" s="252"/>
      <c r="H170" s="222" t="s">
        <v>145</v>
      </c>
      <c r="I170" s="253" t="s">
        <v>144</v>
      </c>
      <c r="K170" s="204"/>
      <c r="L170" s="204"/>
    </row>
    <row r="171">
      <c r="A171" s="236" t="s">
        <v>384</v>
      </c>
      <c r="B171" s="237" t="s">
        <v>385</v>
      </c>
      <c r="C171" s="197">
        <f>sum(E171:E174)</f>
        <v>10</v>
      </c>
      <c r="D171" s="280" t="s">
        <v>97</v>
      </c>
      <c r="E171" s="280">
        <v>2.0</v>
      </c>
      <c r="F171" s="281"/>
      <c r="G171" s="281"/>
      <c r="H171" s="282" t="s">
        <v>99</v>
      </c>
      <c r="I171" s="242" t="s">
        <v>98</v>
      </c>
      <c r="K171" s="204"/>
      <c r="L171" s="204"/>
    </row>
    <row r="172">
      <c r="A172" s="205"/>
      <c r="D172" s="209" t="s">
        <v>147</v>
      </c>
      <c r="E172" s="209">
        <v>3.0</v>
      </c>
      <c r="F172" s="227"/>
      <c r="G172" s="227"/>
      <c r="H172" s="212" t="s">
        <v>145</v>
      </c>
      <c r="I172" s="228" t="s">
        <v>144</v>
      </c>
      <c r="K172" s="204"/>
      <c r="L172" s="204"/>
    </row>
    <row r="173">
      <c r="A173" s="205"/>
      <c r="D173" s="209" t="s">
        <v>17</v>
      </c>
      <c r="E173" s="209">
        <v>2.0</v>
      </c>
      <c r="F173" s="210"/>
      <c r="G173" s="211"/>
      <c r="H173" s="354" t="s">
        <v>321</v>
      </c>
      <c r="I173" s="213" t="s">
        <v>7</v>
      </c>
      <c r="K173" s="204"/>
      <c r="L173" s="204"/>
    </row>
    <row r="174">
      <c r="A174" s="217"/>
      <c r="B174" s="218"/>
      <c r="C174" s="218"/>
      <c r="D174" s="209" t="s">
        <v>64</v>
      </c>
      <c r="E174" s="219">
        <v>3.0</v>
      </c>
      <c r="F174" s="220"/>
      <c r="G174" s="221"/>
      <c r="H174" s="222" t="s">
        <v>283</v>
      </c>
      <c r="I174" s="223" t="s">
        <v>65</v>
      </c>
      <c r="K174" s="204"/>
      <c r="L174" s="204"/>
    </row>
    <row r="175">
      <c r="A175" s="236" t="s">
        <v>386</v>
      </c>
      <c r="B175" s="237" t="s">
        <v>387</v>
      </c>
      <c r="C175" s="267">
        <f>sum(E175:E180)</f>
        <v>10</v>
      </c>
      <c r="D175" s="238" t="s">
        <v>22</v>
      </c>
      <c r="E175" s="238">
        <v>2.0</v>
      </c>
      <c r="F175" s="321"/>
      <c r="G175" s="255"/>
      <c r="H175" s="241" t="s">
        <v>307</v>
      </c>
      <c r="I175" s="242" t="s">
        <v>23</v>
      </c>
      <c r="K175" s="204"/>
      <c r="L175" s="204"/>
    </row>
    <row r="176">
      <c r="A176" s="205"/>
      <c r="D176" s="209" t="s">
        <v>49</v>
      </c>
      <c r="E176" s="209">
        <v>2.0</v>
      </c>
      <c r="F176" s="210"/>
      <c r="G176" s="211"/>
      <c r="H176" s="212" t="s">
        <v>50</v>
      </c>
      <c r="I176" s="213" t="s">
        <v>43</v>
      </c>
      <c r="K176" s="204"/>
      <c r="L176" s="204"/>
    </row>
    <row r="177">
      <c r="A177" s="205"/>
      <c r="D177" s="248" t="s">
        <v>70</v>
      </c>
      <c r="E177" s="248">
        <v>2.0</v>
      </c>
      <c r="F177" s="53"/>
      <c r="G177" s="55"/>
      <c r="H177" s="249" t="s">
        <v>71</v>
      </c>
      <c r="I177" s="250" t="s">
        <v>65</v>
      </c>
      <c r="K177" s="204"/>
      <c r="L177" s="204"/>
    </row>
    <row r="178">
      <c r="A178" s="205"/>
      <c r="D178" s="209" t="s">
        <v>117</v>
      </c>
      <c r="E178" s="209">
        <v>1.0</v>
      </c>
      <c r="F178" s="211"/>
      <c r="G178" s="211"/>
      <c r="H178" s="212" t="s">
        <v>322</v>
      </c>
      <c r="I178" s="213" t="s">
        <v>105</v>
      </c>
      <c r="K178" s="204"/>
      <c r="L178" s="204"/>
    </row>
    <row r="179">
      <c r="A179" s="205"/>
      <c r="D179" s="209" t="s">
        <v>159</v>
      </c>
      <c r="E179" s="209">
        <v>1.0</v>
      </c>
      <c r="F179" s="227"/>
      <c r="G179" s="227"/>
      <c r="H179" s="212" t="s">
        <v>160</v>
      </c>
      <c r="I179" s="228" t="s">
        <v>144</v>
      </c>
      <c r="K179" s="204"/>
      <c r="L179" s="204"/>
    </row>
    <row r="180">
      <c r="A180" s="217"/>
      <c r="B180" s="218"/>
      <c r="C180" s="218"/>
      <c r="D180" s="219" t="s">
        <v>166</v>
      </c>
      <c r="E180" s="219">
        <v>2.0</v>
      </c>
      <c r="F180" s="252"/>
      <c r="G180" s="252"/>
      <c r="H180" s="222" t="s">
        <v>167</v>
      </c>
      <c r="I180" s="223" t="s">
        <v>163</v>
      </c>
      <c r="K180" s="204"/>
      <c r="L180" s="204"/>
    </row>
    <row r="181">
      <c r="A181" s="195" t="s">
        <v>388</v>
      </c>
      <c r="B181" s="290" t="s">
        <v>389</v>
      </c>
      <c r="C181" s="267">
        <f>sum(E181:E184)</f>
        <v>10</v>
      </c>
      <c r="D181" s="280" t="s">
        <v>97</v>
      </c>
      <c r="E181" s="280">
        <v>2.0</v>
      </c>
      <c r="F181" s="281"/>
      <c r="G181" s="281"/>
      <c r="H181" s="282" t="s">
        <v>99</v>
      </c>
      <c r="I181" s="242" t="s">
        <v>98</v>
      </c>
      <c r="K181" s="204"/>
      <c r="L181" s="204"/>
    </row>
    <row r="182">
      <c r="A182" s="205"/>
      <c r="D182" s="209" t="s">
        <v>143</v>
      </c>
      <c r="E182" s="209">
        <v>5.0</v>
      </c>
      <c r="F182" s="227"/>
      <c r="G182" s="227"/>
      <c r="H182" s="212" t="s">
        <v>145</v>
      </c>
      <c r="I182" s="228" t="s">
        <v>144</v>
      </c>
      <c r="K182" s="204"/>
      <c r="L182" s="204"/>
    </row>
    <row r="183">
      <c r="A183" s="205"/>
      <c r="D183" s="209" t="s">
        <v>162</v>
      </c>
      <c r="E183" s="209">
        <v>2.0</v>
      </c>
      <c r="F183" s="243"/>
      <c r="G183" s="211"/>
      <c r="H183" s="212" t="s">
        <v>164</v>
      </c>
      <c r="I183" s="213" t="s">
        <v>163</v>
      </c>
      <c r="K183" s="204"/>
      <c r="L183" s="204"/>
    </row>
    <row r="184">
      <c r="A184" s="217"/>
      <c r="B184" s="218"/>
      <c r="C184" s="218"/>
      <c r="D184" s="219" t="s">
        <v>131</v>
      </c>
      <c r="E184" s="219">
        <v>1.0</v>
      </c>
      <c r="F184" s="263"/>
      <c r="G184" s="264"/>
      <c r="H184" s="222" t="s">
        <v>132</v>
      </c>
      <c r="I184" s="223" t="s">
        <v>105</v>
      </c>
      <c r="K184" s="204"/>
      <c r="L184" s="204"/>
    </row>
    <row r="185">
      <c r="A185" s="236" t="s">
        <v>390</v>
      </c>
      <c r="B185" s="237" t="s">
        <v>391</v>
      </c>
      <c r="C185" s="267">
        <f>sum(E185:E190)</f>
        <v>10</v>
      </c>
      <c r="D185" s="238" t="s">
        <v>55</v>
      </c>
      <c r="E185" s="238">
        <v>1.0</v>
      </c>
      <c r="F185" s="278"/>
      <c r="G185" s="255"/>
      <c r="H185" s="241" t="s">
        <v>56</v>
      </c>
      <c r="I185" s="242" t="s">
        <v>43</v>
      </c>
      <c r="K185" s="204"/>
      <c r="L185" s="204"/>
    </row>
    <row r="186">
      <c r="A186" s="205"/>
      <c r="D186" s="209" t="s">
        <v>64</v>
      </c>
      <c r="E186" s="209">
        <v>3.0</v>
      </c>
      <c r="F186" s="215"/>
      <c r="G186" s="216"/>
      <c r="H186" s="212" t="s">
        <v>283</v>
      </c>
      <c r="I186" s="213" t="s">
        <v>65</v>
      </c>
      <c r="K186" s="204"/>
      <c r="L186" s="204"/>
    </row>
    <row r="187">
      <c r="A187" s="205"/>
      <c r="D187" s="227" t="s">
        <v>97</v>
      </c>
      <c r="E187" s="227">
        <v>2.0</v>
      </c>
      <c r="F187" s="233"/>
      <c r="G187" s="233"/>
      <c r="H187" s="234" t="s">
        <v>99</v>
      </c>
      <c r="I187" s="213" t="s">
        <v>98</v>
      </c>
      <c r="K187" s="204"/>
      <c r="L187" s="204"/>
    </row>
    <row r="188">
      <c r="A188" s="205"/>
      <c r="D188" s="209" t="s">
        <v>162</v>
      </c>
      <c r="E188" s="209">
        <v>2.0</v>
      </c>
      <c r="F188" s="243"/>
      <c r="G188" s="211"/>
      <c r="H188" s="212" t="s">
        <v>164</v>
      </c>
      <c r="I188" s="213" t="s">
        <v>163</v>
      </c>
      <c r="K188" s="204"/>
      <c r="L188" s="204"/>
    </row>
    <row r="189">
      <c r="A189" s="205"/>
      <c r="D189" s="227"/>
      <c r="E189" s="325">
        <v>1.0</v>
      </c>
      <c r="F189" s="3"/>
      <c r="G189" s="326"/>
      <c r="H189" s="327" t="s">
        <v>187</v>
      </c>
      <c r="I189" s="235" t="s">
        <v>186</v>
      </c>
      <c r="K189" s="204"/>
      <c r="L189" s="204"/>
    </row>
    <row r="190">
      <c r="A190" s="217"/>
      <c r="B190" s="218"/>
      <c r="C190" s="218"/>
      <c r="D190" s="252" t="s">
        <v>120</v>
      </c>
      <c r="E190" s="252">
        <v>1.0</v>
      </c>
      <c r="F190" s="342"/>
      <c r="G190" s="319"/>
      <c r="H190" s="320" t="s">
        <v>121</v>
      </c>
      <c r="I190" s="343" t="s">
        <v>105</v>
      </c>
      <c r="K190" s="204"/>
      <c r="L190" s="204"/>
    </row>
    <row r="191">
      <c r="A191" s="236" t="s">
        <v>392</v>
      </c>
      <c r="B191" s="196" t="s">
        <v>393</v>
      </c>
      <c r="C191" s="267">
        <f>sum(E191:E196)</f>
        <v>10</v>
      </c>
      <c r="D191" s="238" t="s">
        <v>11</v>
      </c>
      <c r="E191" s="238">
        <v>2.0</v>
      </c>
      <c r="F191" s="353"/>
      <c r="G191" s="353"/>
      <c r="H191" s="241" t="s">
        <v>348</v>
      </c>
      <c r="I191" s="242" t="s">
        <v>7</v>
      </c>
      <c r="K191" s="204"/>
      <c r="L191" s="204"/>
    </row>
    <row r="192">
      <c r="A192" s="205"/>
      <c r="D192" s="209" t="s">
        <v>49</v>
      </c>
      <c r="E192" s="209">
        <v>2.0</v>
      </c>
      <c r="F192" s="210"/>
      <c r="G192" s="211"/>
      <c r="H192" s="212" t="s">
        <v>50</v>
      </c>
      <c r="I192" s="213" t="s">
        <v>43</v>
      </c>
      <c r="K192" s="204"/>
      <c r="L192" s="204"/>
    </row>
    <row r="193">
      <c r="A193" s="205"/>
      <c r="D193" s="209" t="s">
        <v>117</v>
      </c>
      <c r="E193" s="209">
        <v>1.0</v>
      </c>
      <c r="F193" s="211"/>
      <c r="G193" s="211"/>
      <c r="H193" s="212" t="s">
        <v>322</v>
      </c>
      <c r="I193" s="213" t="s">
        <v>105</v>
      </c>
      <c r="K193" s="204"/>
      <c r="L193" s="204"/>
    </row>
    <row r="194">
      <c r="A194" s="205"/>
      <c r="D194" s="248" t="s">
        <v>70</v>
      </c>
      <c r="E194" s="248">
        <v>2.0</v>
      </c>
      <c r="F194" s="53"/>
      <c r="G194" s="55"/>
      <c r="H194" s="249" t="s">
        <v>71</v>
      </c>
      <c r="I194" s="250" t="s">
        <v>65</v>
      </c>
      <c r="K194" s="204"/>
      <c r="L194" s="204"/>
    </row>
    <row r="195">
      <c r="A195" s="205"/>
      <c r="D195" s="227" t="s">
        <v>61</v>
      </c>
      <c r="E195" s="227">
        <v>1.0</v>
      </c>
      <c r="F195" s="233"/>
      <c r="G195" s="233"/>
      <c r="H195" s="234" t="s">
        <v>62</v>
      </c>
      <c r="I195" s="213" t="s">
        <v>43</v>
      </c>
      <c r="K195" s="204"/>
      <c r="L195" s="204"/>
    </row>
    <row r="196">
      <c r="A196" s="217"/>
      <c r="B196" s="218"/>
      <c r="C196" s="218"/>
      <c r="D196" s="219" t="s">
        <v>22</v>
      </c>
      <c r="E196" s="219">
        <v>2.0</v>
      </c>
      <c r="F196" s="355"/>
      <c r="G196" s="356"/>
      <c r="H196" s="222" t="s">
        <v>307</v>
      </c>
      <c r="I196" s="223" t="s">
        <v>23</v>
      </c>
      <c r="K196" s="204"/>
      <c r="L196" s="204"/>
    </row>
    <row r="197">
      <c r="A197" s="236" t="s">
        <v>394</v>
      </c>
      <c r="B197" s="357" t="s">
        <v>395</v>
      </c>
      <c r="C197" s="267">
        <f>sum(E197:E200)</f>
        <v>10</v>
      </c>
      <c r="D197" s="238" t="s">
        <v>11</v>
      </c>
      <c r="E197" s="238">
        <v>2.0</v>
      </c>
      <c r="F197" s="353"/>
      <c r="G197" s="353"/>
      <c r="H197" s="241" t="s">
        <v>348</v>
      </c>
      <c r="I197" s="242" t="s">
        <v>7</v>
      </c>
      <c r="K197" s="204"/>
      <c r="L197" s="204"/>
    </row>
    <row r="198">
      <c r="A198" s="205"/>
      <c r="D198" s="227" t="s">
        <v>97</v>
      </c>
      <c r="E198" s="227">
        <v>2.0</v>
      </c>
      <c r="F198" s="233"/>
      <c r="G198" s="233"/>
      <c r="H198" s="234" t="s">
        <v>99</v>
      </c>
      <c r="I198" s="213" t="s">
        <v>98</v>
      </c>
      <c r="K198" s="204"/>
      <c r="L198" s="204"/>
    </row>
    <row r="199">
      <c r="A199" s="205"/>
      <c r="D199" s="333" t="s">
        <v>120</v>
      </c>
      <c r="E199" s="333">
        <v>1.0</v>
      </c>
      <c r="F199" s="358"/>
      <c r="G199" s="358"/>
      <c r="H199" s="336" t="s">
        <v>327</v>
      </c>
      <c r="I199" s="337" t="s">
        <v>105</v>
      </c>
      <c r="K199" s="204"/>
      <c r="L199" s="204"/>
    </row>
    <row r="200">
      <c r="A200" s="217"/>
      <c r="B200" s="218"/>
      <c r="C200" s="218"/>
      <c r="D200" s="219" t="s">
        <v>143</v>
      </c>
      <c r="E200" s="219">
        <v>5.0</v>
      </c>
      <c r="F200" s="252"/>
      <c r="G200" s="252"/>
      <c r="H200" s="222" t="s">
        <v>145</v>
      </c>
      <c r="I200" s="253" t="s">
        <v>144</v>
      </c>
      <c r="K200" s="204"/>
      <c r="L200" s="204"/>
    </row>
    <row r="201">
      <c r="A201" s="359" t="s">
        <v>396</v>
      </c>
      <c r="B201" s="196" t="s">
        <v>397</v>
      </c>
      <c r="C201" s="267">
        <f>sum(E201:E205)</f>
        <v>10</v>
      </c>
      <c r="D201" s="238" t="s">
        <v>64</v>
      </c>
      <c r="E201" s="238">
        <v>3.0</v>
      </c>
      <c r="F201" s="239"/>
      <c r="G201" s="240"/>
      <c r="H201" s="241" t="s">
        <v>283</v>
      </c>
      <c r="I201" s="242" t="s">
        <v>65</v>
      </c>
      <c r="K201" s="204"/>
      <c r="L201" s="204"/>
    </row>
    <row r="202">
      <c r="A202" s="205"/>
      <c r="D202" s="271" t="s">
        <v>101</v>
      </c>
      <c r="E202" s="271">
        <v>2.0</v>
      </c>
      <c r="F202" s="272"/>
      <c r="G202" s="273"/>
      <c r="H202" s="274" t="s">
        <v>102</v>
      </c>
      <c r="I202" s="275" t="s">
        <v>98</v>
      </c>
      <c r="K202" s="204"/>
      <c r="L202" s="204"/>
    </row>
    <row r="203">
      <c r="A203" s="205"/>
      <c r="D203" s="301" t="s">
        <v>129</v>
      </c>
      <c r="E203" s="301">
        <v>1.0</v>
      </c>
      <c r="F203" s="80"/>
      <c r="G203" s="81"/>
      <c r="H203" s="302" t="s">
        <v>130</v>
      </c>
      <c r="I203" s="303" t="s">
        <v>105</v>
      </c>
      <c r="K203" s="204"/>
      <c r="L203" s="204"/>
    </row>
    <row r="204">
      <c r="A204" s="205"/>
      <c r="D204" s="209" t="s">
        <v>398</v>
      </c>
      <c r="E204" s="209">
        <v>2.0</v>
      </c>
      <c r="F204" s="233"/>
      <c r="G204" s="233"/>
      <c r="H204" s="360" t="s">
        <v>399</v>
      </c>
      <c r="I204" s="213" t="s">
        <v>43</v>
      </c>
      <c r="K204" s="204"/>
      <c r="L204" s="204"/>
    </row>
    <row r="205">
      <c r="A205" s="217"/>
      <c r="B205" s="218"/>
      <c r="C205" s="218"/>
      <c r="D205" s="219" t="s">
        <v>400</v>
      </c>
      <c r="E205" s="219">
        <v>2.0</v>
      </c>
      <c r="F205" s="263"/>
      <c r="G205" s="264"/>
      <c r="H205" s="222" t="s">
        <v>401</v>
      </c>
      <c r="I205" s="223" t="s">
        <v>43</v>
      </c>
      <c r="K205" s="204"/>
      <c r="L205" s="204"/>
    </row>
    <row r="206">
      <c r="A206" s="236" t="s">
        <v>402</v>
      </c>
      <c r="B206" s="237" t="s">
        <v>337</v>
      </c>
      <c r="C206" s="267">
        <f>sum(E206:E212)</f>
        <v>10</v>
      </c>
      <c r="D206" s="238" t="s">
        <v>162</v>
      </c>
      <c r="E206" s="238">
        <v>2.0</v>
      </c>
      <c r="F206" s="321"/>
      <c r="G206" s="255"/>
      <c r="H206" s="241" t="s">
        <v>164</v>
      </c>
      <c r="I206" s="242" t="s">
        <v>163</v>
      </c>
      <c r="K206" s="204"/>
      <c r="L206" s="204"/>
    </row>
    <row r="207">
      <c r="A207" s="205"/>
      <c r="D207" s="209" t="s">
        <v>153</v>
      </c>
      <c r="E207" s="209">
        <v>2.0</v>
      </c>
      <c r="F207" s="243"/>
      <c r="G207" s="211"/>
      <c r="H207" s="212" t="s">
        <v>154</v>
      </c>
      <c r="I207" s="228" t="s">
        <v>144</v>
      </c>
      <c r="K207" s="204"/>
      <c r="L207" s="204"/>
    </row>
    <row r="208">
      <c r="A208" s="205"/>
      <c r="D208" s="209" t="s">
        <v>290</v>
      </c>
      <c r="E208" s="209">
        <v>2.0</v>
      </c>
      <c r="F208" s="215"/>
      <c r="G208" s="216"/>
      <c r="H208" s="212" t="s">
        <v>283</v>
      </c>
      <c r="I208" s="213" t="s">
        <v>65</v>
      </c>
      <c r="K208" s="204"/>
      <c r="L208" s="204"/>
    </row>
    <row r="209">
      <c r="A209" s="205"/>
      <c r="D209" s="209" t="s">
        <v>185</v>
      </c>
      <c r="E209" s="325">
        <v>1.0</v>
      </c>
      <c r="F209" s="3"/>
      <c r="G209" s="326"/>
      <c r="H209" s="327" t="s">
        <v>187</v>
      </c>
      <c r="I209" s="235" t="s">
        <v>186</v>
      </c>
      <c r="K209" s="204"/>
      <c r="L209" s="204"/>
    </row>
    <row r="210">
      <c r="A210" s="205"/>
      <c r="D210" s="301" t="s">
        <v>129</v>
      </c>
      <c r="E210" s="301">
        <v>1.0</v>
      </c>
      <c r="F210" s="80"/>
      <c r="G210" s="81"/>
      <c r="H210" s="302" t="s">
        <v>130</v>
      </c>
      <c r="I210" s="303" t="s">
        <v>105</v>
      </c>
      <c r="K210" s="204"/>
      <c r="L210" s="204"/>
    </row>
    <row r="211">
      <c r="A211" s="205"/>
      <c r="D211" s="209" t="s">
        <v>131</v>
      </c>
      <c r="E211" s="209">
        <v>1.0</v>
      </c>
      <c r="F211" s="210"/>
      <c r="G211" s="211"/>
      <c r="H211" s="212" t="s">
        <v>132</v>
      </c>
      <c r="I211" s="213" t="s">
        <v>105</v>
      </c>
      <c r="K211" s="204"/>
      <c r="L211" s="204"/>
    </row>
    <row r="212">
      <c r="A212" s="217"/>
      <c r="B212" s="218"/>
      <c r="C212" s="218"/>
      <c r="D212" s="219" t="s">
        <v>140</v>
      </c>
      <c r="E212" s="219">
        <v>1.0</v>
      </c>
      <c r="F212" s="258"/>
      <c r="G212" s="258"/>
      <c r="H212" s="222" t="s">
        <v>141</v>
      </c>
      <c r="I212" s="223" t="s">
        <v>105</v>
      </c>
      <c r="K212" s="204"/>
      <c r="L212" s="204"/>
    </row>
    <row r="213">
      <c r="A213" s="236" t="s">
        <v>403</v>
      </c>
      <c r="B213" s="237" t="s">
        <v>404</v>
      </c>
      <c r="C213" s="267">
        <f>sum(E213:E218)</f>
        <v>10</v>
      </c>
      <c r="D213" s="280" t="s">
        <v>97</v>
      </c>
      <c r="E213" s="280">
        <v>2.0</v>
      </c>
      <c r="F213" s="281"/>
      <c r="G213" s="281"/>
      <c r="H213" s="282" t="s">
        <v>99</v>
      </c>
      <c r="I213" s="242" t="s">
        <v>98</v>
      </c>
      <c r="K213" s="204"/>
      <c r="L213" s="204"/>
    </row>
    <row r="214">
      <c r="A214" s="205"/>
      <c r="D214" s="209" t="s">
        <v>162</v>
      </c>
      <c r="E214" s="209">
        <v>2.0</v>
      </c>
      <c r="F214" s="243"/>
      <c r="G214" s="211"/>
      <c r="H214" s="212" t="s">
        <v>164</v>
      </c>
      <c r="I214" s="213" t="s">
        <v>163</v>
      </c>
      <c r="K214" s="204"/>
      <c r="L214" s="204"/>
    </row>
    <row r="215">
      <c r="A215" s="205"/>
      <c r="D215" s="209" t="s">
        <v>58</v>
      </c>
      <c r="E215" s="209">
        <v>1.0</v>
      </c>
      <c r="F215" s="209"/>
      <c r="G215" s="209"/>
      <c r="H215" s="212" t="s">
        <v>59</v>
      </c>
      <c r="I215" s="213" t="s">
        <v>43</v>
      </c>
      <c r="K215" s="204"/>
      <c r="L215" s="204"/>
    </row>
    <row r="216">
      <c r="A216" s="205"/>
      <c r="D216" s="209" t="s">
        <v>405</v>
      </c>
      <c r="E216" s="209">
        <v>3.0</v>
      </c>
      <c r="F216" s="210"/>
      <c r="G216" s="211"/>
      <c r="H216" s="212" t="s">
        <v>31</v>
      </c>
      <c r="I216" s="285" t="s">
        <v>30</v>
      </c>
      <c r="K216" s="204"/>
      <c r="L216" s="204"/>
    </row>
    <row r="217">
      <c r="A217" s="205"/>
      <c r="D217" s="209" t="s">
        <v>134</v>
      </c>
      <c r="E217" s="209">
        <v>1.0</v>
      </c>
      <c r="F217" s="210"/>
      <c r="G217" s="211"/>
      <c r="H217" s="212" t="s">
        <v>135</v>
      </c>
      <c r="I217" s="213" t="s">
        <v>105</v>
      </c>
      <c r="K217" s="204"/>
      <c r="L217" s="204"/>
    </row>
    <row r="218">
      <c r="A218" s="217"/>
      <c r="B218" s="218"/>
      <c r="C218" s="218"/>
      <c r="D218" s="361" t="s">
        <v>137</v>
      </c>
      <c r="E218" s="361">
        <v>1.0</v>
      </c>
      <c r="F218" s="362"/>
      <c r="G218" s="363"/>
      <c r="H218" s="364" t="s">
        <v>138</v>
      </c>
      <c r="I218" s="365" t="s">
        <v>105</v>
      </c>
      <c r="K218" s="204"/>
      <c r="L218" s="204"/>
    </row>
    <row r="219">
      <c r="A219" s="236" t="s">
        <v>406</v>
      </c>
      <c r="B219" s="237" t="s">
        <v>407</v>
      </c>
      <c r="C219" s="267">
        <f>sum(E219:E224)</f>
        <v>10</v>
      </c>
      <c r="D219" s="238" t="s">
        <v>134</v>
      </c>
      <c r="E219" s="238">
        <v>1.0</v>
      </c>
      <c r="F219" s="278"/>
      <c r="G219" s="255"/>
      <c r="H219" s="241" t="s">
        <v>135</v>
      </c>
      <c r="I219" s="242" t="s">
        <v>105</v>
      </c>
      <c r="K219" s="204"/>
      <c r="L219" s="204"/>
    </row>
    <row r="220">
      <c r="A220" s="205"/>
      <c r="D220" s="248" t="s">
        <v>79</v>
      </c>
      <c r="E220" s="248">
        <v>2.0</v>
      </c>
      <c r="F220" s="53"/>
      <c r="G220" s="55"/>
      <c r="H220" s="249" t="s">
        <v>80</v>
      </c>
      <c r="I220" s="250" t="s">
        <v>65</v>
      </c>
      <c r="K220" s="204"/>
      <c r="L220" s="204"/>
    </row>
    <row r="221">
      <c r="A221" s="205"/>
      <c r="D221" s="209" t="s">
        <v>166</v>
      </c>
      <c r="E221" s="209">
        <v>2.0</v>
      </c>
      <c r="F221" s="227"/>
      <c r="G221" s="227"/>
      <c r="H221" s="212" t="s">
        <v>167</v>
      </c>
      <c r="I221" s="213" t="s">
        <v>163</v>
      </c>
      <c r="K221" s="204"/>
      <c r="L221" s="204"/>
    </row>
    <row r="222">
      <c r="A222" s="205"/>
      <c r="D222" s="206" t="s">
        <v>179</v>
      </c>
      <c r="E222" s="206">
        <v>3.0</v>
      </c>
      <c r="F222" s="130"/>
      <c r="G222" s="131"/>
      <c r="H222" s="207" t="s">
        <v>180</v>
      </c>
      <c r="I222" s="208" t="s">
        <v>176</v>
      </c>
      <c r="K222" s="204"/>
      <c r="L222" s="204"/>
    </row>
    <row r="223">
      <c r="A223" s="205"/>
      <c r="D223" s="209" t="s">
        <v>117</v>
      </c>
      <c r="E223" s="209">
        <v>1.0</v>
      </c>
      <c r="F223" s="211"/>
      <c r="G223" s="211"/>
      <c r="H223" s="212" t="s">
        <v>322</v>
      </c>
      <c r="I223" s="213" t="s">
        <v>105</v>
      </c>
      <c r="K223" s="204"/>
      <c r="L223" s="204"/>
    </row>
    <row r="224">
      <c r="A224" s="217"/>
      <c r="B224" s="218"/>
      <c r="C224" s="218"/>
      <c r="D224" s="219" t="s">
        <v>408</v>
      </c>
      <c r="E224" s="219">
        <v>1.0</v>
      </c>
      <c r="F224" s="252"/>
      <c r="G224" s="252"/>
      <c r="H224" s="222" t="s">
        <v>409</v>
      </c>
      <c r="I224" s="223" t="s">
        <v>105</v>
      </c>
      <c r="K224" s="204"/>
      <c r="L224" s="204"/>
    </row>
    <row r="225">
      <c r="A225" s="236" t="s">
        <v>410</v>
      </c>
      <c r="B225" s="237" t="s">
        <v>411</v>
      </c>
      <c r="C225" s="267">
        <f>sum(E225:E228)</f>
        <v>10</v>
      </c>
      <c r="D225" s="238" t="s">
        <v>162</v>
      </c>
      <c r="E225" s="238">
        <v>2.0</v>
      </c>
      <c r="F225" s="321"/>
      <c r="G225" s="255"/>
      <c r="H225" s="241" t="s">
        <v>164</v>
      </c>
      <c r="I225" s="242" t="s">
        <v>163</v>
      </c>
      <c r="K225" s="204"/>
      <c r="L225" s="204"/>
    </row>
    <row r="226">
      <c r="A226" s="205"/>
      <c r="D226" s="206" t="s">
        <v>182</v>
      </c>
      <c r="E226" s="206">
        <v>2.0</v>
      </c>
      <c r="F226" s="130"/>
      <c r="G226" s="131"/>
      <c r="H226" s="207" t="s">
        <v>183</v>
      </c>
      <c r="I226" s="208" t="s">
        <v>176</v>
      </c>
      <c r="K226" s="204"/>
      <c r="L226" s="204"/>
    </row>
    <row r="227">
      <c r="A227" s="205"/>
      <c r="D227" s="209" t="s">
        <v>143</v>
      </c>
      <c r="E227" s="209">
        <v>5.0</v>
      </c>
      <c r="F227" s="227"/>
      <c r="G227" s="227"/>
      <c r="H227" s="212" t="s">
        <v>145</v>
      </c>
      <c r="I227" s="228" t="s">
        <v>144</v>
      </c>
      <c r="K227" s="204"/>
      <c r="L227" s="204"/>
    </row>
    <row r="228">
      <c r="A228" s="217"/>
      <c r="B228" s="218"/>
      <c r="C228" s="218"/>
      <c r="D228" s="219" t="s">
        <v>131</v>
      </c>
      <c r="E228" s="219">
        <v>1.0</v>
      </c>
      <c r="F228" s="263"/>
      <c r="G228" s="264"/>
      <c r="H228" s="222" t="s">
        <v>132</v>
      </c>
      <c r="I228" s="223" t="s">
        <v>105</v>
      </c>
      <c r="K228" s="204"/>
      <c r="L228" s="204"/>
    </row>
    <row r="229">
      <c r="A229" s="236" t="s">
        <v>412</v>
      </c>
      <c r="B229" s="237" t="s">
        <v>411</v>
      </c>
      <c r="C229" s="267">
        <f>sum(E229:E233)</f>
        <v>10</v>
      </c>
      <c r="D229" s="238" t="s">
        <v>22</v>
      </c>
      <c r="E229" s="238">
        <v>2.0</v>
      </c>
      <c r="F229" s="321"/>
      <c r="G229" s="255"/>
      <c r="H229" s="241" t="s">
        <v>307</v>
      </c>
      <c r="I229" s="242" t="s">
        <v>23</v>
      </c>
      <c r="K229" s="204"/>
      <c r="L229" s="204"/>
    </row>
    <row r="230">
      <c r="A230" s="205"/>
      <c r="D230" s="209" t="s">
        <v>290</v>
      </c>
      <c r="E230" s="209">
        <v>2.0</v>
      </c>
      <c r="F230" s="215"/>
      <c r="G230" s="216"/>
      <c r="H230" s="212" t="s">
        <v>283</v>
      </c>
      <c r="I230" s="213" t="s">
        <v>65</v>
      </c>
      <c r="K230" s="204"/>
      <c r="L230" s="204"/>
    </row>
    <row r="231">
      <c r="A231" s="205"/>
      <c r="D231" s="209" t="s">
        <v>162</v>
      </c>
      <c r="E231" s="209">
        <v>2.0</v>
      </c>
      <c r="F231" s="243"/>
      <c r="G231" s="210"/>
      <c r="H231" s="212" t="s">
        <v>164</v>
      </c>
      <c r="I231" s="213" t="s">
        <v>163</v>
      </c>
      <c r="K231" s="204"/>
      <c r="L231" s="204"/>
    </row>
    <row r="232">
      <c r="A232" s="205"/>
      <c r="D232" s="206" t="s">
        <v>179</v>
      </c>
      <c r="E232" s="206">
        <v>3.0</v>
      </c>
      <c r="F232" s="130"/>
      <c r="G232" s="131"/>
      <c r="H232" s="207" t="s">
        <v>180</v>
      </c>
      <c r="I232" s="208" t="s">
        <v>176</v>
      </c>
      <c r="K232" s="204"/>
      <c r="L232" s="204"/>
    </row>
    <row r="233">
      <c r="A233" s="217"/>
      <c r="B233" s="218"/>
      <c r="C233" s="218"/>
      <c r="D233" s="219" t="s">
        <v>134</v>
      </c>
      <c r="E233" s="219">
        <v>1.0</v>
      </c>
      <c r="F233" s="263"/>
      <c r="G233" s="264"/>
      <c r="H233" s="222" t="s">
        <v>135</v>
      </c>
      <c r="I233" s="223" t="s">
        <v>105</v>
      </c>
      <c r="K233" s="204"/>
      <c r="L233" s="204"/>
    </row>
    <row r="234">
      <c r="A234" s="236" t="s">
        <v>413</v>
      </c>
      <c r="B234" s="237" t="s">
        <v>414</v>
      </c>
      <c r="C234" s="267">
        <f>sum(E234:E239)</f>
        <v>10</v>
      </c>
      <c r="D234" s="366" t="s">
        <v>117</v>
      </c>
      <c r="E234" s="366">
        <v>1.0</v>
      </c>
      <c r="F234" s="367"/>
      <c r="G234" s="367"/>
      <c r="H234" s="368" t="s">
        <v>322</v>
      </c>
      <c r="I234" s="369" t="s">
        <v>105</v>
      </c>
      <c r="K234" s="204"/>
      <c r="L234" s="204"/>
    </row>
    <row r="235">
      <c r="A235" s="205"/>
      <c r="D235" s="209" t="s">
        <v>58</v>
      </c>
      <c r="E235" s="209">
        <v>1.0</v>
      </c>
      <c r="F235" s="209"/>
      <c r="G235" s="209"/>
      <c r="H235" s="212" t="s">
        <v>59</v>
      </c>
      <c r="I235" s="213" t="s">
        <v>43</v>
      </c>
      <c r="K235" s="204"/>
      <c r="L235" s="204"/>
    </row>
    <row r="236">
      <c r="A236" s="205"/>
      <c r="D236" s="227" t="s">
        <v>97</v>
      </c>
      <c r="E236" s="227">
        <v>2.0</v>
      </c>
      <c r="F236" s="233"/>
      <c r="G236" s="233"/>
      <c r="H236" s="234" t="s">
        <v>99</v>
      </c>
      <c r="I236" s="213" t="s">
        <v>98</v>
      </c>
      <c r="K236" s="204"/>
      <c r="L236" s="204"/>
    </row>
    <row r="237">
      <c r="A237" s="205"/>
      <c r="D237" s="209" t="s">
        <v>175</v>
      </c>
      <c r="E237" s="209">
        <v>3.0</v>
      </c>
      <c r="F237" s="211"/>
      <c r="G237" s="211"/>
      <c r="H237" s="212" t="s">
        <v>289</v>
      </c>
      <c r="I237" s="213" t="s">
        <v>176</v>
      </c>
      <c r="K237" s="204"/>
      <c r="L237" s="204"/>
    </row>
    <row r="238">
      <c r="A238" s="205"/>
      <c r="D238" s="209" t="s">
        <v>166</v>
      </c>
      <c r="E238" s="209">
        <v>2.0</v>
      </c>
      <c r="F238" s="227"/>
      <c r="G238" s="227"/>
      <c r="H238" s="212" t="s">
        <v>167</v>
      </c>
      <c r="I238" s="213" t="s">
        <v>163</v>
      </c>
      <c r="K238" s="204"/>
      <c r="L238" s="204"/>
    </row>
    <row r="239">
      <c r="A239" s="217"/>
      <c r="B239" s="218"/>
      <c r="C239" s="218"/>
      <c r="D239" s="219" t="s">
        <v>140</v>
      </c>
      <c r="E239" s="219">
        <v>1.0</v>
      </c>
      <c r="F239" s="258"/>
      <c r="G239" s="258"/>
      <c r="H239" s="222" t="s">
        <v>141</v>
      </c>
      <c r="I239" s="223" t="s">
        <v>105</v>
      </c>
      <c r="K239" s="204"/>
      <c r="L239" s="204"/>
    </row>
    <row r="240">
      <c r="A240" s="236" t="s">
        <v>415</v>
      </c>
      <c r="B240" s="237" t="s">
        <v>416</v>
      </c>
      <c r="C240" s="267">
        <f>sum(E240:E246)</f>
        <v>10</v>
      </c>
      <c r="D240" s="370" t="s">
        <v>94</v>
      </c>
      <c r="E240" s="370">
        <v>1.0</v>
      </c>
      <c r="F240" s="371"/>
      <c r="G240" s="371"/>
      <c r="H240" s="372" t="s">
        <v>95</v>
      </c>
      <c r="I240" s="373" t="s">
        <v>65</v>
      </c>
      <c r="K240" s="204"/>
      <c r="L240" s="204"/>
    </row>
    <row r="241">
      <c r="A241" s="205"/>
      <c r="D241" s="209" t="s">
        <v>159</v>
      </c>
      <c r="E241" s="209">
        <v>1.0</v>
      </c>
      <c r="F241" s="227"/>
      <c r="G241" s="227"/>
      <c r="H241" s="212" t="s">
        <v>160</v>
      </c>
      <c r="I241" s="228" t="s">
        <v>144</v>
      </c>
      <c r="K241" s="204"/>
      <c r="L241" s="204"/>
    </row>
    <row r="242">
      <c r="A242" s="205"/>
      <c r="D242" s="209" t="s">
        <v>19</v>
      </c>
      <c r="E242" s="209">
        <v>2.0</v>
      </c>
      <c r="F242" s="210"/>
      <c r="G242" s="211"/>
      <c r="H242" s="212" t="s">
        <v>20</v>
      </c>
      <c r="I242" s="213" t="s">
        <v>7</v>
      </c>
      <c r="K242" s="204"/>
      <c r="L242" s="204"/>
    </row>
    <row r="243">
      <c r="A243" s="205"/>
      <c r="D243" s="209" t="s">
        <v>22</v>
      </c>
      <c r="E243" s="209">
        <v>2.0</v>
      </c>
      <c r="F243" s="243"/>
      <c r="G243" s="211"/>
      <c r="H243" s="212" t="s">
        <v>307</v>
      </c>
      <c r="I243" s="213" t="s">
        <v>23</v>
      </c>
      <c r="K243" s="204"/>
      <c r="L243" s="204"/>
    </row>
    <row r="244">
      <c r="A244" s="205"/>
      <c r="D244" s="209" t="s">
        <v>58</v>
      </c>
      <c r="E244" s="209">
        <v>1.0</v>
      </c>
      <c r="F244" s="209"/>
      <c r="G244" s="209"/>
      <c r="H244" s="212" t="s">
        <v>59</v>
      </c>
      <c r="I244" s="213" t="s">
        <v>43</v>
      </c>
      <c r="K244" s="204"/>
      <c r="L244" s="204"/>
    </row>
    <row r="245">
      <c r="A245" s="205"/>
      <c r="D245" s="227" t="s">
        <v>97</v>
      </c>
      <c r="E245" s="227">
        <v>2.0</v>
      </c>
      <c r="F245" s="233"/>
      <c r="G245" s="233"/>
      <c r="H245" s="234" t="s">
        <v>99</v>
      </c>
      <c r="I245" s="213" t="s">
        <v>98</v>
      </c>
      <c r="K245" s="204"/>
      <c r="L245" s="204"/>
    </row>
    <row r="246">
      <c r="A246" s="217"/>
      <c r="B246" s="218"/>
      <c r="C246" s="218"/>
      <c r="D246" s="219" t="s">
        <v>117</v>
      </c>
      <c r="E246" s="219">
        <v>1.0</v>
      </c>
      <c r="F246" s="264"/>
      <c r="G246" s="264"/>
      <c r="H246" s="222" t="s">
        <v>322</v>
      </c>
      <c r="I246" s="223" t="s">
        <v>105</v>
      </c>
      <c r="K246" s="204"/>
      <c r="L246" s="204"/>
    </row>
    <row r="247">
      <c r="A247" s="236" t="s">
        <v>417</v>
      </c>
      <c r="B247" s="237" t="s">
        <v>418</v>
      </c>
      <c r="C247" s="267">
        <f>sum(E247:E252)</f>
        <v>10</v>
      </c>
      <c r="D247" s="238" t="s">
        <v>405</v>
      </c>
      <c r="E247" s="238">
        <v>3.0</v>
      </c>
      <c r="F247" s="278"/>
      <c r="G247" s="255"/>
      <c r="H247" s="241" t="s">
        <v>31</v>
      </c>
      <c r="I247" s="374" t="s">
        <v>30</v>
      </c>
      <c r="K247" s="204"/>
      <c r="L247" s="204"/>
    </row>
    <row r="248">
      <c r="A248" s="205"/>
      <c r="D248" s="209" t="s">
        <v>58</v>
      </c>
      <c r="E248" s="209">
        <v>1.0</v>
      </c>
      <c r="F248" s="209"/>
      <c r="G248" s="209"/>
      <c r="H248" s="212" t="s">
        <v>59</v>
      </c>
      <c r="I248" s="213" t="s">
        <v>43</v>
      </c>
      <c r="K248" s="204"/>
      <c r="L248" s="204"/>
    </row>
    <row r="249">
      <c r="A249" s="205"/>
      <c r="D249" s="375" t="s">
        <v>94</v>
      </c>
      <c r="E249" s="375">
        <v>1.0</v>
      </c>
      <c r="F249" s="376"/>
      <c r="G249" s="376"/>
      <c r="H249" s="377" t="s">
        <v>95</v>
      </c>
      <c r="I249" s="378" t="s">
        <v>65</v>
      </c>
      <c r="K249" s="204"/>
      <c r="L249" s="204"/>
    </row>
    <row r="250">
      <c r="A250" s="205"/>
      <c r="D250" s="209" t="s">
        <v>162</v>
      </c>
      <c r="E250" s="209">
        <v>2.0</v>
      </c>
      <c r="F250" s="243"/>
      <c r="G250" s="210"/>
      <c r="H250" s="212" t="s">
        <v>164</v>
      </c>
      <c r="I250" s="213" t="s">
        <v>163</v>
      </c>
      <c r="K250" s="204"/>
      <c r="L250" s="204"/>
    </row>
    <row r="251">
      <c r="A251" s="205"/>
      <c r="D251" s="209" t="s">
        <v>104</v>
      </c>
      <c r="E251" s="209">
        <v>2.0</v>
      </c>
      <c r="F251" s="310"/>
      <c r="G251" s="310"/>
      <c r="H251" s="212" t="s">
        <v>106</v>
      </c>
      <c r="I251" s="213" t="s">
        <v>105</v>
      </c>
      <c r="K251" s="204"/>
      <c r="L251" s="204"/>
    </row>
    <row r="252">
      <c r="A252" s="217"/>
      <c r="B252" s="218"/>
      <c r="C252" s="218"/>
      <c r="D252" s="219" t="s">
        <v>131</v>
      </c>
      <c r="E252" s="219">
        <v>1.0</v>
      </c>
      <c r="F252" s="263"/>
      <c r="G252" s="264"/>
      <c r="H252" s="222" t="s">
        <v>132</v>
      </c>
      <c r="I252" s="223" t="s">
        <v>105</v>
      </c>
      <c r="K252" s="204"/>
      <c r="L252" s="204"/>
    </row>
    <row r="253">
      <c r="A253" s="338" t="s">
        <v>419</v>
      </c>
      <c r="B253" s="379" t="s">
        <v>420</v>
      </c>
      <c r="C253" s="267">
        <f>sum(E253:E258)</f>
        <v>10</v>
      </c>
      <c r="D253" s="238" t="s">
        <v>172</v>
      </c>
      <c r="E253" s="238">
        <v>1.0</v>
      </c>
      <c r="F253" s="278"/>
      <c r="G253" s="255"/>
      <c r="H253" s="241" t="s">
        <v>421</v>
      </c>
      <c r="I253" s="242" t="s">
        <v>163</v>
      </c>
      <c r="K253" s="204"/>
      <c r="L253" s="204"/>
    </row>
    <row r="254">
      <c r="A254" s="205"/>
      <c r="D254" s="209" t="s">
        <v>290</v>
      </c>
      <c r="E254" s="209">
        <v>2.0</v>
      </c>
      <c r="F254" s="215"/>
      <c r="G254" s="216"/>
      <c r="H254" s="212" t="s">
        <v>283</v>
      </c>
      <c r="I254" s="213" t="s">
        <v>65</v>
      </c>
      <c r="K254" s="204"/>
      <c r="L254" s="204"/>
    </row>
    <row r="255">
      <c r="A255" s="205"/>
      <c r="D255" s="209" t="s">
        <v>19</v>
      </c>
      <c r="E255" s="209">
        <v>2.0</v>
      </c>
      <c r="F255" s="210"/>
      <c r="G255" s="211"/>
      <c r="H255" s="212" t="s">
        <v>20</v>
      </c>
      <c r="I255" s="213" t="s">
        <v>7</v>
      </c>
      <c r="K255" s="204"/>
      <c r="L255" s="204"/>
    </row>
    <row r="256">
      <c r="A256" s="205"/>
      <c r="D256" s="380" t="s">
        <v>26</v>
      </c>
      <c r="E256" s="380">
        <v>1.0</v>
      </c>
      <c r="F256" s="381"/>
      <c r="G256" s="382"/>
      <c r="H256" s="383" t="s">
        <v>27</v>
      </c>
      <c r="I256" s="384" t="s">
        <v>23</v>
      </c>
      <c r="K256" s="204"/>
      <c r="L256" s="204"/>
    </row>
    <row r="257">
      <c r="A257" s="205"/>
      <c r="D257" s="206" t="s">
        <v>179</v>
      </c>
      <c r="E257" s="206">
        <v>3.0</v>
      </c>
      <c r="F257" s="130"/>
      <c r="G257" s="131"/>
      <c r="H257" s="207" t="s">
        <v>180</v>
      </c>
      <c r="I257" s="208" t="s">
        <v>176</v>
      </c>
      <c r="K257" s="204"/>
      <c r="L257" s="204"/>
    </row>
    <row r="258">
      <c r="A258" s="217"/>
      <c r="B258" s="218"/>
      <c r="C258" s="218"/>
      <c r="D258" s="219" t="s">
        <v>422</v>
      </c>
      <c r="E258" s="219">
        <v>1.0</v>
      </c>
      <c r="F258" s="263"/>
      <c r="G258" s="264"/>
      <c r="H258" s="222" t="s">
        <v>423</v>
      </c>
      <c r="I258" s="223" t="s">
        <v>105</v>
      </c>
      <c r="K258" s="204"/>
      <c r="L258" s="204"/>
    </row>
    <row r="259">
      <c r="A259" s="236" t="s">
        <v>424</v>
      </c>
      <c r="B259" s="237" t="s">
        <v>425</v>
      </c>
      <c r="C259" s="267">
        <f>sum(E259:E263)</f>
        <v>10</v>
      </c>
      <c r="D259" s="385" t="s">
        <v>101</v>
      </c>
      <c r="E259" s="385">
        <v>2.0</v>
      </c>
      <c r="F259" s="386"/>
      <c r="G259" s="387"/>
      <c r="H259" s="388" t="s">
        <v>102</v>
      </c>
      <c r="I259" s="389" t="s">
        <v>98</v>
      </c>
      <c r="K259" s="204"/>
      <c r="L259" s="204"/>
    </row>
    <row r="260">
      <c r="A260" s="205"/>
      <c r="D260" s="227" t="s">
        <v>61</v>
      </c>
      <c r="E260" s="227">
        <v>1.0</v>
      </c>
      <c r="F260" s="233"/>
      <c r="G260" s="233"/>
      <c r="H260" s="234" t="s">
        <v>62</v>
      </c>
      <c r="I260" s="213" t="s">
        <v>43</v>
      </c>
      <c r="K260" s="204"/>
      <c r="L260" s="204"/>
    </row>
    <row r="261">
      <c r="A261" s="205"/>
      <c r="D261" s="209" t="s">
        <v>330</v>
      </c>
      <c r="E261" s="209">
        <v>2.0</v>
      </c>
      <c r="F261" s="210"/>
      <c r="G261" s="211"/>
      <c r="H261" s="212" t="s">
        <v>331</v>
      </c>
      <c r="I261" s="213" t="s">
        <v>7</v>
      </c>
      <c r="K261" s="204"/>
      <c r="L261" s="204"/>
    </row>
    <row r="262">
      <c r="A262" s="205"/>
      <c r="D262" s="209" t="s">
        <v>405</v>
      </c>
      <c r="E262" s="209">
        <v>3.0</v>
      </c>
      <c r="F262" s="210"/>
      <c r="G262" s="211"/>
      <c r="H262" s="212" t="s">
        <v>31</v>
      </c>
      <c r="I262" s="285" t="s">
        <v>30</v>
      </c>
      <c r="K262" s="204"/>
      <c r="L262" s="204"/>
    </row>
    <row r="263">
      <c r="A263" s="217"/>
      <c r="B263" s="218"/>
      <c r="C263" s="218"/>
      <c r="D263" s="219" t="s">
        <v>290</v>
      </c>
      <c r="E263" s="219">
        <v>2.0</v>
      </c>
      <c r="F263" s="220"/>
      <c r="G263" s="221"/>
      <c r="H263" s="222" t="s">
        <v>283</v>
      </c>
      <c r="I263" s="223" t="s">
        <v>65</v>
      </c>
      <c r="K263" s="204"/>
      <c r="L263" s="204"/>
    </row>
    <row r="264">
      <c r="A264" s="236" t="s">
        <v>426</v>
      </c>
      <c r="B264" s="237" t="s">
        <v>427</v>
      </c>
      <c r="C264" s="267">
        <f>sum(E264:E268)</f>
        <v>10</v>
      </c>
      <c r="D264" s="238" t="s">
        <v>330</v>
      </c>
      <c r="E264" s="238">
        <v>2.0</v>
      </c>
      <c r="F264" s="353"/>
      <c r="G264" s="353"/>
      <c r="H264" s="241" t="s">
        <v>331</v>
      </c>
      <c r="I264" s="242" t="s">
        <v>7</v>
      </c>
      <c r="K264" s="204"/>
      <c r="L264" s="204"/>
    </row>
    <row r="265">
      <c r="A265" s="205"/>
      <c r="D265" s="209" t="s">
        <v>162</v>
      </c>
      <c r="E265" s="209">
        <v>2.0</v>
      </c>
      <c r="F265" s="214"/>
      <c r="G265" s="310"/>
      <c r="H265" s="212" t="s">
        <v>164</v>
      </c>
      <c r="I265" s="213" t="s">
        <v>163</v>
      </c>
      <c r="K265" s="204"/>
      <c r="L265" s="204"/>
    </row>
    <row r="266">
      <c r="A266" s="205"/>
      <c r="D266" s="209" t="s">
        <v>290</v>
      </c>
      <c r="E266" s="209">
        <v>2.0</v>
      </c>
      <c r="F266" s="227"/>
      <c r="G266" s="227"/>
      <c r="H266" s="212" t="s">
        <v>283</v>
      </c>
      <c r="I266" s="213" t="s">
        <v>65</v>
      </c>
      <c r="K266" s="204"/>
      <c r="L266" s="204"/>
    </row>
    <row r="267">
      <c r="A267" s="205"/>
      <c r="D267" s="229" t="s">
        <v>179</v>
      </c>
      <c r="E267" s="229">
        <v>3.0</v>
      </c>
      <c r="F267" s="390"/>
      <c r="G267" s="390"/>
      <c r="H267" s="231" t="s">
        <v>180</v>
      </c>
      <c r="I267" s="232" t="s">
        <v>176</v>
      </c>
      <c r="K267" s="204"/>
      <c r="L267" s="204"/>
    </row>
    <row r="268">
      <c r="A268" s="217"/>
      <c r="B268" s="218"/>
      <c r="C268" s="218"/>
      <c r="D268" s="391" t="s">
        <v>189</v>
      </c>
      <c r="E268" s="391">
        <v>1.0</v>
      </c>
      <c r="F268" s="392"/>
      <c r="G268" s="393"/>
      <c r="H268" s="394" t="s">
        <v>190</v>
      </c>
      <c r="I268" s="395" t="s">
        <v>186</v>
      </c>
      <c r="K268" s="204"/>
      <c r="L268" s="204"/>
    </row>
    <row r="269">
      <c r="A269" s="236" t="s">
        <v>428</v>
      </c>
      <c r="B269" s="196" t="s">
        <v>429</v>
      </c>
      <c r="C269" s="267">
        <f>sum(E269:E273)</f>
        <v>10</v>
      </c>
      <c r="D269" s="238" t="s">
        <v>11</v>
      </c>
      <c r="E269" s="238">
        <v>3.0</v>
      </c>
      <c r="F269" s="353"/>
      <c r="G269" s="353"/>
      <c r="H269" s="241" t="s">
        <v>348</v>
      </c>
      <c r="I269" s="242" t="s">
        <v>7</v>
      </c>
      <c r="K269" s="204"/>
      <c r="L269" s="204"/>
    </row>
    <row r="270">
      <c r="A270" s="205"/>
      <c r="D270" s="209" t="s">
        <v>55</v>
      </c>
      <c r="E270" s="209">
        <v>1.0</v>
      </c>
      <c r="F270" s="210"/>
      <c r="G270" s="211"/>
      <c r="H270" s="212" t="s">
        <v>56</v>
      </c>
      <c r="I270" s="213" t="s">
        <v>43</v>
      </c>
      <c r="K270" s="204"/>
      <c r="L270" s="204"/>
    </row>
    <row r="271">
      <c r="A271" s="205"/>
      <c r="D271" s="209" t="s">
        <v>290</v>
      </c>
      <c r="E271" s="209">
        <v>2.0</v>
      </c>
      <c r="F271" s="215"/>
      <c r="G271" s="216"/>
      <c r="H271" s="212" t="s">
        <v>283</v>
      </c>
      <c r="I271" s="213" t="s">
        <v>65</v>
      </c>
      <c r="K271" s="204"/>
      <c r="L271" s="204"/>
    </row>
    <row r="272">
      <c r="A272" s="205"/>
      <c r="D272" s="209" t="s">
        <v>162</v>
      </c>
      <c r="E272" s="209">
        <v>2.0</v>
      </c>
      <c r="F272" s="243"/>
      <c r="G272" s="211"/>
      <c r="H272" s="212" t="s">
        <v>164</v>
      </c>
      <c r="I272" s="213" t="s">
        <v>163</v>
      </c>
      <c r="K272" s="204"/>
      <c r="L272" s="204"/>
    </row>
    <row r="273">
      <c r="A273" s="217"/>
      <c r="B273" s="218"/>
      <c r="C273" s="218"/>
      <c r="D273" s="227" t="s">
        <v>97</v>
      </c>
      <c r="E273" s="227">
        <v>2.0</v>
      </c>
      <c r="F273" s="233"/>
      <c r="G273" s="233"/>
      <c r="H273" s="234" t="s">
        <v>99</v>
      </c>
      <c r="I273" s="213" t="s">
        <v>98</v>
      </c>
      <c r="K273" s="204"/>
      <c r="L273" s="204"/>
    </row>
    <row r="274">
      <c r="A274" s="195" t="s">
        <v>430</v>
      </c>
      <c r="B274" s="196" t="s">
        <v>431</v>
      </c>
      <c r="C274" s="267">
        <f>sum(E274:E279)</f>
        <v>10</v>
      </c>
      <c r="D274" s="238" t="s">
        <v>166</v>
      </c>
      <c r="E274" s="238">
        <v>2.0</v>
      </c>
      <c r="F274" s="280"/>
      <c r="G274" s="280"/>
      <c r="H274" s="241" t="s">
        <v>167</v>
      </c>
      <c r="I274" s="242" t="s">
        <v>163</v>
      </c>
      <c r="K274" s="204"/>
      <c r="L274" s="204"/>
    </row>
    <row r="275">
      <c r="A275" s="205"/>
      <c r="D275" s="209" t="s">
        <v>11</v>
      </c>
      <c r="E275" s="209">
        <v>2.0</v>
      </c>
      <c r="F275" s="310"/>
      <c r="G275" s="310"/>
      <c r="H275" s="212" t="s">
        <v>348</v>
      </c>
      <c r="I275" s="213" t="s">
        <v>7</v>
      </c>
      <c r="K275" s="204"/>
      <c r="L275" s="204"/>
    </row>
    <row r="276">
      <c r="A276" s="205"/>
      <c r="D276" s="209" t="s">
        <v>64</v>
      </c>
      <c r="E276" s="209">
        <v>3.0</v>
      </c>
      <c r="F276" s="210"/>
      <c r="G276" s="211"/>
      <c r="H276" s="212" t="s">
        <v>283</v>
      </c>
      <c r="I276" s="213" t="s">
        <v>65</v>
      </c>
      <c r="K276" s="204"/>
      <c r="L276" s="204"/>
    </row>
    <row r="277">
      <c r="A277" s="205"/>
      <c r="I277" s="279"/>
      <c r="K277" s="204"/>
      <c r="L277" s="204"/>
    </row>
    <row r="278">
      <c r="A278" s="205"/>
      <c r="D278" s="271" t="s">
        <v>101</v>
      </c>
      <c r="E278" s="271">
        <v>2.0</v>
      </c>
      <c r="F278" s="272"/>
      <c r="G278" s="273"/>
      <c r="H278" s="274" t="s">
        <v>102</v>
      </c>
      <c r="I278" s="275" t="s">
        <v>98</v>
      </c>
      <c r="K278" s="204"/>
      <c r="L278" s="204"/>
    </row>
    <row r="279">
      <c r="A279" s="217"/>
      <c r="B279" s="218"/>
      <c r="C279" s="218"/>
      <c r="D279" s="219" t="s">
        <v>185</v>
      </c>
      <c r="E279" s="396">
        <v>1.0</v>
      </c>
      <c r="F279" s="342"/>
      <c r="G279" s="397"/>
      <c r="H279" s="398" t="s">
        <v>187</v>
      </c>
      <c r="I279" s="343" t="s">
        <v>186</v>
      </c>
      <c r="K279" s="204"/>
      <c r="L279" s="204"/>
    </row>
    <row r="280">
      <c r="A280" s="224" t="s">
        <v>432</v>
      </c>
      <c r="B280" s="225" t="s">
        <v>433</v>
      </c>
      <c r="C280" s="226">
        <f>sum(E280:E284)</f>
        <v>10</v>
      </c>
      <c r="D280" s="209" t="s">
        <v>22</v>
      </c>
      <c r="E280" s="209">
        <v>2.0</v>
      </c>
      <c r="F280" s="243"/>
      <c r="G280" s="211"/>
      <c r="H280" s="212" t="s">
        <v>307</v>
      </c>
      <c r="I280" s="213" t="s">
        <v>23</v>
      </c>
      <c r="K280" s="204"/>
      <c r="L280" s="204"/>
    </row>
    <row r="281">
      <c r="A281" s="205"/>
      <c r="D281" s="209" t="s">
        <v>290</v>
      </c>
      <c r="E281" s="209">
        <v>2.0</v>
      </c>
      <c r="F281" s="215"/>
      <c r="G281" s="216"/>
      <c r="H281" s="212" t="s">
        <v>283</v>
      </c>
      <c r="I281" s="213" t="s">
        <v>65</v>
      </c>
      <c r="K281" s="204"/>
      <c r="L281" s="204"/>
    </row>
    <row r="282">
      <c r="A282" s="205"/>
      <c r="D282" s="209" t="s">
        <v>159</v>
      </c>
      <c r="E282" s="209">
        <v>1.0</v>
      </c>
      <c r="F282" s="227"/>
      <c r="G282" s="227"/>
      <c r="H282" s="212" t="s">
        <v>160</v>
      </c>
      <c r="I282" s="228" t="s">
        <v>144</v>
      </c>
      <c r="K282" s="204"/>
      <c r="L282" s="204"/>
    </row>
    <row r="283">
      <c r="A283" s="205"/>
      <c r="D283" s="209" t="s">
        <v>162</v>
      </c>
      <c r="E283" s="209">
        <v>2.0</v>
      </c>
      <c r="F283" s="243"/>
      <c r="G283" s="211"/>
      <c r="H283" s="212" t="s">
        <v>164</v>
      </c>
      <c r="I283" s="213" t="s">
        <v>163</v>
      </c>
      <c r="K283" s="204"/>
      <c r="L283" s="204"/>
    </row>
    <row r="284">
      <c r="A284" s="217"/>
      <c r="B284" s="218"/>
      <c r="C284" s="218"/>
      <c r="D284" s="209" t="s">
        <v>175</v>
      </c>
      <c r="E284" s="209">
        <v>3.0</v>
      </c>
      <c r="F284" s="211"/>
      <c r="G284" s="211"/>
      <c r="H284" s="212" t="s">
        <v>289</v>
      </c>
      <c r="I284" s="213" t="s">
        <v>176</v>
      </c>
      <c r="K284" s="204"/>
      <c r="L284" s="204"/>
    </row>
    <row r="285">
      <c r="A285" s="236" t="s">
        <v>434</v>
      </c>
      <c r="B285" s="237" t="s">
        <v>435</v>
      </c>
      <c r="C285" s="267">
        <f>sum(E285:E288)</f>
        <v>10</v>
      </c>
      <c r="D285" s="238" t="s">
        <v>22</v>
      </c>
      <c r="E285" s="238">
        <v>2.0</v>
      </c>
      <c r="F285" s="321"/>
      <c r="G285" s="255"/>
      <c r="H285" s="241" t="s">
        <v>307</v>
      </c>
      <c r="I285" s="242" t="s">
        <v>23</v>
      </c>
      <c r="K285" s="204"/>
      <c r="L285" s="204"/>
    </row>
    <row r="286">
      <c r="A286" s="205"/>
      <c r="D286" s="209" t="s">
        <v>143</v>
      </c>
      <c r="E286" s="209">
        <v>5.0</v>
      </c>
      <c r="F286" s="227"/>
      <c r="G286" s="227"/>
      <c r="H286" s="212" t="s">
        <v>145</v>
      </c>
      <c r="I286" s="228" t="s">
        <v>144</v>
      </c>
      <c r="K286" s="204"/>
      <c r="L286" s="204"/>
    </row>
    <row r="287">
      <c r="A287" s="205"/>
      <c r="D287" s="209" t="s">
        <v>162</v>
      </c>
      <c r="E287" s="209">
        <v>2.0</v>
      </c>
      <c r="F287" s="243"/>
      <c r="G287" s="211"/>
      <c r="H287" s="212" t="s">
        <v>164</v>
      </c>
      <c r="I287" s="213" t="s">
        <v>163</v>
      </c>
      <c r="K287" s="204"/>
      <c r="L287" s="204"/>
    </row>
    <row r="288">
      <c r="A288" s="217"/>
      <c r="B288" s="218"/>
      <c r="C288" s="218"/>
      <c r="D288" s="219" t="s">
        <v>117</v>
      </c>
      <c r="E288" s="219">
        <v>1.0</v>
      </c>
      <c r="F288" s="264"/>
      <c r="G288" s="264"/>
      <c r="H288" s="222" t="s">
        <v>322</v>
      </c>
      <c r="I288" s="223" t="s">
        <v>105</v>
      </c>
      <c r="K288" s="204"/>
      <c r="L288" s="204"/>
    </row>
    <row r="289">
      <c r="A289" s="236" t="s">
        <v>436</v>
      </c>
      <c r="B289" s="237" t="s">
        <v>437</v>
      </c>
      <c r="C289" s="267">
        <f>sum(E289:E294)</f>
        <v>10</v>
      </c>
      <c r="D289" s="238" t="s">
        <v>58</v>
      </c>
      <c r="E289" s="238">
        <v>1.0</v>
      </c>
      <c r="F289" s="238"/>
      <c r="G289" s="238"/>
      <c r="H289" s="241" t="s">
        <v>59</v>
      </c>
      <c r="I289" s="242" t="s">
        <v>43</v>
      </c>
      <c r="K289" s="204"/>
      <c r="L289" s="204"/>
    </row>
    <row r="290">
      <c r="A290" s="205"/>
      <c r="D290" s="209" t="s">
        <v>11</v>
      </c>
      <c r="E290" s="209">
        <v>2.0</v>
      </c>
      <c r="F290" s="310"/>
      <c r="G290" s="310"/>
      <c r="H290" s="212" t="s">
        <v>348</v>
      </c>
      <c r="I290" s="213" t="s">
        <v>7</v>
      </c>
      <c r="K290" s="204"/>
      <c r="L290" s="204"/>
    </row>
    <row r="291">
      <c r="A291" s="205"/>
      <c r="D291" s="227" t="s">
        <v>97</v>
      </c>
      <c r="E291" s="227">
        <v>2.0</v>
      </c>
      <c r="F291" s="233"/>
      <c r="G291" s="233"/>
      <c r="H291" s="234" t="s">
        <v>99</v>
      </c>
      <c r="I291" s="213" t="s">
        <v>98</v>
      </c>
      <c r="K291" s="204"/>
      <c r="L291" s="204"/>
    </row>
    <row r="292">
      <c r="A292" s="205"/>
      <c r="D292" s="304" t="s">
        <v>150</v>
      </c>
      <c r="E292" s="304">
        <v>2.0</v>
      </c>
      <c r="F292" s="305"/>
      <c r="G292" s="305"/>
      <c r="H292" s="306" t="s">
        <v>151</v>
      </c>
      <c r="I292" s="307" t="s">
        <v>144</v>
      </c>
      <c r="K292" s="204"/>
      <c r="L292" s="204"/>
    </row>
    <row r="293">
      <c r="A293" s="205"/>
      <c r="D293" s="209" t="s">
        <v>162</v>
      </c>
      <c r="E293" s="209">
        <v>2.0</v>
      </c>
      <c r="F293" s="243"/>
      <c r="G293" s="210"/>
      <c r="H293" s="212" t="s">
        <v>164</v>
      </c>
      <c r="I293" s="213" t="s">
        <v>163</v>
      </c>
      <c r="K293" s="204"/>
      <c r="L293" s="204"/>
    </row>
    <row r="294">
      <c r="A294" s="217"/>
      <c r="B294" s="218"/>
      <c r="C294" s="218"/>
      <c r="D294" s="219" t="s">
        <v>134</v>
      </c>
      <c r="E294" s="219">
        <v>1.0</v>
      </c>
      <c r="F294" s="263"/>
      <c r="G294" s="264"/>
      <c r="H294" s="222" t="s">
        <v>135</v>
      </c>
      <c r="I294" s="223" t="s">
        <v>105</v>
      </c>
      <c r="K294" s="204"/>
      <c r="L294" s="204"/>
    </row>
    <row r="295">
      <c r="A295" s="236" t="s">
        <v>438</v>
      </c>
      <c r="B295" s="237" t="s">
        <v>439</v>
      </c>
      <c r="C295" s="267">
        <f>sum(E295:E299)</f>
        <v>10</v>
      </c>
      <c r="D295" s="238" t="s">
        <v>175</v>
      </c>
      <c r="E295" s="238">
        <v>3.0</v>
      </c>
      <c r="F295" s="255"/>
      <c r="G295" s="255"/>
      <c r="H295" s="241" t="s">
        <v>289</v>
      </c>
      <c r="I295" s="242" t="s">
        <v>176</v>
      </c>
      <c r="K295" s="204"/>
      <c r="L295" s="204"/>
    </row>
    <row r="296">
      <c r="A296" s="205"/>
      <c r="D296" s="209" t="s">
        <v>405</v>
      </c>
      <c r="E296" s="209">
        <v>3.0</v>
      </c>
      <c r="F296" s="210"/>
      <c r="G296" s="211"/>
      <c r="H296" s="212" t="s">
        <v>31</v>
      </c>
      <c r="I296" s="285" t="s">
        <v>30</v>
      </c>
      <c r="K296" s="204"/>
      <c r="L296" s="204"/>
    </row>
    <row r="297">
      <c r="A297" s="205"/>
      <c r="D297" s="209" t="s">
        <v>131</v>
      </c>
      <c r="E297" s="209">
        <v>1.0</v>
      </c>
      <c r="F297" s="210"/>
      <c r="G297" s="211"/>
      <c r="H297" s="212" t="s">
        <v>132</v>
      </c>
      <c r="I297" s="213" t="s">
        <v>105</v>
      </c>
      <c r="K297" s="204"/>
      <c r="L297" s="204"/>
    </row>
    <row r="298">
      <c r="A298" s="205"/>
      <c r="D298" s="209" t="s">
        <v>290</v>
      </c>
      <c r="E298" s="209">
        <v>2.0</v>
      </c>
      <c r="F298" s="215"/>
      <c r="G298" s="216"/>
      <c r="H298" s="212" t="s">
        <v>283</v>
      </c>
      <c r="I298" s="213" t="s">
        <v>65</v>
      </c>
      <c r="K298" s="204"/>
      <c r="L298" s="204"/>
    </row>
    <row r="299">
      <c r="A299" s="217"/>
      <c r="B299" s="218"/>
      <c r="C299" s="218"/>
      <c r="D299" s="219" t="s">
        <v>159</v>
      </c>
      <c r="E299" s="219">
        <v>1.0</v>
      </c>
      <c r="F299" s="252"/>
      <c r="G299" s="252"/>
      <c r="H299" s="222" t="s">
        <v>160</v>
      </c>
      <c r="I299" s="253" t="s">
        <v>144</v>
      </c>
      <c r="K299" s="204"/>
      <c r="L299" s="204"/>
    </row>
    <row r="300">
      <c r="A300" s="236" t="s">
        <v>440</v>
      </c>
      <c r="B300" s="237" t="s">
        <v>441</v>
      </c>
      <c r="C300" s="267">
        <f>sum(E300:E304)</f>
        <v>10</v>
      </c>
      <c r="D300" s="238" t="s">
        <v>64</v>
      </c>
      <c r="E300" s="238">
        <v>3.0</v>
      </c>
      <c r="F300" s="239"/>
      <c r="G300" s="240"/>
      <c r="H300" s="241" t="s">
        <v>283</v>
      </c>
      <c r="I300" s="242" t="s">
        <v>65</v>
      </c>
      <c r="K300" s="204"/>
      <c r="L300" s="204"/>
    </row>
    <row r="301">
      <c r="A301" s="205"/>
      <c r="D301" s="209" t="s">
        <v>330</v>
      </c>
      <c r="E301" s="209">
        <v>2.0</v>
      </c>
      <c r="F301" s="210"/>
      <c r="G301" s="211"/>
      <c r="H301" s="212" t="s">
        <v>331</v>
      </c>
      <c r="I301" s="213" t="s">
        <v>7</v>
      </c>
      <c r="K301" s="204"/>
      <c r="L301" s="204"/>
    </row>
    <row r="302">
      <c r="A302" s="205"/>
      <c r="D302" s="271" t="s">
        <v>101</v>
      </c>
      <c r="E302" s="271">
        <v>2.0</v>
      </c>
      <c r="F302" s="272"/>
      <c r="G302" s="273"/>
      <c r="H302" s="274" t="s">
        <v>102</v>
      </c>
      <c r="I302" s="275" t="s">
        <v>98</v>
      </c>
      <c r="K302" s="204"/>
      <c r="L302" s="204"/>
    </row>
    <row r="303">
      <c r="A303" s="205"/>
      <c r="D303" s="206" t="s">
        <v>182</v>
      </c>
      <c r="E303" s="206">
        <v>2.0</v>
      </c>
      <c r="F303" s="130"/>
      <c r="G303" s="131"/>
      <c r="H303" s="207" t="s">
        <v>183</v>
      </c>
      <c r="I303" s="208" t="s">
        <v>176</v>
      </c>
      <c r="K303" s="204"/>
      <c r="L303" s="204"/>
    </row>
    <row r="304">
      <c r="A304" s="217"/>
      <c r="B304" s="218"/>
      <c r="C304" s="218"/>
      <c r="D304" s="391" t="s">
        <v>189</v>
      </c>
      <c r="E304" s="391">
        <v>1.0</v>
      </c>
      <c r="F304" s="399"/>
      <c r="G304" s="400"/>
      <c r="H304" s="394" t="s">
        <v>190</v>
      </c>
      <c r="I304" s="395" t="s">
        <v>186</v>
      </c>
      <c r="K304" s="204"/>
      <c r="L304" s="204"/>
    </row>
    <row r="305">
      <c r="A305" s="236" t="s">
        <v>442</v>
      </c>
      <c r="B305" s="237" t="s">
        <v>443</v>
      </c>
      <c r="C305" s="267">
        <f>sum(E305:AC309)</f>
        <v>10</v>
      </c>
      <c r="D305" s="238" t="s">
        <v>405</v>
      </c>
      <c r="E305" s="238">
        <v>3.0</v>
      </c>
      <c r="F305" s="278"/>
      <c r="G305" s="255"/>
      <c r="H305" s="241" t="s">
        <v>31</v>
      </c>
      <c r="I305" s="374" t="s">
        <v>30</v>
      </c>
      <c r="K305" s="204"/>
      <c r="L305" s="204"/>
    </row>
    <row r="306">
      <c r="A306" s="205"/>
      <c r="D306" s="209" t="s">
        <v>147</v>
      </c>
      <c r="E306" s="209">
        <v>3.0</v>
      </c>
      <c r="F306" s="227"/>
      <c r="G306" s="227"/>
      <c r="H306" s="212" t="s">
        <v>145</v>
      </c>
      <c r="I306" s="228" t="s">
        <v>144</v>
      </c>
      <c r="K306" s="204"/>
      <c r="L306" s="204"/>
    </row>
    <row r="307">
      <c r="A307" s="205"/>
      <c r="D307" s="308" t="s">
        <v>123</v>
      </c>
      <c r="E307" s="308">
        <v>1.0</v>
      </c>
      <c r="F307" s="80"/>
      <c r="G307" s="86"/>
      <c r="H307" s="309" t="s">
        <v>124</v>
      </c>
      <c r="I307" s="213" t="s">
        <v>105</v>
      </c>
      <c r="K307" s="204"/>
      <c r="L307" s="204"/>
    </row>
    <row r="308">
      <c r="A308" s="205"/>
      <c r="D308" s="209" t="s">
        <v>131</v>
      </c>
      <c r="E308" s="209">
        <v>1.0</v>
      </c>
      <c r="F308" s="210"/>
      <c r="G308" s="211"/>
      <c r="H308" s="212" t="s">
        <v>132</v>
      </c>
      <c r="I308" s="213" t="s">
        <v>105</v>
      </c>
      <c r="K308" s="204"/>
      <c r="L308" s="204"/>
    </row>
    <row r="309">
      <c r="A309" s="217"/>
      <c r="B309" s="218"/>
      <c r="C309" s="218"/>
      <c r="D309" s="219" t="s">
        <v>162</v>
      </c>
      <c r="E309" s="219">
        <v>2.0</v>
      </c>
      <c r="F309" s="313"/>
      <c r="G309" s="263"/>
      <c r="H309" s="222" t="s">
        <v>164</v>
      </c>
      <c r="I309" s="223" t="s">
        <v>163</v>
      </c>
      <c r="K309" s="204"/>
      <c r="L309" s="204"/>
    </row>
    <row r="310">
      <c r="A310" s="236" t="s">
        <v>444</v>
      </c>
      <c r="B310" s="237" t="s">
        <v>367</v>
      </c>
      <c r="C310" s="267">
        <f>sum(E310:E314)</f>
        <v>10</v>
      </c>
      <c r="D310" s="238" t="s">
        <v>117</v>
      </c>
      <c r="E310" s="238">
        <v>1.0</v>
      </c>
      <c r="F310" s="255"/>
      <c r="G310" s="255"/>
      <c r="H310" s="241" t="s">
        <v>322</v>
      </c>
      <c r="I310" s="242" t="s">
        <v>105</v>
      </c>
      <c r="K310" s="204"/>
      <c r="L310" s="204"/>
    </row>
    <row r="311">
      <c r="A311" s="205"/>
      <c r="D311" s="271" t="s">
        <v>101</v>
      </c>
      <c r="E311" s="271">
        <v>2.0</v>
      </c>
      <c r="F311" s="272"/>
      <c r="G311" s="273"/>
      <c r="H311" s="274" t="s">
        <v>102</v>
      </c>
      <c r="I311" s="275" t="s">
        <v>98</v>
      </c>
      <c r="K311" s="204"/>
      <c r="L311" s="204"/>
    </row>
    <row r="312">
      <c r="A312" s="205"/>
      <c r="D312" s="206" t="s">
        <v>182</v>
      </c>
      <c r="E312" s="206">
        <v>2.0</v>
      </c>
      <c r="F312" s="130"/>
      <c r="G312" s="131"/>
      <c r="H312" s="207" t="s">
        <v>183</v>
      </c>
      <c r="I312" s="208" t="s">
        <v>176</v>
      </c>
      <c r="K312" s="204"/>
      <c r="L312" s="204"/>
    </row>
    <row r="313">
      <c r="A313" s="205"/>
      <c r="D313" s="209" t="s">
        <v>64</v>
      </c>
      <c r="E313" s="209">
        <v>3.0</v>
      </c>
      <c r="F313" s="215"/>
      <c r="G313" s="216"/>
      <c r="H313" s="212" t="s">
        <v>283</v>
      </c>
      <c r="I313" s="213" t="s">
        <v>65</v>
      </c>
      <c r="K313" s="204"/>
      <c r="L313" s="204"/>
    </row>
    <row r="314">
      <c r="A314" s="217"/>
      <c r="B314" s="218"/>
      <c r="C314" s="218"/>
      <c r="D314" s="219" t="s">
        <v>330</v>
      </c>
      <c r="E314" s="219">
        <v>2.0</v>
      </c>
      <c r="F314" s="263"/>
      <c r="G314" s="264"/>
      <c r="H314" s="222" t="s">
        <v>331</v>
      </c>
      <c r="I314" s="223" t="s">
        <v>7</v>
      </c>
      <c r="K314" s="204"/>
      <c r="L314" s="204"/>
    </row>
    <row r="315">
      <c r="A315" s="236" t="s">
        <v>445</v>
      </c>
      <c r="B315" s="237" t="s">
        <v>446</v>
      </c>
      <c r="C315" s="267">
        <f>sum(E315:E319)</f>
        <v>10</v>
      </c>
      <c r="D315" s="238" t="s">
        <v>330</v>
      </c>
      <c r="E315" s="238">
        <v>2.0</v>
      </c>
      <c r="F315" s="278"/>
      <c r="G315" s="255"/>
      <c r="H315" s="241" t="s">
        <v>331</v>
      </c>
      <c r="I315" s="242" t="s">
        <v>7</v>
      </c>
      <c r="K315" s="204"/>
      <c r="L315" s="204"/>
    </row>
    <row r="316">
      <c r="A316" s="205"/>
      <c r="D316" s="209" t="s">
        <v>22</v>
      </c>
      <c r="E316" s="209">
        <v>2.0</v>
      </c>
      <c r="F316" s="299"/>
      <c r="G316" s="300"/>
      <c r="H316" s="212" t="s">
        <v>307</v>
      </c>
      <c r="I316" s="213" t="s">
        <v>23</v>
      </c>
      <c r="K316" s="204"/>
      <c r="L316" s="204"/>
    </row>
    <row r="317">
      <c r="A317" s="205"/>
      <c r="D317" s="209" t="s">
        <v>447</v>
      </c>
      <c r="E317" s="209">
        <v>2.0</v>
      </c>
      <c r="F317" s="215"/>
      <c r="G317" s="216"/>
      <c r="H317" s="212" t="s">
        <v>283</v>
      </c>
      <c r="I317" s="213" t="s">
        <v>65</v>
      </c>
      <c r="K317" s="204"/>
      <c r="L317" s="204"/>
    </row>
    <row r="318">
      <c r="A318" s="205"/>
      <c r="D318" s="209" t="s">
        <v>162</v>
      </c>
      <c r="E318" s="209">
        <v>2.0</v>
      </c>
      <c r="F318" s="243"/>
      <c r="G318" s="211"/>
      <c r="H318" s="212" t="s">
        <v>164</v>
      </c>
      <c r="I318" s="213" t="s">
        <v>163</v>
      </c>
      <c r="K318" s="204"/>
      <c r="L318" s="204"/>
    </row>
    <row r="319">
      <c r="A319" s="217"/>
      <c r="B319" s="218"/>
      <c r="C319" s="218"/>
      <c r="D319" s="401" t="s">
        <v>182</v>
      </c>
      <c r="E319" s="401">
        <v>2.0</v>
      </c>
      <c r="F319" s="402"/>
      <c r="G319" s="403"/>
      <c r="H319" s="404" t="s">
        <v>183</v>
      </c>
      <c r="I319" s="405" t="s">
        <v>176</v>
      </c>
      <c r="K319" s="204"/>
      <c r="L319" s="204"/>
    </row>
    <row r="320">
      <c r="A320" s="195" t="s">
        <v>448</v>
      </c>
      <c r="B320" s="196" t="s">
        <v>449</v>
      </c>
      <c r="C320" s="267">
        <f>sum(E320:E325)</f>
        <v>10</v>
      </c>
      <c r="D320" s="238" t="s">
        <v>11</v>
      </c>
      <c r="E320" s="238">
        <v>2.0</v>
      </c>
      <c r="F320" s="353"/>
      <c r="G320" s="353"/>
      <c r="H320" s="241" t="s">
        <v>348</v>
      </c>
      <c r="I320" s="242" t="s">
        <v>7</v>
      </c>
      <c r="K320" s="204"/>
      <c r="L320" s="204"/>
    </row>
    <row r="321">
      <c r="A321" s="205"/>
      <c r="D321" s="406" t="s">
        <v>6</v>
      </c>
      <c r="E321" s="406">
        <v>2.0</v>
      </c>
      <c r="F321" s="11"/>
      <c r="G321" s="13"/>
      <c r="H321" s="407" t="s">
        <v>8</v>
      </c>
      <c r="I321" s="408" t="s">
        <v>7</v>
      </c>
      <c r="K321" s="204"/>
      <c r="L321" s="204"/>
    </row>
    <row r="322">
      <c r="A322" s="205"/>
      <c r="D322" s="209" t="s">
        <v>22</v>
      </c>
      <c r="E322" s="209">
        <v>2.0</v>
      </c>
      <c r="F322" s="243"/>
      <c r="G322" s="211"/>
      <c r="H322" s="212" t="s">
        <v>307</v>
      </c>
      <c r="I322" s="213" t="s">
        <v>23</v>
      </c>
      <c r="K322" s="204"/>
      <c r="L322" s="204"/>
    </row>
    <row r="323">
      <c r="A323" s="205"/>
      <c r="D323" s="283" t="s">
        <v>39</v>
      </c>
      <c r="E323" s="283">
        <v>1.0</v>
      </c>
      <c r="F323" s="30"/>
      <c r="G323" s="32"/>
      <c r="H323" s="284" t="s">
        <v>40</v>
      </c>
      <c r="I323" s="285" t="s">
        <v>30</v>
      </c>
      <c r="K323" s="204"/>
      <c r="L323" s="204"/>
    </row>
    <row r="324">
      <c r="A324" s="205"/>
      <c r="D324" s="209" t="s">
        <v>159</v>
      </c>
      <c r="E324" s="209">
        <v>1.0</v>
      </c>
      <c r="F324" s="227"/>
      <c r="G324" s="227"/>
      <c r="H324" s="212" t="s">
        <v>160</v>
      </c>
      <c r="I324" s="228" t="s">
        <v>144</v>
      </c>
      <c r="K324" s="204"/>
      <c r="L324" s="204"/>
    </row>
    <row r="325">
      <c r="A325" s="217"/>
      <c r="B325" s="218"/>
      <c r="C325" s="218"/>
      <c r="D325" s="219" t="s">
        <v>162</v>
      </c>
      <c r="E325" s="219">
        <v>2.0</v>
      </c>
      <c r="F325" s="313"/>
      <c r="G325" s="264"/>
      <c r="H325" s="222" t="s">
        <v>164</v>
      </c>
      <c r="I325" s="223" t="s">
        <v>163</v>
      </c>
      <c r="K325" s="204"/>
      <c r="L325" s="204"/>
    </row>
    <row r="326">
      <c r="A326" s="236" t="s">
        <v>450</v>
      </c>
      <c r="B326" s="237" t="s">
        <v>451</v>
      </c>
      <c r="C326" s="267">
        <f>sum(E326:E332)</f>
        <v>10</v>
      </c>
      <c r="D326" s="238" t="s">
        <v>330</v>
      </c>
      <c r="E326" s="238">
        <v>2.0</v>
      </c>
      <c r="F326" s="278"/>
      <c r="G326" s="255"/>
      <c r="H326" s="241" t="s">
        <v>331</v>
      </c>
      <c r="I326" s="242" t="s">
        <v>7</v>
      </c>
      <c r="K326" s="204"/>
      <c r="L326" s="204"/>
    </row>
    <row r="327">
      <c r="A327" s="205"/>
      <c r="D327" s="271" t="s">
        <v>101</v>
      </c>
      <c r="E327" s="271">
        <v>2.0</v>
      </c>
      <c r="F327" s="272"/>
      <c r="G327" s="273"/>
      <c r="H327" s="274" t="s">
        <v>102</v>
      </c>
      <c r="I327" s="275" t="s">
        <v>98</v>
      </c>
    </row>
    <row r="328">
      <c r="A328" s="205"/>
      <c r="D328" s="283" t="s">
        <v>39</v>
      </c>
      <c r="E328" s="283">
        <v>1.0</v>
      </c>
      <c r="F328" s="30"/>
      <c r="G328" s="32"/>
      <c r="H328" s="284" t="s">
        <v>40</v>
      </c>
      <c r="I328" s="285" t="s">
        <v>30</v>
      </c>
    </row>
    <row r="329">
      <c r="A329" s="205"/>
      <c r="D329" s="209" t="s">
        <v>290</v>
      </c>
      <c r="E329" s="209">
        <v>2.0</v>
      </c>
      <c r="F329" s="215"/>
      <c r="G329" s="216"/>
      <c r="H329" s="212" t="s">
        <v>283</v>
      </c>
      <c r="I329" s="213" t="s">
        <v>65</v>
      </c>
    </row>
    <row r="330">
      <c r="A330" s="205"/>
      <c r="D330" s="375" t="s">
        <v>94</v>
      </c>
      <c r="E330" s="375">
        <v>1.0</v>
      </c>
      <c r="F330" s="376"/>
      <c r="G330" s="376"/>
      <c r="H330" s="377" t="s">
        <v>95</v>
      </c>
      <c r="I330" s="378" t="s">
        <v>65</v>
      </c>
    </row>
    <row r="331">
      <c r="A331" s="205"/>
      <c r="D331" s="409" t="s">
        <v>111</v>
      </c>
      <c r="E331" s="409">
        <v>1.0</v>
      </c>
      <c r="F331" s="80"/>
      <c r="G331" s="78"/>
      <c r="H331" s="410" t="s">
        <v>112</v>
      </c>
      <c r="I331" s="411" t="s">
        <v>105</v>
      </c>
    </row>
    <row r="332">
      <c r="A332" s="217"/>
      <c r="B332" s="218"/>
      <c r="C332" s="218"/>
      <c r="D332" s="219" t="s">
        <v>172</v>
      </c>
      <c r="E332" s="219">
        <v>1.0</v>
      </c>
      <c r="F332" s="263"/>
      <c r="G332" s="264"/>
      <c r="H332" s="222" t="s">
        <v>421</v>
      </c>
      <c r="I332" s="223" t="s">
        <v>163</v>
      </c>
    </row>
    <row r="333">
      <c r="A333" s="195" t="s">
        <v>452</v>
      </c>
      <c r="B333" s="412" t="s">
        <v>453</v>
      </c>
      <c r="C333" s="267">
        <f>sum(E333:E339)</f>
        <v>10</v>
      </c>
      <c r="D333" s="238" t="s">
        <v>58</v>
      </c>
      <c r="E333" s="238">
        <v>1.0</v>
      </c>
      <c r="F333" s="238"/>
      <c r="G333" s="238"/>
      <c r="H333" s="241" t="s">
        <v>59</v>
      </c>
      <c r="I333" s="242" t="s">
        <v>43</v>
      </c>
    </row>
    <row r="334">
      <c r="A334" s="205"/>
      <c r="D334" s="209" t="s">
        <v>405</v>
      </c>
      <c r="E334" s="209">
        <v>3.0</v>
      </c>
      <c r="F334" s="210"/>
      <c r="G334" s="211"/>
      <c r="H334" s="212" t="s">
        <v>31</v>
      </c>
      <c r="I334" s="285" t="s">
        <v>30</v>
      </c>
    </row>
    <row r="335">
      <c r="A335" s="205"/>
      <c r="D335" s="209" t="s">
        <v>290</v>
      </c>
      <c r="E335" s="209">
        <v>2.0</v>
      </c>
      <c r="F335" s="215"/>
      <c r="G335" s="216"/>
      <c r="H335" s="212" t="s">
        <v>283</v>
      </c>
      <c r="I335" s="213" t="s">
        <v>65</v>
      </c>
    </row>
    <row r="336">
      <c r="A336" s="205"/>
      <c r="D336" s="209" t="s">
        <v>120</v>
      </c>
      <c r="E336" s="209">
        <v>1.0</v>
      </c>
      <c r="F336" s="310"/>
      <c r="G336" s="310"/>
      <c r="H336" s="212" t="s">
        <v>327</v>
      </c>
      <c r="I336" s="213" t="s">
        <v>105</v>
      </c>
    </row>
    <row r="337">
      <c r="A337" s="205"/>
      <c r="D337" s="308" t="s">
        <v>137</v>
      </c>
      <c r="E337" s="308">
        <v>1.0</v>
      </c>
      <c r="F337" s="80"/>
      <c r="G337" s="86"/>
      <c r="H337" s="309" t="s">
        <v>138</v>
      </c>
      <c r="I337" s="303" t="s">
        <v>105</v>
      </c>
    </row>
    <row r="338">
      <c r="A338" s="205"/>
      <c r="D338" s="209" t="s">
        <v>117</v>
      </c>
      <c r="E338" s="209">
        <v>1.0</v>
      </c>
      <c r="F338" s="211"/>
      <c r="G338" s="211"/>
      <c r="H338" s="212" t="s">
        <v>322</v>
      </c>
      <c r="I338" s="213" t="s">
        <v>105</v>
      </c>
    </row>
    <row r="339">
      <c r="A339" s="217"/>
      <c r="B339" s="218"/>
      <c r="C339" s="218"/>
      <c r="D339" s="413" t="s">
        <v>169</v>
      </c>
      <c r="E339" s="413">
        <v>1.0</v>
      </c>
      <c r="F339" s="414"/>
      <c r="G339" s="415"/>
      <c r="H339" s="416" t="s">
        <v>170</v>
      </c>
      <c r="I339" s="417" t="s">
        <v>163</v>
      </c>
    </row>
    <row r="340">
      <c r="A340" s="236" t="s">
        <v>454</v>
      </c>
      <c r="B340" s="412" t="s">
        <v>455</v>
      </c>
      <c r="C340" s="267">
        <f>sum(E340:E345)</f>
        <v>10</v>
      </c>
      <c r="D340" s="418" t="s">
        <v>39</v>
      </c>
      <c r="E340" s="418">
        <v>1.0</v>
      </c>
      <c r="F340" s="419"/>
      <c r="G340" s="420"/>
      <c r="H340" s="421" t="s">
        <v>40</v>
      </c>
      <c r="I340" s="374" t="s">
        <v>30</v>
      </c>
    </row>
    <row r="341">
      <c r="A341" s="205"/>
      <c r="D341" s="209" t="s">
        <v>22</v>
      </c>
      <c r="E341" s="209">
        <v>2.0</v>
      </c>
      <c r="F341" s="299"/>
      <c r="G341" s="300"/>
      <c r="H341" s="212" t="s">
        <v>307</v>
      </c>
      <c r="I341" s="213" t="s">
        <v>23</v>
      </c>
    </row>
    <row r="342">
      <c r="A342" s="205"/>
      <c r="D342" s="248" t="s">
        <v>82</v>
      </c>
      <c r="E342" s="248">
        <v>1.0</v>
      </c>
      <c r="F342" s="422"/>
      <c r="G342" s="55" t="s">
        <v>83</v>
      </c>
      <c r="H342" s="249" t="s">
        <v>83</v>
      </c>
      <c r="I342" s="250" t="s">
        <v>65</v>
      </c>
    </row>
    <row r="343">
      <c r="A343" s="205"/>
      <c r="D343" s="271" t="s">
        <v>101</v>
      </c>
      <c r="E343" s="271">
        <v>2.0</v>
      </c>
      <c r="F343" s="272"/>
      <c r="G343" s="273"/>
      <c r="H343" s="274" t="s">
        <v>102</v>
      </c>
      <c r="I343" s="275" t="s">
        <v>98</v>
      </c>
    </row>
    <row r="344">
      <c r="A344" s="205"/>
      <c r="D344" s="227" t="s">
        <v>156</v>
      </c>
      <c r="E344" s="227">
        <v>2.0</v>
      </c>
      <c r="F344" s="233"/>
      <c r="G344" s="233"/>
      <c r="H344" s="234" t="s">
        <v>157</v>
      </c>
      <c r="I344" s="228" t="s">
        <v>144</v>
      </c>
    </row>
    <row r="345">
      <c r="A345" s="217"/>
      <c r="B345" s="218"/>
      <c r="C345" s="218"/>
      <c r="D345" s="219" t="s">
        <v>166</v>
      </c>
      <c r="E345" s="219">
        <v>2.0</v>
      </c>
      <c r="F345" s="252"/>
      <c r="G345" s="252"/>
      <c r="H345" s="222" t="s">
        <v>167</v>
      </c>
      <c r="I345" s="223" t="s">
        <v>163</v>
      </c>
    </row>
    <row r="346">
      <c r="A346" s="423" t="s">
        <v>456</v>
      </c>
      <c r="B346" s="424" t="s">
        <v>457</v>
      </c>
      <c r="C346" s="267">
        <f>sum(E346:E351)</f>
        <v>10</v>
      </c>
      <c r="D346" s="209" t="s">
        <v>330</v>
      </c>
      <c r="E346" s="209">
        <v>2.0</v>
      </c>
      <c r="F346" s="210"/>
      <c r="G346" s="211"/>
      <c r="H346" s="212" t="s">
        <v>331</v>
      </c>
      <c r="I346" s="213" t="s">
        <v>7</v>
      </c>
    </row>
    <row r="347">
      <c r="D347" s="244" t="s">
        <v>189</v>
      </c>
      <c r="E347" s="244">
        <v>1.0</v>
      </c>
      <c r="F347" s="11"/>
      <c r="G347" s="245"/>
      <c r="H347" s="246" t="s">
        <v>190</v>
      </c>
      <c r="I347" s="262" t="s">
        <v>186</v>
      </c>
    </row>
    <row r="348">
      <c r="D348" s="209" t="s">
        <v>58</v>
      </c>
      <c r="E348" s="209">
        <v>1.0</v>
      </c>
      <c r="F348" s="209"/>
      <c r="G348" s="209"/>
      <c r="H348" s="212" t="s">
        <v>59</v>
      </c>
      <c r="I348" s="213" t="s">
        <v>43</v>
      </c>
    </row>
    <row r="349">
      <c r="D349" s="209" t="s">
        <v>64</v>
      </c>
      <c r="E349" s="209">
        <v>3.0</v>
      </c>
      <c r="F349" s="215"/>
      <c r="G349" s="216"/>
      <c r="H349" s="212" t="s">
        <v>283</v>
      </c>
      <c r="I349" s="213" t="s">
        <v>65</v>
      </c>
    </row>
    <row r="350">
      <c r="D350" s="209" t="s">
        <v>162</v>
      </c>
      <c r="E350" s="209">
        <v>2.0</v>
      </c>
      <c r="F350" s="243"/>
      <c r="G350" s="211"/>
      <c r="H350" s="212" t="s">
        <v>164</v>
      </c>
      <c r="I350" s="260" t="s">
        <v>163</v>
      </c>
    </row>
    <row r="351">
      <c r="D351" s="209" t="s">
        <v>134</v>
      </c>
      <c r="E351" s="209">
        <v>1.0</v>
      </c>
      <c r="F351" s="210"/>
      <c r="G351" s="211"/>
      <c r="H351" s="212" t="s">
        <v>135</v>
      </c>
      <c r="I351" s="213" t="s">
        <v>105</v>
      </c>
    </row>
    <row r="352">
      <c r="A352" s="236" t="s">
        <v>458</v>
      </c>
      <c r="B352" s="237" t="s">
        <v>459</v>
      </c>
      <c r="C352" s="267">
        <f>sum(E352:E357)</f>
        <v>10</v>
      </c>
      <c r="D352" s="238" t="s">
        <v>290</v>
      </c>
      <c r="E352" s="238">
        <v>2.0</v>
      </c>
      <c r="F352" s="239"/>
      <c r="G352" s="240"/>
      <c r="H352" s="241" t="s">
        <v>283</v>
      </c>
      <c r="I352" s="242" t="s">
        <v>65</v>
      </c>
    </row>
    <row r="353">
      <c r="A353" s="205"/>
      <c r="D353" s="209" t="s">
        <v>58</v>
      </c>
      <c r="E353" s="209">
        <v>1.0</v>
      </c>
      <c r="F353" s="209"/>
      <c r="G353" s="209"/>
      <c r="H353" s="212" t="s">
        <v>59</v>
      </c>
      <c r="I353" s="213" t="s">
        <v>43</v>
      </c>
    </row>
    <row r="354">
      <c r="A354" s="205"/>
      <c r="D354" s="227" t="s">
        <v>97</v>
      </c>
      <c r="E354" s="227">
        <v>2.0</v>
      </c>
      <c r="F354" s="233"/>
      <c r="G354" s="233"/>
      <c r="H354" s="234" t="s">
        <v>99</v>
      </c>
      <c r="I354" s="213" t="s">
        <v>98</v>
      </c>
    </row>
    <row r="355">
      <c r="A355" s="205"/>
      <c r="D355" s="209" t="s">
        <v>22</v>
      </c>
      <c r="E355" s="209">
        <v>2.0</v>
      </c>
      <c r="F355" s="243"/>
      <c r="G355" s="211"/>
      <c r="H355" s="212" t="s">
        <v>307</v>
      </c>
      <c r="I355" s="213" t="s">
        <v>23</v>
      </c>
    </row>
    <row r="356">
      <c r="A356" s="205"/>
      <c r="D356" s="209" t="s">
        <v>166</v>
      </c>
      <c r="E356" s="209">
        <v>2.0</v>
      </c>
      <c r="F356" s="227"/>
      <c r="G356" s="227"/>
      <c r="H356" s="212" t="s">
        <v>167</v>
      </c>
      <c r="I356" s="213" t="s">
        <v>163</v>
      </c>
    </row>
    <row r="357">
      <c r="A357" s="217"/>
      <c r="B357" s="218"/>
      <c r="C357" s="218"/>
      <c r="D357" s="219" t="s">
        <v>134</v>
      </c>
      <c r="E357" s="219">
        <v>1.0</v>
      </c>
      <c r="F357" s="263"/>
      <c r="G357" s="264"/>
      <c r="H357" s="222" t="s">
        <v>135</v>
      </c>
      <c r="I357" s="223" t="s">
        <v>105</v>
      </c>
    </row>
    <row r="358">
      <c r="A358" s="236" t="s">
        <v>460</v>
      </c>
      <c r="B358" s="412" t="s">
        <v>411</v>
      </c>
      <c r="C358" s="267">
        <f>sum(E358:E363)</f>
        <v>10</v>
      </c>
      <c r="D358" s="238" t="s">
        <v>330</v>
      </c>
      <c r="E358" s="238">
        <v>2.0</v>
      </c>
      <c r="F358" s="278"/>
      <c r="G358" s="255"/>
      <c r="H358" s="241" t="s">
        <v>331</v>
      </c>
      <c r="I358" s="242" t="s">
        <v>7</v>
      </c>
    </row>
    <row r="359">
      <c r="A359" s="205"/>
      <c r="D359" s="209" t="s">
        <v>290</v>
      </c>
      <c r="E359" s="209">
        <v>2.0</v>
      </c>
      <c r="F359" s="215"/>
      <c r="G359" s="216"/>
      <c r="H359" s="212" t="s">
        <v>283</v>
      </c>
      <c r="I359" s="213" t="s">
        <v>65</v>
      </c>
    </row>
    <row r="360">
      <c r="A360" s="205"/>
      <c r="D360" s="229" t="s">
        <v>179</v>
      </c>
      <c r="E360" s="229">
        <v>3.0</v>
      </c>
      <c r="F360" s="230"/>
      <c r="G360" s="230"/>
      <c r="H360" s="231" t="s">
        <v>180</v>
      </c>
      <c r="I360" s="232" t="s">
        <v>176</v>
      </c>
    </row>
    <row r="361">
      <c r="A361" s="205"/>
      <c r="D361" s="244" t="s">
        <v>189</v>
      </c>
      <c r="E361" s="244">
        <v>1.0</v>
      </c>
      <c r="F361" s="11"/>
      <c r="G361" s="245"/>
      <c r="H361" s="246" t="s">
        <v>190</v>
      </c>
      <c r="I361" s="247" t="s">
        <v>186</v>
      </c>
    </row>
    <row r="362">
      <c r="A362" s="205"/>
      <c r="D362" s="209" t="s">
        <v>134</v>
      </c>
      <c r="E362" s="209">
        <v>1.0</v>
      </c>
      <c r="F362" s="210"/>
      <c r="G362" s="211"/>
      <c r="H362" s="212" t="s">
        <v>135</v>
      </c>
      <c r="I362" s="213" t="s">
        <v>105</v>
      </c>
    </row>
    <row r="363">
      <c r="A363" s="217"/>
      <c r="B363" s="218"/>
      <c r="C363" s="218"/>
      <c r="D363" s="219" t="s">
        <v>126</v>
      </c>
      <c r="E363" s="219">
        <v>1.0</v>
      </c>
      <c r="F363" s="425"/>
      <c r="G363" s="352"/>
      <c r="H363" s="222" t="s">
        <v>127</v>
      </c>
      <c r="I363" s="223" t="s">
        <v>105</v>
      </c>
    </row>
    <row r="364">
      <c r="A364" s="236" t="s">
        <v>450</v>
      </c>
      <c r="B364" s="412" t="s">
        <v>451</v>
      </c>
      <c r="C364" s="267">
        <f>sum(E364:E370)</f>
        <v>10</v>
      </c>
      <c r="D364" s="238" t="s">
        <v>330</v>
      </c>
      <c r="E364" s="238">
        <v>2.0</v>
      </c>
      <c r="F364" s="278"/>
      <c r="G364" s="255"/>
      <c r="H364" s="241" t="s">
        <v>331</v>
      </c>
      <c r="I364" s="242" t="s">
        <v>7</v>
      </c>
    </row>
    <row r="365">
      <c r="A365" s="205"/>
      <c r="D365" s="271" t="s">
        <v>101</v>
      </c>
      <c r="E365" s="271">
        <v>2.0</v>
      </c>
      <c r="F365" s="272"/>
      <c r="G365" s="273"/>
      <c r="H365" s="274" t="s">
        <v>102</v>
      </c>
      <c r="I365" s="275" t="s">
        <v>98</v>
      </c>
    </row>
    <row r="366">
      <c r="A366" s="205"/>
      <c r="D366" s="283" t="s">
        <v>39</v>
      </c>
      <c r="E366" s="283">
        <v>1.0</v>
      </c>
      <c r="F366" s="30"/>
      <c r="G366" s="32"/>
      <c r="H366" s="284" t="s">
        <v>40</v>
      </c>
      <c r="I366" s="285" t="s">
        <v>30</v>
      </c>
    </row>
    <row r="367">
      <c r="A367" s="205"/>
      <c r="D367" s="209" t="s">
        <v>290</v>
      </c>
      <c r="E367" s="209">
        <v>2.0</v>
      </c>
      <c r="F367" s="215"/>
      <c r="G367" s="216"/>
      <c r="H367" s="212" t="s">
        <v>283</v>
      </c>
      <c r="I367" s="213" t="s">
        <v>65</v>
      </c>
    </row>
    <row r="368">
      <c r="A368" s="205"/>
      <c r="D368" s="375" t="s">
        <v>94</v>
      </c>
      <c r="E368" s="375">
        <v>1.0</v>
      </c>
      <c r="F368" s="376"/>
      <c r="G368" s="376"/>
      <c r="H368" s="377" t="s">
        <v>95</v>
      </c>
      <c r="I368" s="378" t="s">
        <v>65</v>
      </c>
    </row>
    <row r="369">
      <c r="A369" s="205"/>
      <c r="D369" s="409" t="s">
        <v>111</v>
      </c>
      <c r="E369" s="409">
        <v>1.0</v>
      </c>
      <c r="F369" s="80"/>
      <c r="G369" s="78"/>
      <c r="H369" s="410" t="s">
        <v>112</v>
      </c>
      <c r="I369" s="411" t="s">
        <v>105</v>
      </c>
    </row>
    <row r="370">
      <c r="A370" s="217"/>
      <c r="B370" s="218"/>
      <c r="C370" s="218"/>
      <c r="D370" s="219" t="s">
        <v>172</v>
      </c>
      <c r="E370" s="219">
        <v>1.0</v>
      </c>
      <c r="F370" s="263"/>
      <c r="G370" s="264"/>
      <c r="H370" s="222" t="s">
        <v>421</v>
      </c>
      <c r="I370" s="223" t="s">
        <v>163</v>
      </c>
    </row>
    <row r="371">
      <c r="A371" s="195" t="s">
        <v>461</v>
      </c>
      <c r="B371" s="412" t="s">
        <v>462</v>
      </c>
      <c r="C371" s="267">
        <f>sum(E371:E376)</f>
        <v>10</v>
      </c>
      <c r="D371" s="238" t="s">
        <v>64</v>
      </c>
      <c r="E371" s="238">
        <v>3.0</v>
      </c>
      <c r="F371" s="239"/>
      <c r="G371" s="240"/>
      <c r="H371" s="241" t="s">
        <v>283</v>
      </c>
      <c r="I371" s="242" t="s">
        <v>65</v>
      </c>
    </row>
    <row r="372">
      <c r="A372" s="205"/>
      <c r="D372" s="227" t="s">
        <v>61</v>
      </c>
      <c r="E372" s="227">
        <v>1.0</v>
      </c>
      <c r="F372" s="233"/>
      <c r="G372" s="233"/>
      <c r="H372" s="234" t="s">
        <v>62</v>
      </c>
      <c r="I372" s="213" t="s">
        <v>43</v>
      </c>
    </row>
    <row r="373">
      <c r="A373" s="205"/>
      <c r="D373" s="206" t="s">
        <v>179</v>
      </c>
      <c r="E373" s="206">
        <v>3.0</v>
      </c>
      <c r="F373" s="130"/>
      <c r="G373" s="131"/>
      <c r="H373" s="207" t="s">
        <v>180</v>
      </c>
      <c r="I373" s="208" t="s">
        <v>176</v>
      </c>
    </row>
    <row r="374">
      <c r="A374" s="205"/>
      <c r="D374" s="209" t="s">
        <v>185</v>
      </c>
      <c r="E374" s="325">
        <v>1.0</v>
      </c>
      <c r="F374" s="3"/>
      <c r="G374" s="326"/>
      <c r="H374" s="327" t="s">
        <v>187</v>
      </c>
      <c r="I374" s="235" t="s">
        <v>186</v>
      </c>
    </row>
    <row r="375">
      <c r="A375" s="205"/>
      <c r="D375" s="209" t="s">
        <v>134</v>
      </c>
      <c r="E375" s="209">
        <v>1.0</v>
      </c>
      <c r="F375" s="210"/>
      <c r="G375" s="211"/>
      <c r="H375" s="212" t="s">
        <v>135</v>
      </c>
      <c r="I375" s="213" t="s">
        <v>105</v>
      </c>
    </row>
    <row r="376">
      <c r="A376" s="217"/>
      <c r="B376" s="218"/>
      <c r="C376" s="218"/>
      <c r="D376" s="426" t="s">
        <v>36</v>
      </c>
      <c r="E376" s="426">
        <v>1.0</v>
      </c>
      <c r="F376" s="427"/>
      <c r="G376" s="428"/>
      <c r="H376" s="429" t="s">
        <v>37</v>
      </c>
      <c r="I376" s="430" t="s">
        <v>30</v>
      </c>
    </row>
    <row r="377">
      <c r="A377" s="236" t="s">
        <v>463</v>
      </c>
      <c r="B377" s="412" t="s">
        <v>464</v>
      </c>
      <c r="C377" s="267">
        <f>sum(E377:E382)</f>
        <v>10</v>
      </c>
      <c r="D377" s="238" t="s">
        <v>166</v>
      </c>
      <c r="E377" s="238">
        <v>2.0</v>
      </c>
      <c r="F377" s="280"/>
      <c r="G377" s="280"/>
      <c r="H377" s="241" t="s">
        <v>167</v>
      </c>
      <c r="I377" s="242" t="s">
        <v>163</v>
      </c>
    </row>
    <row r="378">
      <c r="A378" s="205"/>
      <c r="D378" s="209" t="s">
        <v>126</v>
      </c>
      <c r="E378" s="209">
        <v>1.0</v>
      </c>
      <c r="F378" s="347"/>
      <c r="G378" s="348"/>
      <c r="H378" s="212" t="s">
        <v>127</v>
      </c>
      <c r="I378" s="213" t="s">
        <v>105</v>
      </c>
    </row>
    <row r="379">
      <c r="A379" s="205"/>
      <c r="D379" s="209" t="s">
        <v>330</v>
      </c>
      <c r="E379" s="209">
        <v>2.0</v>
      </c>
      <c r="F379" s="210"/>
      <c r="G379" s="211"/>
      <c r="H379" s="212" t="s">
        <v>331</v>
      </c>
      <c r="I379" s="213" t="s">
        <v>7</v>
      </c>
    </row>
    <row r="380">
      <c r="A380" s="205"/>
      <c r="D380" s="209" t="s">
        <v>290</v>
      </c>
      <c r="E380" s="209">
        <v>2.0</v>
      </c>
      <c r="F380" s="215"/>
      <c r="G380" s="216"/>
      <c r="H380" s="212" t="s">
        <v>283</v>
      </c>
      <c r="I380" s="213" t="s">
        <v>65</v>
      </c>
    </row>
    <row r="381">
      <c r="A381" s="205"/>
      <c r="D381" s="209" t="s">
        <v>159</v>
      </c>
      <c r="E381" s="209">
        <v>1.0</v>
      </c>
      <c r="F381" s="227"/>
      <c r="G381" s="227"/>
      <c r="H381" s="212" t="s">
        <v>145</v>
      </c>
      <c r="I381" s="228" t="s">
        <v>144</v>
      </c>
    </row>
    <row r="382">
      <c r="A382" s="217"/>
      <c r="B382" s="218"/>
      <c r="C382" s="218"/>
      <c r="D382" s="401" t="s">
        <v>182</v>
      </c>
      <c r="E382" s="401">
        <v>2.0</v>
      </c>
      <c r="F382" s="402"/>
      <c r="G382" s="403"/>
      <c r="H382" s="404" t="s">
        <v>183</v>
      </c>
      <c r="I382" s="405" t="s">
        <v>176</v>
      </c>
    </row>
    <row r="383">
      <c r="A383" s="236" t="s">
        <v>465</v>
      </c>
      <c r="B383" s="412" t="s">
        <v>466</v>
      </c>
      <c r="C383" s="267">
        <f>sum(E383:E388)</f>
        <v>10</v>
      </c>
      <c r="D383" s="238" t="s">
        <v>330</v>
      </c>
      <c r="E383" s="238">
        <v>2.0</v>
      </c>
      <c r="F383" s="278"/>
      <c r="G383" s="255"/>
      <c r="H383" s="241" t="s">
        <v>331</v>
      </c>
      <c r="I383" s="242" t="s">
        <v>7</v>
      </c>
    </row>
    <row r="384">
      <c r="A384" s="205"/>
      <c r="D384" s="206" t="s">
        <v>182</v>
      </c>
      <c r="E384" s="206">
        <v>2.0</v>
      </c>
      <c r="F384" s="130"/>
      <c r="G384" s="131"/>
      <c r="H384" s="207" t="s">
        <v>183</v>
      </c>
      <c r="I384" s="208" t="s">
        <v>176</v>
      </c>
    </row>
    <row r="385">
      <c r="A385" s="205"/>
      <c r="D385" s="209" t="s">
        <v>290</v>
      </c>
      <c r="E385" s="209">
        <v>2.0</v>
      </c>
      <c r="F385" s="215"/>
      <c r="G385" s="216"/>
      <c r="H385" s="212" t="s">
        <v>283</v>
      </c>
      <c r="I385" s="213" t="s">
        <v>65</v>
      </c>
    </row>
    <row r="386">
      <c r="A386" s="205"/>
      <c r="D386" s="227" t="s">
        <v>61</v>
      </c>
      <c r="E386" s="227">
        <v>1.0</v>
      </c>
      <c r="F386" s="233"/>
      <c r="G386" s="233"/>
      <c r="H386" s="234" t="s">
        <v>62</v>
      </c>
      <c r="I386" s="213" t="s">
        <v>43</v>
      </c>
    </row>
    <row r="387">
      <c r="A387" s="205"/>
      <c r="D387" s="244" t="s">
        <v>189</v>
      </c>
      <c r="E387" s="244">
        <v>1.0</v>
      </c>
      <c r="F387" s="11"/>
      <c r="G387" s="245"/>
      <c r="H387" s="246" t="s">
        <v>190</v>
      </c>
      <c r="I387" s="247" t="s">
        <v>186</v>
      </c>
    </row>
    <row r="388">
      <c r="A388" s="217"/>
      <c r="B388" s="218"/>
      <c r="C388" s="218"/>
      <c r="D388" s="431" t="s">
        <v>101</v>
      </c>
      <c r="E388" s="431">
        <v>2.0</v>
      </c>
      <c r="F388" s="432"/>
      <c r="G388" s="433"/>
      <c r="H388" s="434" t="s">
        <v>102</v>
      </c>
      <c r="I388" s="435" t="s">
        <v>98</v>
      </c>
    </row>
    <row r="389">
      <c r="A389" s="236" t="s">
        <v>467</v>
      </c>
      <c r="B389" s="237" t="s">
        <v>468</v>
      </c>
      <c r="C389" s="267">
        <f>sum(E389:E394)</f>
        <v>10</v>
      </c>
      <c r="D389" s="436" t="s">
        <v>6</v>
      </c>
      <c r="E389" s="436">
        <v>2.0</v>
      </c>
      <c r="F389" s="437"/>
      <c r="G389" s="438"/>
      <c r="H389" s="439" t="s">
        <v>8</v>
      </c>
      <c r="I389" s="440" t="s">
        <v>7</v>
      </c>
    </row>
    <row r="390">
      <c r="A390" s="205"/>
      <c r="D390" s="248" t="s">
        <v>70</v>
      </c>
      <c r="E390" s="248">
        <v>2.0</v>
      </c>
      <c r="F390" s="53"/>
      <c r="G390" s="55"/>
      <c r="H390" s="249" t="s">
        <v>71</v>
      </c>
      <c r="I390" s="250" t="s">
        <v>65</v>
      </c>
    </row>
    <row r="391">
      <c r="A391" s="205"/>
      <c r="D391" s="209" t="s">
        <v>58</v>
      </c>
      <c r="E391" s="209">
        <v>1.0</v>
      </c>
      <c r="F391" s="209"/>
      <c r="G391" s="209"/>
      <c r="H391" s="212" t="s">
        <v>59</v>
      </c>
      <c r="I391" s="213" t="s">
        <v>43</v>
      </c>
    </row>
    <row r="392">
      <c r="A392" s="205"/>
      <c r="D392" s="244" t="s">
        <v>189</v>
      </c>
      <c r="E392" s="244">
        <v>1.0</v>
      </c>
      <c r="F392" s="11"/>
      <c r="G392" s="245"/>
      <c r="H392" s="246" t="s">
        <v>190</v>
      </c>
      <c r="I392" s="247" t="s">
        <v>186</v>
      </c>
    </row>
    <row r="393">
      <c r="A393" s="205"/>
      <c r="D393" s="209" t="s">
        <v>104</v>
      </c>
      <c r="E393" s="209">
        <v>2.0</v>
      </c>
      <c r="F393" s="310"/>
      <c r="G393" s="310"/>
      <c r="H393" s="212" t="s">
        <v>106</v>
      </c>
      <c r="I393" s="213" t="s">
        <v>105</v>
      </c>
    </row>
    <row r="394">
      <c r="A394" s="217"/>
      <c r="B394" s="218"/>
      <c r="C394" s="218"/>
      <c r="D394" s="252" t="s">
        <v>156</v>
      </c>
      <c r="E394" s="252">
        <v>2.0</v>
      </c>
      <c r="F394" s="319"/>
      <c r="G394" s="319"/>
      <c r="H394" s="320" t="s">
        <v>157</v>
      </c>
      <c r="I394" s="253" t="s">
        <v>144</v>
      </c>
    </row>
    <row r="395">
      <c r="A395" s="254" t="s">
        <v>469</v>
      </c>
      <c r="B395" s="412" t="s">
        <v>346</v>
      </c>
      <c r="C395" s="267">
        <f>sum(E395:E399)</f>
        <v>10</v>
      </c>
      <c r="D395" s="238" t="s">
        <v>330</v>
      </c>
      <c r="E395" s="238">
        <v>2.0</v>
      </c>
      <c r="F395" s="278"/>
      <c r="G395" s="255"/>
      <c r="H395" s="241" t="s">
        <v>331</v>
      </c>
      <c r="I395" s="242" t="s">
        <v>7</v>
      </c>
    </row>
    <row r="396">
      <c r="A396" s="205"/>
      <c r="D396" s="227" t="s">
        <v>61</v>
      </c>
      <c r="E396" s="227">
        <v>1.0</v>
      </c>
      <c r="F396" s="233"/>
      <c r="G396" s="233"/>
      <c r="H396" s="234" t="s">
        <v>62</v>
      </c>
      <c r="I396" s="213" t="s">
        <v>43</v>
      </c>
    </row>
    <row r="397">
      <c r="A397" s="205"/>
      <c r="D397" s="209" t="s">
        <v>64</v>
      </c>
      <c r="E397" s="209">
        <v>3.0</v>
      </c>
      <c r="F397" s="215"/>
      <c r="G397" s="216"/>
      <c r="H397" s="212" t="s">
        <v>283</v>
      </c>
      <c r="I397" s="213" t="s">
        <v>65</v>
      </c>
    </row>
    <row r="398">
      <c r="A398" s="205"/>
      <c r="D398" s="229" t="s">
        <v>179</v>
      </c>
      <c r="E398" s="229">
        <v>3.0</v>
      </c>
      <c r="F398" s="230"/>
      <c r="G398" s="230"/>
      <c r="H398" s="231" t="s">
        <v>180</v>
      </c>
      <c r="I398" s="232" t="s">
        <v>176</v>
      </c>
    </row>
    <row r="399">
      <c r="A399" s="217"/>
      <c r="B399" s="218"/>
      <c r="C399" s="218"/>
      <c r="D399" s="391" t="s">
        <v>189</v>
      </c>
      <c r="E399" s="391">
        <v>1.0</v>
      </c>
      <c r="F399" s="399"/>
      <c r="G399" s="400"/>
      <c r="H399" s="394" t="s">
        <v>190</v>
      </c>
      <c r="I399" s="395" t="s">
        <v>186</v>
      </c>
    </row>
    <row r="400">
      <c r="A400" s="254" t="s">
        <v>470</v>
      </c>
      <c r="B400" s="412" t="s">
        <v>471</v>
      </c>
      <c r="C400" s="267">
        <f>sum(E400:E404)</f>
        <v>10</v>
      </c>
      <c r="D400" s="441" t="s">
        <v>111</v>
      </c>
      <c r="E400" s="441">
        <v>1.0</v>
      </c>
      <c r="F400" s="442"/>
      <c r="G400" s="443"/>
      <c r="H400" s="444" t="s">
        <v>112</v>
      </c>
      <c r="I400" s="445" t="s">
        <v>105</v>
      </c>
    </row>
    <row r="401">
      <c r="A401" s="205"/>
      <c r="D401" s="251" t="s">
        <v>143</v>
      </c>
      <c r="E401" s="209">
        <v>5.0</v>
      </c>
      <c r="F401" s="227"/>
      <c r="G401" s="227"/>
      <c r="H401" s="212" t="s">
        <v>145</v>
      </c>
      <c r="I401" s="228" t="s">
        <v>144</v>
      </c>
    </row>
    <row r="402">
      <c r="A402" s="205"/>
      <c r="D402" s="209" t="s">
        <v>55</v>
      </c>
      <c r="E402" s="209">
        <v>1.0</v>
      </c>
      <c r="F402" s="210"/>
      <c r="G402" s="211"/>
      <c r="H402" s="212" t="s">
        <v>56</v>
      </c>
      <c r="I402" s="213" t="s">
        <v>43</v>
      </c>
    </row>
    <row r="403">
      <c r="A403" s="205"/>
      <c r="D403" s="209" t="s">
        <v>134</v>
      </c>
      <c r="E403" s="209">
        <v>1.0</v>
      </c>
      <c r="F403" s="210"/>
      <c r="G403" s="211"/>
      <c r="H403" s="212" t="s">
        <v>135</v>
      </c>
      <c r="I403" s="213" t="s">
        <v>105</v>
      </c>
    </row>
    <row r="404">
      <c r="A404" s="217"/>
      <c r="B404" s="218"/>
      <c r="C404" s="218"/>
      <c r="D404" s="219" t="s">
        <v>380</v>
      </c>
      <c r="E404" s="219">
        <v>2.0</v>
      </c>
      <c r="F404" s="263"/>
      <c r="G404" s="264"/>
      <c r="H404" s="222" t="s">
        <v>472</v>
      </c>
      <c r="I404" s="223" t="s">
        <v>105</v>
      </c>
    </row>
    <row r="405">
      <c r="A405" s="254" t="s">
        <v>473</v>
      </c>
      <c r="B405" s="412" t="s">
        <v>474</v>
      </c>
      <c r="C405" s="267">
        <f>sum(E405:E409)</f>
        <v>10</v>
      </c>
      <c r="D405" s="238" t="s">
        <v>330</v>
      </c>
      <c r="E405" s="238">
        <v>2.0</v>
      </c>
      <c r="F405" s="278"/>
      <c r="G405" s="255"/>
      <c r="H405" s="241" t="s">
        <v>331</v>
      </c>
      <c r="I405" s="242" t="s">
        <v>7</v>
      </c>
    </row>
    <row r="406">
      <c r="A406" s="205"/>
      <c r="D406" s="206" t="s">
        <v>182</v>
      </c>
      <c r="E406" s="206">
        <v>2.0</v>
      </c>
      <c r="F406" s="130"/>
      <c r="G406" s="131"/>
      <c r="H406" s="207" t="s">
        <v>183</v>
      </c>
      <c r="I406" s="208" t="s">
        <v>176</v>
      </c>
    </row>
    <row r="407">
      <c r="A407" s="205"/>
      <c r="D407" s="209" t="s">
        <v>166</v>
      </c>
      <c r="E407" s="209">
        <v>2.0</v>
      </c>
      <c r="F407" s="227"/>
      <c r="G407" s="227"/>
      <c r="H407" s="212" t="s">
        <v>167</v>
      </c>
      <c r="I407" s="213" t="s">
        <v>163</v>
      </c>
    </row>
    <row r="408">
      <c r="A408" s="205"/>
      <c r="D408" s="209" t="s">
        <v>405</v>
      </c>
      <c r="E408" s="209">
        <v>3.0</v>
      </c>
      <c r="F408" s="210"/>
      <c r="G408" s="211"/>
      <c r="H408" s="212" t="s">
        <v>31</v>
      </c>
      <c r="I408" s="285" t="s">
        <v>30</v>
      </c>
    </row>
    <row r="409">
      <c r="A409" s="217"/>
      <c r="B409" s="218"/>
      <c r="C409" s="218"/>
      <c r="D409" s="219" t="s">
        <v>126</v>
      </c>
      <c r="E409" s="219">
        <v>1.0</v>
      </c>
      <c r="F409" s="425"/>
      <c r="G409" s="352"/>
      <c r="H409" s="222" t="s">
        <v>127</v>
      </c>
      <c r="I409" s="223" t="s">
        <v>105</v>
      </c>
    </row>
    <row r="410">
      <c r="A410" s="195" t="s">
        <v>475</v>
      </c>
      <c r="B410" s="412" t="s">
        <v>329</v>
      </c>
      <c r="C410" s="267">
        <f>sum(E410:E413)</f>
        <v>10</v>
      </c>
      <c r="D410" s="238" t="s">
        <v>64</v>
      </c>
      <c r="E410" s="238">
        <v>3.0</v>
      </c>
      <c r="F410" s="239"/>
      <c r="G410" s="240"/>
      <c r="H410" s="241" t="s">
        <v>283</v>
      </c>
      <c r="I410" s="242" t="s">
        <v>65</v>
      </c>
    </row>
    <row r="411">
      <c r="A411" s="205"/>
      <c r="D411" s="209" t="s">
        <v>162</v>
      </c>
      <c r="E411" s="209">
        <v>2.0</v>
      </c>
      <c r="F411" s="243"/>
      <c r="G411" s="211"/>
      <c r="H411" s="212" t="s">
        <v>164</v>
      </c>
      <c r="I411" s="213" t="s">
        <v>163</v>
      </c>
    </row>
    <row r="412">
      <c r="A412" s="205"/>
      <c r="D412" s="209" t="s">
        <v>330</v>
      </c>
      <c r="E412" s="209">
        <v>2.0</v>
      </c>
      <c r="F412" s="210"/>
      <c r="G412" s="211"/>
      <c r="H412" s="212" t="s">
        <v>331</v>
      </c>
      <c r="I412" s="213" t="s">
        <v>7</v>
      </c>
    </row>
    <row r="413">
      <c r="A413" s="217"/>
      <c r="B413" s="218"/>
      <c r="C413" s="218"/>
      <c r="D413" s="206" t="s">
        <v>179</v>
      </c>
      <c r="E413" s="206">
        <v>3.0</v>
      </c>
      <c r="F413" s="130"/>
      <c r="G413" s="131"/>
      <c r="H413" s="207" t="s">
        <v>180</v>
      </c>
      <c r="I413" s="208" t="s">
        <v>176</v>
      </c>
    </row>
    <row r="414">
      <c r="A414" s="254" t="s">
        <v>476</v>
      </c>
      <c r="B414" s="412" t="s">
        <v>477</v>
      </c>
      <c r="C414" s="267">
        <f>sum(E414:E419)</f>
        <v>10</v>
      </c>
      <c r="D414" s="238" t="s">
        <v>22</v>
      </c>
      <c r="E414" s="238">
        <v>2.0</v>
      </c>
      <c r="F414" s="321"/>
      <c r="G414" s="255"/>
      <c r="H414" s="241" t="s">
        <v>307</v>
      </c>
      <c r="I414" s="242" t="s">
        <v>23</v>
      </c>
    </row>
    <row r="415">
      <c r="A415" s="205"/>
      <c r="D415" s="209" t="s">
        <v>162</v>
      </c>
      <c r="E415" s="209">
        <v>2.0</v>
      </c>
      <c r="F415" s="243"/>
      <c r="G415" s="211"/>
      <c r="H415" s="212" t="s">
        <v>164</v>
      </c>
      <c r="I415" s="213" t="s">
        <v>163</v>
      </c>
    </row>
    <row r="416">
      <c r="A416" s="205"/>
      <c r="D416" s="209" t="s">
        <v>330</v>
      </c>
      <c r="E416" s="209">
        <v>2.0</v>
      </c>
      <c r="F416" s="210"/>
      <c r="G416" s="211"/>
      <c r="H416" s="212" t="s">
        <v>331</v>
      </c>
      <c r="I416" s="213" t="s">
        <v>7</v>
      </c>
    </row>
    <row r="417">
      <c r="A417" s="205"/>
      <c r="D417" s="227" t="s">
        <v>61</v>
      </c>
      <c r="E417" s="227">
        <v>1.0</v>
      </c>
      <c r="F417" s="233"/>
      <c r="G417" s="233"/>
      <c r="H417" s="234" t="s">
        <v>62</v>
      </c>
      <c r="I417" s="213" t="s">
        <v>43</v>
      </c>
    </row>
    <row r="418">
      <c r="A418" s="205"/>
      <c r="D418" s="248" t="s">
        <v>73</v>
      </c>
      <c r="E418" s="248">
        <v>2.0</v>
      </c>
      <c r="F418" s="53"/>
      <c r="G418" s="55"/>
      <c r="H418" s="249" t="s">
        <v>74</v>
      </c>
      <c r="I418" s="250" t="s">
        <v>65</v>
      </c>
    </row>
    <row r="419">
      <c r="A419" s="217"/>
      <c r="B419" s="218"/>
      <c r="C419" s="218"/>
      <c r="D419" s="219" t="s">
        <v>140</v>
      </c>
      <c r="E419" s="219">
        <v>1.0</v>
      </c>
      <c r="F419" s="258"/>
      <c r="G419" s="258"/>
      <c r="H419" s="222" t="s">
        <v>141</v>
      </c>
      <c r="I419" s="223" t="s">
        <v>105</v>
      </c>
    </row>
    <row r="420">
      <c r="A420" s="195" t="s">
        <v>478</v>
      </c>
      <c r="B420" s="196" t="s">
        <v>479</v>
      </c>
      <c r="C420" s="267">
        <f>sum(E420:E424)</f>
        <v>10</v>
      </c>
      <c r="D420" s="238" t="s">
        <v>147</v>
      </c>
      <c r="E420" s="238">
        <v>3.0</v>
      </c>
      <c r="F420" s="280"/>
      <c r="G420" s="280"/>
      <c r="H420" s="241" t="s">
        <v>145</v>
      </c>
      <c r="I420" s="324" t="s">
        <v>144</v>
      </c>
    </row>
    <row r="421">
      <c r="A421" s="205"/>
      <c r="D421" s="209" t="s">
        <v>64</v>
      </c>
      <c r="E421" s="209">
        <v>3.0</v>
      </c>
      <c r="F421" s="210"/>
      <c r="G421" s="211"/>
      <c r="H421" s="212" t="s">
        <v>283</v>
      </c>
      <c r="I421" s="213" t="s">
        <v>65</v>
      </c>
    </row>
    <row r="422">
      <c r="A422" s="205"/>
      <c r="I422" s="279"/>
    </row>
    <row r="423">
      <c r="A423" s="205"/>
      <c r="D423" s="206" t="s">
        <v>182</v>
      </c>
      <c r="E423" s="206">
        <v>2.0</v>
      </c>
      <c r="F423" s="130"/>
      <c r="G423" s="131"/>
      <c r="H423" s="207" t="s">
        <v>183</v>
      </c>
      <c r="I423" s="208" t="s">
        <v>176</v>
      </c>
    </row>
    <row r="424">
      <c r="A424" s="217"/>
      <c r="B424" s="218"/>
      <c r="C424" s="218"/>
      <c r="D424" s="219" t="s">
        <v>330</v>
      </c>
      <c r="E424" s="219">
        <v>2.0</v>
      </c>
      <c r="F424" s="263"/>
      <c r="G424" s="264"/>
      <c r="H424" s="222" t="s">
        <v>331</v>
      </c>
      <c r="I424" s="223" t="s">
        <v>7</v>
      </c>
    </row>
    <row r="425">
      <c r="A425" s="446" t="s">
        <v>480</v>
      </c>
      <c r="B425" s="447" t="s">
        <v>481</v>
      </c>
      <c r="C425" s="448">
        <f>sum(E425:E428)</f>
        <v>10</v>
      </c>
      <c r="D425" s="449" t="s">
        <v>143</v>
      </c>
      <c r="E425" s="449">
        <v>5.0</v>
      </c>
      <c r="F425" s="450"/>
      <c r="G425" s="450"/>
      <c r="H425" s="451" t="s">
        <v>145</v>
      </c>
      <c r="I425" s="452" t="s">
        <v>144</v>
      </c>
      <c r="J425" s="233"/>
      <c r="K425" s="233"/>
      <c r="L425" s="233"/>
      <c r="M425" s="233"/>
      <c r="N425" s="233"/>
      <c r="O425" s="233"/>
      <c r="P425" s="233"/>
      <c r="Q425" s="233"/>
      <c r="R425" s="233"/>
      <c r="S425" s="233"/>
      <c r="T425" s="233"/>
      <c r="U425" s="233"/>
      <c r="V425" s="233"/>
      <c r="W425" s="233"/>
      <c r="X425" s="233"/>
      <c r="Y425" s="233"/>
      <c r="Z425" s="233"/>
      <c r="AA425" s="233"/>
      <c r="AB425" s="233"/>
      <c r="AC425" s="233"/>
    </row>
    <row r="426">
      <c r="A426" s="205"/>
      <c r="D426" s="453" t="s">
        <v>162</v>
      </c>
      <c r="E426" s="453">
        <v>2.0</v>
      </c>
      <c r="F426" s="454"/>
      <c r="G426" s="454"/>
      <c r="H426" s="455" t="s">
        <v>164</v>
      </c>
      <c r="I426" s="456" t="s">
        <v>163</v>
      </c>
      <c r="J426" s="233"/>
      <c r="K426" s="233"/>
      <c r="L426" s="233"/>
      <c r="M426" s="233"/>
      <c r="N426" s="233"/>
      <c r="O426" s="233"/>
      <c r="P426" s="233"/>
      <c r="Q426" s="233"/>
      <c r="R426" s="233"/>
      <c r="S426" s="233"/>
      <c r="T426" s="233"/>
      <c r="U426" s="233"/>
      <c r="V426" s="233"/>
      <c r="W426" s="233"/>
      <c r="X426" s="233"/>
      <c r="Y426" s="233"/>
      <c r="Z426" s="233"/>
      <c r="AA426" s="233"/>
      <c r="AB426" s="233"/>
      <c r="AC426" s="233"/>
    </row>
    <row r="427">
      <c r="A427" s="205"/>
      <c r="D427" s="457" t="s">
        <v>76</v>
      </c>
      <c r="E427" s="457">
        <v>2.0</v>
      </c>
      <c r="F427" s="376"/>
      <c r="G427" s="376"/>
      <c r="H427" s="458" t="s">
        <v>77</v>
      </c>
      <c r="I427" s="459" t="s">
        <v>65</v>
      </c>
      <c r="J427" s="233"/>
      <c r="K427" s="233"/>
      <c r="L427" s="233"/>
      <c r="M427" s="233"/>
      <c r="N427" s="233"/>
      <c r="O427" s="233"/>
      <c r="P427" s="233"/>
      <c r="Q427" s="233"/>
      <c r="R427" s="233"/>
      <c r="S427" s="233"/>
      <c r="T427" s="233"/>
      <c r="U427" s="233"/>
      <c r="V427" s="233"/>
      <c r="W427" s="233"/>
      <c r="X427" s="233"/>
      <c r="Y427" s="233"/>
      <c r="Z427" s="233"/>
      <c r="AA427" s="233"/>
      <c r="AB427" s="233"/>
      <c r="AC427" s="233"/>
    </row>
    <row r="428">
      <c r="A428" s="217"/>
      <c r="B428" s="218"/>
      <c r="C428" s="218"/>
      <c r="D428" s="460" t="s">
        <v>284</v>
      </c>
      <c r="E428" s="460">
        <v>1.0</v>
      </c>
      <c r="F428" s="461"/>
      <c r="G428" s="461"/>
      <c r="H428" s="462" t="s">
        <v>115</v>
      </c>
      <c r="I428" s="463" t="s">
        <v>105</v>
      </c>
      <c r="J428" s="233"/>
      <c r="K428" s="233"/>
      <c r="L428" s="233"/>
      <c r="M428" s="233"/>
      <c r="N428" s="233"/>
      <c r="O428" s="233"/>
      <c r="P428" s="233"/>
      <c r="Q428" s="233"/>
      <c r="R428" s="233"/>
      <c r="S428" s="233"/>
      <c r="T428" s="233"/>
      <c r="U428" s="233"/>
      <c r="V428" s="233"/>
      <c r="W428" s="233"/>
      <c r="X428" s="233"/>
      <c r="Y428" s="233"/>
      <c r="Z428" s="233"/>
      <c r="AA428" s="233"/>
      <c r="AB428" s="233"/>
      <c r="AC428" s="233"/>
    </row>
    <row r="429">
      <c r="A429" s="464" t="s">
        <v>482</v>
      </c>
      <c r="B429" s="447" t="s">
        <v>483</v>
      </c>
      <c r="C429" s="448">
        <f>sum(E429:E433)</f>
        <v>10</v>
      </c>
      <c r="D429" s="465" t="s">
        <v>162</v>
      </c>
      <c r="E429" s="465">
        <v>2.0</v>
      </c>
      <c r="F429" s="466"/>
      <c r="G429" s="466"/>
      <c r="H429" s="467" t="s">
        <v>164</v>
      </c>
      <c r="I429" s="468" t="s">
        <v>163</v>
      </c>
      <c r="J429" s="469"/>
      <c r="K429" s="469"/>
      <c r="L429" s="469"/>
      <c r="M429" s="469"/>
      <c r="N429" s="469"/>
      <c r="O429" s="469"/>
      <c r="P429" s="469"/>
      <c r="Q429" s="469"/>
      <c r="R429" s="469"/>
      <c r="S429" s="469"/>
      <c r="T429" s="469"/>
      <c r="U429" s="469"/>
      <c r="V429" s="469"/>
      <c r="W429" s="469"/>
      <c r="X429" s="469"/>
      <c r="Y429" s="469"/>
      <c r="Z429" s="469"/>
      <c r="AA429" s="469"/>
      <c r="AB429" s="469"/>
      <c r="AC429" s="469"/>
    </row>
    <row r="430">
      <c r="A430" s="205"/>
      <c r="D430" s="470" t="s">
        <v>11</v>
      </c>
      <c r="E430" s="470">
        <v>2.0</v>
      </c>
      <c r="F430" s="471"/>
      <c r="G430" s="471"/>
      <c r="H430" s="472" t="s">
        <v>348</v>
      </c>
      <c r="I430" s="473" t="s">
        <v>7</v>
      </c>
      <c r="J430" s="469"/>
      <c r="K430" s="469"/>
      <c r="L430" s="469"/>
      <c r="M430" s="469"/>
      <c r="N430" s="469"/>
      <c r="O430" s="469"/>
      <c r="P430" s="469"/>
      <c r="Q430" s="469"/>
      <c r="R430" s="469"/>
      <c r="S430" s="469"/>
      <c r="T430" s="469"/>
      <c r="U430" s="469"/>
      <c r="V430" s="469"/>
      <c r="W430" s="469"/>
      <c r="X430" s="469"/>
      <c r="Y430" s="469"/>
      <c r="Z430" s="469"/>
      <c r="AA430" s="469"/>
      <c r="AB430" s="469"/>
      <c r="AC430" s="469"/>
    </row>
    <row r="431">
      <c r="A431" s="205"/>
      <c r="D431" s="474" t="s">
        <v>52</v>
      </c>
      <c r="E431" s="474">
        <v>2.0</v>
      </c>
      <c r="F431" s="475"/>
      <c r="G431" s="475"/>
      <c r="H431" s="476" t="s">
        <v>53</v>
      </c>
      <c r="I431" s="477" t="s">
        <v>43</v>
      </c>
      <c r="J431" s="469"/>
      <c r="K431" s="469"/>
      <c r="L431" s="469"/>
      <c r="M431" s="469"/>
      <c r="N431" s="469"/>
      <c r="O431" s="469"/>
      <c r="P431" s="469"/>
      <c r="Q431" s="469"/>
      <c r="R431" s="469"/>
      <c r="S431" s="469"/>
      <c r="T431" s="469"/>
      <c r="U431" s="469"/>
      <c r="V431" s="469"/>
      <c r="W431" s="469"/>
      <c r="X431" s="469"/>
      <c r="Y431" s="469"/>
      <c r="Z431" s="469"/>
      <c r="AA431" s="469"/>
      <c r="AB431" s="469"/>
      <c r="AC431" s="469"/>
    </row>
    <row r="432">
      <c r="A432" s="205"/>
      <c r="D432" s="457" t="s">
        <v>88</v>
      </c>
      <c r="E432" s="457">
        <v>1.0</v>
      </c>
      <c r="F432" s="478"/>
      <c r="G432" s="478"/>
      <c r="H432" s="458" t="s">
        <v>89</v>
      </c>
      <c r="I432" s="479" t="s">
        <v>65</v>
      </c>
      <c r="J432" s="469"/>
      <c r="K432" s="469"/>
      <c r="L432" s="469"/>
      <c r="M432" s="469"/>
      <c r="N432" s="469"/>
      <c r="O432" s="469"/>
      <c r="P432" s="469"/>
      <c r="Q432" s="469"/>
      <c r="R432" s="469"/>
      <c r="S432" s="469"/>
      <c r="T432" s="469"/>
      <c r="U432" s="469"/>
      <c r="V432" s="469"/>
      <c r="W432" s="469"/>
      <c r="X432" s="469"/>
      <c r="Y432" s="469"/>
      <c r="Z432" s="469"/>
      <c r="AA432" s="469"/>
      <c r="AB432" s="469"/>
      <c r="AC432" s="469"/>
    </row>
    <row r="433">
      <c r="A433" s="217"/>
      <c r="B433" s="218"/>
      <c r="C433" s="218"/>
      <c r="D433" s="480" t="s">
        <v>179</v>
      </c>
      <c r="E433" s="480">
        <v>3.0</v>
      </c>
      <c r="F433" s="481"/>
      <c r="G433" s="481"/>
      <c r="H433" s="482" t="s">
        <v>180</v>
      </c>
      <c r="I433" s="483" t="s">
        <v>176</v>
      </c>
      <c r="J433" s="469"/>
      <c r="K433" s="469"/>
      <c r="L433" s="469"/>
      <c r="M433" s="469"/>
      <c r="N433" s="469"/>
      <c r="O433" s="469"/>
      <c r="P433" s="469"/>
      <c r="Q433" s="469"/>
      <c r="R433" s="469"/>
      <c r="S433" s="469"/>
      <c r="T433" s="469"/>
      <c r="U433" s="469"/>
      <c r="V433" s="469"/>
      <c r="W433" s="469"/>
      <c r="X433" s="469"/>
      <c r="Y433" s="469"/>
      <c r="Z433" s="469"/>
      <c r="AA433" s="469"/>
      <c r="AB433" s="469"/>
      <c r="AC433" s="469"/>
    </row>
    <row r="434" ht="39.0" customHeight="1">
      <c r="A434" s="484" t="s">
        <v>484</v>
      </c>
      <c r="B434" s="218"/>
      <c r="C434" s="218"/>
      <c r="D434" s="218"/>
      <c r="E434" s="218"/>
      <c r="F434" s="218"/>
      <c r="G434" s="218"/>
      <c r="H434" s="485"/>
      <c r="I434" s="486"/>
      <c r="K434" s="204"/>
      <c r="L434" s="204"/>
    </row>
    <row r="435">
      <c r="A435" s="236" t="s">
        <v>485</v>
      </c>
      <c r="B435" s="237" t="s">
        <v>486</v>
      </c>
      <c r="C435" s="267">
        <f>sum(E435:E438)</f>
        <v>9</v>
      </c>
      <c r="D435" s="487" t="s">
        <v>73</v>
      </c>
      <c r="E435" s="487">
        <v>2.0</v>
      </c>
      <c r="F435" s="48"/>
      <c r="G435" s="50"/>
      <c r="H435" s="488" t="s">
        <v>74</v>
      </c>
      <c r="I435" s="489" t="s">
        <v>65</v>
      </c>
      <c r="K435" s="204"/>
      <c r="L435" s="204"/>
    </row>
    <row r="436">
      <c r="A436" s="205"/>
      <c r="D436" s="209" t="s">
        <v>143</v>
      </c>
      <c r="E436" s="209">
        <v>5.0</v>
      </c>
      <c r="F436" s="227"/>
      <c r="G436" s="227"/>
      <c r="H436" s="212" t="s">
        <v>145</v>
      </c>
      <c r="I436" s="228" t="s">
        <v>144</v>
      </c>
      <c r="K436" s="204"/>
      <c r="L436" s="204"/>
    </row>
    <row r="437">
      <c r="A437" s="205"/>
      <c r="D437" s="209" t="s">
        <v>284</v>
      </c>
      <c r="E437" s="209">
        <v>1.0</v>
      </c>
      <c r="F437" s="215"/>
      <c r="G437" s="216"/>
      <c r="H437" s="212" t="s">
        <v>115</v>
      </c>
      <c r="I437" s="213" t="s">
        <v>105</v>
      </c>
      <c r="K437" s="204"/>
      <c r="L437" s="204"/>
    </row>
    <row r="438">
      <c r="A438" s="217"/>
      <c r="B438" s="218"/>
      <c r="C438" s="218"/>
      <c r="D438" s="219" t="s">
        <v>120</v>
      </c>
      <c r="E438" s="219">
        <v>1.0</v>
      </c>
      <c r="F438" s="258"/>
      <c r="G438" s="258"/>
      <c r="H438" s="222" t="s">
        <v>327</v>
      </c>
      <c r="I438" s="223" t="s">
        <v>105</v>
      </c>
      <c r="K438" s="204"/>
      <c r="L438" s="204"/>
    </row>
    <row r="439">
      <c r="A439" s="195" t="s">
        <v>487</v>
      </c>
      <c r="B439" s="196" t="s">
        <v>488</v>
      </c>
      <c r="C439" s="197">
        <f>sum(E439:E442)</f>
        <v>9</v>
      </c>
      <c r="D439" s="238" t="s">
        <v>143</v>
      </c>
      <c r="E439" s="238">
        <v>5.0</v>
      </c>
      <c r="F439" s="280"/>
      <c r="G439" s="280"/>
      <c r="H439" s="241" t="s">
        <v>145</v>
      </c>
      <c r="I439" s="324" t="s">
        <v>144</v>
      </c>
      <c r="K439" s="204"/>
      <c r="L439" s="204"/>
    </row>
    <row r="440">
      <c r="A440" s="205"/>
      <c r="D440" s="209" t="s">
        <v>162</v>
      </c>
      <c r="E440" s="209">
        <v>2.0</v>
      </c>
      <c r="F440" s="243"/>
      <c r="G440" s="211"/>
      <c r="H440" s="212" t="s">
        <v>164</v>
      </c>
      <c r="I440" s="213" t="s">
        <v>163</v>
      </c>
      <c r="K440" s="204"/>
      <c r="L440" s="204"/>
    </row>
    <row r="441">
      <c r="A441" s="205"/>
      <c r="D441" s="209" t="s">
        <v>284</v>
      </c>
      <c r="E441" s="209">
        <v>1.0</v>
      </c>
      <c r="F441" s="215"/>
      <c r="G441" s="216"/>
      <c r="H441" s="212" t="s">
        <v>115</v>
      </c>
      <c r="I441" s="213" t="s">
        <v>105</v>
      </c>
      <c r="K441" s="204"/>
      <c r="L441" s="204"/>
    </row>
    <row r="442">
      <c r="A442" s="217"/>
      <c r="B442" s="218"/>
      <c r="C442" s="218"/>
      <c r="D442" s="219" t="s">
        <v>117</v>
      </c>
      <c r="E442" s="219">
        <v>1.0</v>
      </c>
      <c r="F442" s="264"/>
      <c r="G442" s="264"/>
      <c r="H442" s="222" t="s">
        <v>322</v>
      </c>
      <c r="I442" s="223" t="s">
        <v>105</v>
      </c>
      <c r="K442" s="204"/>
      <c r="L442" s="204"/>
    </row>
    <row r="443">
      <c r="A443" s="195" t="s">
        <v>489</v>
      </c>
      <c r="B443" s="196" t="s">
        <v>490</v>
      </c>
      <c r="C443" s="267">
        <f>sum(E443:E446)</f>
        <v>9</v>
      </c>
      <c r="D443" s="238" t="s">
        <v>143</v>
      </c>
      <c r="E443" s="238">
        <v>5.0</v>
      </c>
      <c r="F443" s="280"/>
      <c r="G443" s="280"/>
      <c r="H443" s="241" t="s">
        <v>145</v>
      </c>
      <c r="I443" s="324" t="s">
        <v>144</v>
      </c>
      <c r="K443" s="204"/>
      <c r="L443" s="204"/>
    </row>
    <row r="444">
      <c r="A444" s="205"/>
      <c r="D444" s="209" t="s">
        <v>55</v>
      </c>
      <c r="E444" s="209">
        <v>1.0</v>
      </c>
      <c r="F444" s="210"/>
      <c r="G444" s="211"/>
      <c r="H444" s="212" t="s">
        <v>56</v>
      </c>
      <c r="I444" s="213" t="s">
        <v>43</v>
      </c>
      <c r="K444" s="204"/>
      <c r="L444" s="204"/>
    </row>
    <row r="445">
      <c r="A445" s="205"/>
      <c r="D445" s="209" t="s">
        <v>290</v>
      </c>
      <c r="E445" s="209">
        <v>2.0</v>
      </c>
      <c r="F445" s="215"/>
      <c r="G445" s="216"/>
      <c r="H445" s="212" t="s">
        <v>283</v>
      </c>
      <c r="I445" s="213" t="s">
        <v>65</v>
      </c>
      <c r="K445" s="204"/>
      <c r="L445" s="204"/>
    </row>
    <row r="446">
      <c r="A446" s="217"/>
      <c r="B446" s="218"/>
      <c r="C446" s="218"/>
      <c r="D446" s="219" t="s">
        <v>284</v>
      </c>
      <c r="E446" s="219">
        <v>1.0</v>
      </c>
      <c r="F446" s="220"/>
      <c r="G446" s="221"/>
      <c r="H446" s="222" t="s">
        <v>115</v>
      </c>
      <c r="I446" s="223" t="s">
        <v>105</v>
      </c>
      <c r="K446" s="204"/>
      <c r="L446" s="204"/>
    </row>
    <row r="447">
      <c r="A447" s="254" t="s">
        <v>491</v>
      </c>
      <c r="B447" s="237" t="s">
        <v>304</v>
      </c>
      <c r="C447" s="197">
        <f>sum(E447:E452)</f>
        <v>9</v>
      </c>
      <c r="D447" s="238" t="s">
        <v>330</v>
      </c>
      <c r="E447" s="238">
        <v>2.0</v>
      </c>
      <c r="F447" s="278"/>
      <c r="G447" s="255"/>
      <c r="H447" s="241" t="s">
        <v>331</v>
      </c>
      <c r="I447" s="242" t="s">
        <v>7</v>
      </c>
      <c r="K447" s="204"/>
      <c r="L447" s="204"/>
    </row>
    <row r="448">
      <c r="A448" s="205"/>
      <c r="D448" s="209" t="s">
        <v>159</v>
      </c>
      <c r="E448" s="209">
        <v>1.0</v>
      </c>
      <c r="F448" s="227"/>
      <c r="G448" s="227"/>
      <c r="H448" s="212" t="s">
        <v>160</v>
      </c>
      <c r="I448" s="228" t="s">
        <v>144</v>
      </c>
      <c r="K448" s="204"/>
      <c r="L448" s="204"/>
    </row>
    <row r="449">
      <c r="A449" s="205"/>
      <c r="D449" s="209" t="s">
        <v>64</v>
      </c>
      <c r="E449" s="209">
        <v>3.0</v>
      </c>
      <c r="F449" s="215"/>
      <c r="G449" s="216"/>
      <c r="H449" s="212" t="s">
        <v>283</v>
      </c>
      <c r="I449" s="213" t="s">
        <v>65</v>
      </c>
      <c r="K449" s="204"/>
      <c r="L449" s="204"/>
    </row>
    <row r="450">
      <c r="A450" s="205"/>
      <c r="D450" s="209" t="s">
        <v>284</v>
      </c>
      <c r="E450" s="209">
        <v>1.0</v>
      </c>
      <c r="F450" s="215"/>
      <c r="G450" s="216"/>
      <c r="H450" s="212" t="s">
        <v>115</v>
      </c>
      <c r="I450" s="213" t="s">
        <v>105</v>
      </c>
      <c r="K450" s="204"/>
      <c r="L450" s="204"/>
    </row>
    <row r="451">
      <c r="A451" s="205"/>
      <c r="D451" s="209" t="s">
        <v>162</v>
      </c>
      <c r="E451" s="209">
        <v>2.0</v>
      </c>
      <c r="F451" s="243"/>
      <c r="G451" s="211"/>
      <c r="H451" s="212" t="s">
        <v>164</v>
      </c>
      <c r="I451" s="213" t="s">
        <v>163</v>
      </c>
      <c r="K451" s="204"/>
      <c r="L451" s="204"/>
    </row>
    <row r="452">
      <c r="A452" s="217"/>
      <c r="B452" s="218"/>
      <c r="C452" s="218"/>
      <c r="D452" s="219" t="s">
        <v>492</v>
      </c>
      <c r="E452" s="219">
        <v>0.0</v>
      </c>
      <c r="F452" s="263"/>
      <c r="G452" s="264"/>
      <c r="H452" s="490"/>
      <c r="I452" s="223"/>
      <c r="K452" s="204"/>
      <c r="L452" s="204"/>
    </row>
    <row r="453">
      <c r="A453" s="236" t="s">
        <v>493</v>
      </c>
      <c r="B453" s="237" t="s">
        <v>494</v>
      </c>
      <c r="C453" s="267">
        <f>sum(E453:E456)</f>
        <v>9</v>
      </c>
      <c r="D453" s="238" t="s">
        <v>284</v>
      </c>
      <c r="E453" s="238">
        <v>1.0</v>
      </c>
      <c r="F453" s="239"/>
      <c r="G453" s="240"/>
      <c r="H453" s="241" t="s">
        <v>115</v>
      </c>
      <c r="I453" s="242" t="s">
        <v>105</v>
      </c>
      <c r="K453" s="204"/>
      <c r="L453" s="204"/>
    </row>
    <row r="454">
      <c r="A454" s="205"/>
      <c r="D454" s="251" t="s">
        <v>76</v>
      </c>
      <c r="E454" s="251">
        <v>2.0</v>
      </c>
      <c r="F454" s="53"/>
      <c r="G454" s="54"/>
      <c r="H454" s="256" t="s">
        <v>77</v>
      </c>
      <c r="I454" s="257" t="s">
        <v>65</v>
      </c>
      <c r="K454" s="204"/>
      <c r="L454" s="204"/>
    </row>
    <row r="455">
      <c r="A455" s="205"/>
      <c r="D455" s="209" t="s">
        <v>143</v>
      </c>
      <c r="E455" s="209">
        <v>5.0</v>
      </c>
      <c r="F455" s="227"/>
      <c r="G455" s="227"/>
      <c r="H455" s="212" t="s">
        <v>145</v>
      </c>
      <c r="I455" s="228" t="s">
        <v>144</v>
      </c>
      <c r="K455" s="204"/>
      <c r="L455" s="204"/>
    </row>
    <row r="456">
      <c r="A456" s="217"/>
      <c r="B456" s="218"/>
      <c r="C456" s="218"/>
      <c r="D456" s="209" t="s">
        <v>117</v>
      </c>
      <c r="E456" s="209">
        <v>1.0</v>
      </c>
      <c r="F456" s="211"/>
      <c r="G456" s="211"/>
      <c r="H456" s="212" t="s">
        <v>322</v>
      </c>
      <c r="I456" s="213" t="s">
        <v>105</v>
      </c>
      <c r="K456" s="204"/>
      <c r="L456" s="204"/>
    </row>
    <row r="457">
      <c r="A457" s="236" t="s">
        <v>495</v>
      </c>
      <c r="B457" s="237" t="s">
        <v>431</v>
      </c>
      <c r="C457" s="267">
        <f>sum(E457:AC460)</f>
        <v>9</v>
      </c>
      <c r="D457" s="238" t="s">
        <v>64</v>
      </c>
      <c r="E457" s="238">
        <v>3.0</v>
      </c>
      <c r="F457" s="239"/>
      <c r="G457" s="240"/>
      <c r="H457" s="241" t="s">
        <v>283</v>
      </c>
      <c r="I457" s="242" t="s">
        <v>65</v>
      </c>
      <c r="K457" s="204"/>
      <c r="L457" s="204"/>
    </row>
    <row r="458">
      <c r="A458" s="205"/>
      <c r="D458" s="209" t="s">
        <v>147</v>
      </c>
      <c r="E458" s="209">
        <v>3.0</v>
      </c>
      <c r="F458" s="227"/>
      <c r="G458" s="227"/>
      <c r="H458" s="212" t="s">
        <v>145</v>
      </c>
      <c r="I458" s="228" t="s">
        <v>144</v>
      </c>
      <c r="K458" s="204"/>
      <c r="L458" s="204"/>
    </row>
    <row r="459">
      <c r="A459" s="205"/>
      <c r="D459" s="209" t="s">
        <v>162</v>
      </c>
      <c r="E459" s="209">
        <v>2.0</v>
      </c>
      <c r="F459" s="243"/>
      <c r="G459" s="211"/>
      <c r="H459" s="212" t="s">
        <v>164</v>
      </c>
      <c r="I459" s="213" t="s">
        <v>163</v>
      </c>
      <c r="K459" s="204"/>
      <c r="L459" s="204"/>
    </row>
    <row r="460">
      <c r="A460" s="217"/>
      <c r="B460" s="218"/>
      <c r="C460" s="218"/>
      <c r="D460" s="491" t="s">
        <v>284</v>
      </c>
      <c r="E460" s="492">
        <v>1.0</v>
      </c>
      <c r="F460" s="461"/>
      <c r="G460" s="461"/>
      <c r="H460" s="493" t="s">
        <v>115</v>
      </c>
      <c r="I460" s="494" t="s">
        <v>105</v>
      </c>
      <c r="K460" s="204"/>
      <c r="L460" s="204"/>
    </row>
    <row r="461" ht="16.5" customHeight="1">
      <c r="A461" s="236" t="s">
        <v>496</v>
      </c>
      <c r="B461" s="237" t="s">
        <v>497</v>
      </c>
      <c r="C461" s="197">
        <f>sum(E461:E465)</f>
        <v>9</v>
      </c>
      <c r="D461" s="238" t="s">
        <v>58</v>
      </c>
      <c r="E461" s="238">
        <v>1.0</v>
      </c>
      <c r="F461" s="346"/>
      <c r="G461" s="495"/>
      <c r="H461" s="241" t="s">
        <v>59</v>
      </c>
      <c r="I461" s="242" t="s">
        <v>43</v>
      </c>
      <c r="K461" s="204"/>
      <c r="L461" s="204"/>
    </row>
    <row r="462" ht="16.5" customHeight="1">
      <c r="A462" s="205"/>
      <c r="D462" s="209" t="s">
        <v>153</v>
      </c>
      <c r="E462" s="209">
        <v>2.0</v>
      </c>
      <c r="F462" s="243"/>
      <c r="G462" s="211"/>
      <c r="H462" s="212" t="s">
        <v>154</v>
      </c>
      <c r="I462" s="228" t="s">
        <v>144</v>
      </c>
      <c r="K462" s="204"/>
      <c r="L462" s="204"/>
    </row>
    <row r="463" ht="16.5" customHeight="1">
      <c r="A463" s="205"/>
      <c r="D463" s="209" t="s">
        <v>330</v>
      </c>
      <c r="E463" s="209">
        <v>2.0</v>
      </c>
      <c r="F463" s="210"/>
      <c r="G463" s="211"/>
      <c r="H463" s="212" t="s">
        <v>331</v>
      </c>
      <c r="I463" s="213" t="s">
        <v>7</v>
      </c>
      <c r="K463" s="204"/>
      <c r="L463" s="204"/>
    </row>
    <row r="464" ht="16.5" customHeight="1">
      <c r="A464" s="205"/>
      <c r="D464" s="209" t="s">
        <v>162</v>
      </c>
      <c r="E464" s="209">
        <v>2.0</v>
      </c>
      <c r="F464" s="243"/>
      <c r="G464" s="211"/>
      <c r="H464" s="212" t="s">
        <v>164</v>
      </c>
      <c r="I464" s="213" t="s">
        <v>163</v>
      </c>
      <c r="K464" s="204"/>
      <c r="L464" s="204"/>
    </row>
    <row r="465" ht="16.5" customHeight="1">
      <c r="A465" s="217"/>
      <c r="B465" s="218"/>
      <c r="C465" s="218"/>
      <c r="D465" s="219" t="s">
        <v>49</v>
      </c>
      <c r="E465" s="219">
        <v>2.0</v>
      </c>
      <c r="F465" s="263"/>
      <c r="G465" s="264"/>
      <c r="H465" s="222" t="s">
        <v>50</v>
      </c>
      <c r="I465" s="213" t="s">
        <v>43</v>
      </c>
      <c r="K465" s="204"/>
      <c r="L465" s="204"/>
    </row>
    <row r="466">
      <c r="A466" s="314" t="s">
        <v>498</v>
      </c>
      <c r="B466" s="277" t="s">
        <v>499</v>
      </c>
      <c r="C466" s="197">
        <f>sum(E466:E469)</f>
        <v>9</v>
      </c>
      <c r="D466" s="238" t="s">
        <v>330</v>
      </c>
      <c r="E466" s="238">
        <v>2.0</v>
      </c>
      <c r="F466" s="278"/>
      <c r="G466" s="255"/>
      <c r="H466" s="241" t="s">
        <v>331</v>
      </c>
      <c r="I466" s="242" t="s">
        <v>7</v>
      </c>
      <c r="K466" s="204"/>
      <c r="L466" s="204"/>
    </row>
    <row r="467">
      <c r="A467" s="205"/>
      <c r="D467" s="209" t="s">
        <v>162</v>
      </c>
      <c r="E467" s="209">
        <v>2.0</v>
      </c>
      <c r="F467" s="243"/>
      <c r="G467" s="211"/>
      <c r="H467" s="212" t="s">
        <v>164</v>
      </c>
      <c r="I467" s="213" t="s">
        <v>163</v>
      </c>
      <c r="K467" s="204"/>
      <c r="L467" s="204"/>
    </row>
    <row r="468">
      <c r="A468" s="205"/>
      <c r="D468" s="209" t="s">
        <v>64</v>
      </c>
      <c r="E468" s="209">
        <v>3.0</v>
      </c>
      <c r="F468" s="215"/>
      <c r="G468" s="216"/>
      <c r="H468" s="212" t="s">
        <v>283</v>
      </c>
      <c r="I468" s="213" t="s">
        <v>65</v>
      </c>
      <c r="K468" s="204"/>
      <c r="L468" s="204"/>
    </row>
    <row r="469">
      <c r="A469" s="217"/>
      <c r="B469" s="218"/>
      <c r="C469" s="218"/>
      <c r="D469" s="227" t="s">
        <v>97</v>
      </c>
      <c r="E469" s="227">
        <v>2.0</v>
      </c>
      <c r="F469" s="233"/>
      <c r="G469" s="233"/>
      <c r="H469" s="234" t="s">
        <v>99</v>
      </c>
      <c r="I469" s="213" t="s">
        <v>98</v>
      </c>
      <c r="K469" s="204"/>
      <c r="L469" s="204"/>
    </row>
    <row r="470">
      <c r="A470" s="496" t="s">
        <v>500</v>
      </c>
      <c r="B470" s="412" t="s">
        <v>501</v>
      </c>
      <c r="C470" s="197">
        <f>sum(E470:E474)</f>
        <v>9</v>
      </c>
      <c r="D470" s="238" t="s">
        <v>162</v>
      </c>
      <c r="E470" s="238">
        <v>2.0</v>
      </c>
      <c r="F470" s="321"/>
      <c r="G470" s="255"/>
      <c r="H470" s="241" t="s">
        <v>164</v>
      </c>
      <c r="I470" s="242" t="s">
        <v>163</v>
      </c>
      <c r="K470" s="204"/>
      <c r="L470" s="204"/>
    </row>
    <row r="471">
      <c r="A471" s="205"/>
      <c r="D471" s="209" t="s">
        <v>330</v>
      </c>
      <c r="E471" s="209">
        <v>2.0</v>
      </c>
      <c r="F471" s="210"/>
      <c r="G471" s="211"/>
      <c r="H471" s="212" t="s">
        <v>331</v>
      </c>
      <c r="I471" s="213" t="s">
        <v>7</v>
      </c>
      <c r="K471" s="204"/>
      <c r="L471" s="204"/>
    </row>
    <row r="472">
      <c r="A472" s="205"/>
      <c r="D472" s="209" t="s">
        <v>19</v>
      </c>
      <c r="E472" s="209">
        <v>2.0</v>
      </c>
      <c r="F472" s="210"/>
      <c r="G472" s="211"/>
      <c r="H472" s="212" t="s">
        <v>20</v>
      </c>
      <c r="I472" s="213" t="s">
        <v>7</v>
      </c>
      <c r="K472" s="204"/>
      <c r="L472" s="204"/>
    </row>
    <row r="473">
      <c r="A473" s="205"/>
      <c r="D473" s="209" t="s">
        <v>153</v>
      </c>
      <c r="E473" s="209">
        <v>2.0</v>
      </c>
      <c r="F473" s="243"/>
      <c r="G473" s="211"/>
      <c r="H473" s="212" t="s">
        <v>154</v>
      </c>
      <c r="I473" s="228" t="s">
        <v>144</v>
      </c>
      <c r="K473" s="204"/>
      <c r="L473" s="204"/>
    </row>
    <row r="474">
      <c r="A474" s="217"/>
      <c r="B474" s="218"/>
      <c r="C474" s="218"/>
      <c r="D474" s="209" t="s">
        <v>159</v>
      </c>
      <c r="E474" s="209">
        <v>1.0</v>
      </c>
      <c r="F474" s="227"/>
      <c r="G474" s="227"/>
      <c r="H474" s="212" t="s">
        <v>160</v>
      </c>
      <c r="I474" s="228" t="s">
        <v>144</v>
      </c>
      <c r="K474" s="204"/>
      <c r="L474" s="204"/>
    </row>
    <row r="475">
      <c r="A475" s="195" t="s">
        <v>502</v>
      </c>
      <c r="B475" s="277" t="s">
        <v>503</v>
      </c>
      <c r="C475" s="197">
        <f>sum(E475:E478)</f>
        <v>9</v>
      </c>
      <c r="D475" s="238" t="s">
        <v>330</v>
      </c>
      <c r="E475" s="238">
        <v>2.0</v>
      </c>
      <c r="F475" s="278"/>
      <c r="G475" s="255"/>
      <c r="H475" s="241" t="s">
        <v>331</v>
      </c>
      <c r="I475" s="242" t="s">
        <v>7</v>
      </c>
      <c r="K475" s="204"/>
      <c r="L475" s="204"/>
    </row>
    <row r="476">
      <c r="A476" s="205"/>
      <c r="D476" s="209" t="s">
        <v>64</v>
      </c>
      <c r="E476" s="209">
        <v>3.0</v>
      </c>
      <c r="F476" s="215"/>
      <c r="G476" s="216"/>
      <c r="H476" s="212" t="s">
        <v>283</v>
      </c>
      <c r="I476" s="213" t="s">
        <v>65</v>
      </c>
      <c r="K476" s="204"/>
      <c r="L476" s="204"/>
    </row>
    <row r="477">
      <c r="A477" s="205"/>
      <c r="D477" s="209" t="s">
        <v>49</v>
      </c>
      <c r="E477" s="209">
        <v>2.0</v>
      </c>
      <c r="F477" s="210"/>
      <c r="G477" s="211"/>
      <c r="H477" s="212" t="s">
        <v>50</v>
      </c>
      <c r="I477" s="213" t="s">
        <v>43</v>
      </c>
      <c r="K477" s="204"/>
      <c r="L477" s="204"/>
    </row>
    <row r="478">
      <c r="A478" s="217"/>
      <c r="B478" s="218"/>
      <c r="C478" s="218"/>
      <c r="D478" s="209" t="s">
        <v>162</v>
      </c>
      <c r="E478" s="209">
        <v>2.0</v>
      </c>
      <c r="F478" s="243"/>
      <c r="G478" s="211"/>
      <c r="H478" s="212" t="s">
        <v>164</v>
      </c>
      <c r="I478" s="213" t="s">
        <v>163</v>
      </c>
      <c r="K478" s="204"/>
      <c r="L478" s="204"/>
    </row>
    <row r="479">
      <c r="A479" s="254" t="s">
        <v>504</v>
      </c>
      <c r="B479" s="237" t="s">
        <v>505</v>
      </c>
      <c r="C479" s="197">
        <f>Sum(E479:E483)</f>
        <v>9</v>
      </c>
      <c r="D479" s="238" t="s">
        <v>506</v>
      </c>
      <c r="E479" s="238">
        <v>3.0</v>
      </c>
      <c r="F479" s="278"/>
      <c r="G479" s="255"/>
      <c r="H479" s="241" t="s">
        <v>507</v>
      </c>
      <c r="I479" s="242" t="s">
        <v>105</v>
      </c>
      <c r="K479" s="204"/>
      <c r="L479" s="204"/>
    </row>
    <row r="480">
      <c r="A480" s="205"/>
      <c r="D480" s="209" t="s">
        <v>49</v>
      </c>
      <c r="E480" s="209">
        <v>2.0</v>
      </c>
      <c r="F480" s="210"/>
      <c r="G480" s="211"/>
      <c r="H480" s="212" t="s">
        <v>50</v>
      </c>
      <c r="I480" s="213" t="s">
        <v>43</v>
      </c>
      <c r="K480" s="204"/>
      <c r="L480" s="204"/>
    </row>
    <row r="481">
      <c r="A481" s="205"/>
      <c r="D481" s="209" t="s">
        <v>140</v>
      </c>
      <c r="E481" s="209">
        <v>1.0</v>
      </c>
      <c r="F481" s="211"/>
      <c r="G481" s="211"/>
      <c r="H481" s="212" t="s">
        <v>141</v>
      </c>
      <c r="I481" s="213" t="s">
        <v>105</v>
      </c>
      <c r="K481" s="204"/>
      <c r="L481" s="204"/>
    </row>
    <row r="482">
      <c r="A482" s="205"/>
      <c r="D482" s="209" t="s">
        <v>117</v>
      </c>
      <c r="E482" s="209">
        <v>1.0</v>
      </c>
      <c r="F482" s="211"/>
      <c r="G482" s="211"/>
      <c r="H482" s="212" t="s">
        <v>322</v>
      </c>
      <c r="I482" s="213" t="s">
        <v>105</v>
      </c>
      <c r="K482" s="204"/>
      <c r="L482" s="204"/>
    </row>
    <row r="483">
      <c r="A483" s="217"/>
      <c r="B483" s="218"/>
      <c r="C483" s="218"/>
      <c r="D483" s="219" t="s">
        <v>79</v>
      </c>
      <c r="E483" s="219">
        <v>2.0</v>
      </c>
      <c r="F483" s="264"/>
      <c r="G483" s="264"/>
      <c r="H483" s="222" t="s">
        <v>80</v>
      </c>
      <c r="I483" s="213" t="s">
        <v>65</v>
      </c>
      <c r="K483" s="204"/>
      <c r="L483" s="204"/>
    </row>
    <row r="484">
      <c r="A484" s="224" t="s">
        <v>508</v>
      </c>
      <c r="B484" s="225" t="s">
        <v>509</v>
      </c>
      <c r="C484" s="276">
        <f>sum(E484:E487)</f>
        <v>9</v>
      </c>
      <c r="D484" s="209" t="s">
        <v>330</v>
      </c>
      <c r="E484" s="209">
        <v>2.0</v>
      </c>
      <c r="F484" s="210"/>
      <c r="G484" s="211"/>
      <c r="H484" s="212" t="s">
        <v>331</v>
      </c>
      <c r="I484" s="213" t="s">
        <v>7</v>
      </c>
      <c r="K484" s="204"/>
      <c r="L484" s="204"/>
    </row>
    <row r="485">
      <c r="A485" s="205"/>
      <c r="D485" s="209" t="s">
        <v>510</v>
      </c>
      <c r="E485" s="209">
        <v>3.0</v>
      </c>
      <c r="F485" s="210"/>
      <c r="G485" s="211"/>
      <c r="H485" s="212" t="s">
        <v>511</v>
      </c>
      <c r="I485" s="213" t="s">
        <v>98</v>
      </c>
      <c r="K485" s="204"/>
      <c r="L485" s="204"/>
    </row>
    <row r="486">
      <c r="A486" s="205"/>
      <c r="D486" s="227" t="s">
        <v>61</v>
      </c>
      <c r="E486" s="227">
        <v>1.0</v>
      </c>
      <c r="F486" s="233"/>
      <c r="G486" s="233"/>
      <c r="H486" s="234" t="s">
        <v>62</v>
      </c>
      <c r="I486" s="213" t="s">
        <v>43</v>
      </c>
      <c r="K486" s="204"/>
      <c r="L486" s="204"/>
    </row>
    <row r="487">
      <c r="A487" s="217"/>
      <c r="B487" s="218"/>
      <c r="C487" s="218"/>
      <c r="D487" s="209" t="s">
        <v>64</v>
      </c>
      <c r="E487" s="209">
        <v>3.0</v>
      </c>
      <c r="F487" s="215"/>
      <c r="G487" s="216"/>
      <c r="H487" s="212" t="s">
        <v>283</v>
      </c>
      <c r="I487" s="213" t="s">
        <v>65</v>
      </c>
      <c r="K487" s="204"/>
      <c r="L487" s="204"/>
    </row>
    <row r="488">
      <c r="A488" s="236" t="s">
        <v>512</v>
      </c>
      <c r="B488" s="237" t="s">
        <v>513</v>
      </c>
      <c r="C488" s="197">
        <f>sum(E488:E491)</f>
        <v>9</v>
      </c>
      <c r="D488" s="199" t="s">
        <v>179</v>
      </c>
      <c r="E488" s="199">
        <v>3.0</v>
      </c>
      <c r="F488" s="200"/>
      <c r="G488" s="201"/>
      <c r="H488" s="497" t="s">
        <v>180</v>
      </c>
      <c r="I488" s="203" t="s">
        <v>176</v>
      </c>
      <c r="K488" s="204"/>
      <c r="L488" s="204"/>
    </row>
    <row r="489">
      <c r="A489" s="205"/>
      <c r="D489" s="244" t="s">
        <v>189</v>
      </c>
      <c r="E489" s="244">
        <v>1.0</v>
      </c>
      <c r="F489" s="11"/>
      <c r="G489" s="245"/>
      <c r="H489" s="246" t="s">
        <v>190</v>
      </c>
      <c r="I489" s="247" t="s">
        <v>186</v>
      </c>
      <c r="K489" s="204"/>
      <c r="L489" s="204"/>
    </row>
    <row r="490">
      <c r="A490" s="205"/>
      <c r="D490" s="248" t="s">
        <v>64</v>
      </c>
      <c r="E490" s="248">
        <v>3.0</v>
      </c>
      <c r="F490" s="53"/>
      <c r="G490" s="55"/>
      <c r="H490" s="249" t="s">
        <v>283</v>
      </c>
      <c r="I490" s="250" t="s">
        <v>65</v>
      </c>
      <c r="K490" s="204"/>
      <c r="L490" s="204"/>
    </row>
    <row r="491">
      <c r="A491" s="217"/>
      <c r="B491" s="218"/>
      <c r="C491" s="218"/>
      <c r="D491" s="209" t="s">
        <v>514</v>
      </c>
      <c r="E491" s="209">
        <v>2.0</v>
      </c>
      <c r="F491" s="204"/>
      <c r="G491" s="211"/>
      <c r="H491" s="212" t="s">
        <v>515</v>
      </c>
      <c r="I491" s="213" t="s">
        <v>7</v>
      </c>
      <c r="K491" s="204"/>
      <c r="L491" s="204"/>
    </row>
    <row r="492">
      <c r="A492" s="236" t="s">
        <v>516</v>
      </c>
      <c r="B492" s="237" t="s">
        <v>517</v>
      </c>
      <c r="C492" s="197">
        <f>sum(E492:E496)</f>
        <v>9</v>
      </c>
      <c r="D492" s="498" t="s">
        <v>64</v>
      </c>
      <c r="E492" s="238">
        <v>3.0</v>
      </c>
      <c r="F492" s="499" t="s">
        <v>518</v>
      </c>
      <c r="G492" s="294"/>
      <c r="H492" s="241" t="s">
        <v>283</v>
      </c>
      <c r="I492" s="500" t="s">
        <v>65</v>
      </c>
      <c r="K492" s="204"/>
      <c r="L492" s="204"/>
    </row>
    <row r="493">
      <c r="A493" s="205"/>
      <c r="D493" s="501" t="s">
        <v>61</v>
      </c>
      <c r="E493" s="227">
        <v>1.0</v>
      </c>
      <c r="H493" s="234" t="s">
        <v>62</v>
      </c>
      <c r="I493" s="502" t="s">
        <v>43</v>
      </c>
      <c r="K493" s="204"/>
      <c r="L493" s="204"/>
    </row>
    <row r="494">
      <c r="A494" s="205"/>
      <c r="D494" s="503" t="s">
        <v>162</v>
      </c>
      <c r="E494" s="504">
        <v>2.0</v>
      </c>
      <c r="F494" s="505"/>
      <c r="G494" s="505"/>
      <c r="H494" s="506" t="s">
        <v>164</v>
      </c>
      <c r="I494" s="507" t="s">
        <v>163</v>
      </c>
      <c r="K494" s="204"/>
      <c r="L494" s="204"/>
    </row>
    <row r="495">
      <c r="A495" s="205"/>
      <c r="D495" s="209" t="s">
        <v>284</v>
      </c>
      <c r="E495" s="209">
        <v>2.0</v>
      </c>
      <c r="F495" s="508" t="s">
        <v>519</v>
      </c>
      <c r="H495" s="212" t="s">
        <v>115</v>
      </c>
      <c r="I495" s="213" t="s">
        <v>105</v>
      </c>
      <c r="K495" s="204"/>
      <c r="L495" s="204"/>
    </row>
    <row r="496">
      <c r="A496" s="217"/>
      <c r="B496" s="218"/>
      <c r="C496" s="218"/>
      <c r="D496" s="209" t="s">
        <v>159</v>
      </c>
      <c r="E496" s="209">
        <v>1.0</v>
      </c>
      <c r="F496" s="218"/>
      <c r="G496" s="218"/>
      <c r="H496" s="212" t="s">
        <v>160</v>
      </c>
      <c r="I496" s="228" t="s">
        <v>144</v>
      </c>
      <c r="K496" s="204"/>
      <c r="L496" s="204"/>
    </row>
    <row r="497">
      <c r="A497" s="236" t="s">
        <v>520</v>
      </c>
      <c r="B497" s="237" t="s">
        <v>521</v>
      </c>
      <c r="C497" s="197">
        <f>sum(E497:E501)</f>
        <v>9</v>
      </c>
      <c r="D497" s="238" t="s">
        <v>153</v>
      </c>
      <c r="E497" s="238">
        <v>2.0</v>
      </c>
      <c r="F497" s="321"/>
      <c r="G497" s="255"/>
      <c r="H497" s="241" t="s">
        <v>154</v>
      </c>
      <c r="I497" s="324" t="s">
        <v>144</v>
      </c>
      <c r="K497" s="204"/>
      <c r="L497" s="204"/>
    </row>
    <row r="498">
      <c r="A498" s="205"/>
      <c r="D498" s="209" t="s">
        <v>162</v>
      </c>
      <c r="E498" s="209">
        <v>2.0</v>
      </c>
      <c r="F498" s="243"/>
      <c r="G498" s="211"/>
      <c r="H498" s="212" t="s">
        <v>164</v>
      </c>
      <c r="I498" s="213" t="s">
        <v>163</v>
      </c>
      <c r="K498" s="204"/>
      <c r="L498" s="204"/>
    </row>
    <row r="499">
      <c r="A499" s="205"/>
      <c r="D499" s="209" t="s">
        <v>522</v>
      </c>
      <c r="E499" s="209">
        <v>2.0</v>
      </c>
      <c r="F499" s="310"/>
      <c r="G499" s="310"/>
      <c r="H499" s="212" t="s">
        <v>348</v>
      </c>
      <c r="I499" s="213" t="s">
        <v>7</v>
      </c>
      <c r="K499" s="204"/>
      <c r="L499" s="204"/>
    </row>
    <row r="500">
      <c r="A500" s="205"/>
      <c r="D500" s="209" t="s">
        <v>523</v>
      </c>
      <c r="E500" s="209">
        <v>2.0</v>
      </c>
      <c r="F500" s="210"/>
      <c r="G500" s="211"/>
      <c r="H500" s="212" t="s">
        <v>524</v>
      </c>
      <c r="I500" s="213" t="s">
        <v>7</v>
      </c>
      <c r="K500" s="204"/>
      <c r="L500" s="204"/>
    </row>
    <row r="501">
      <c r="A501" s="217"/>
      <c r="B501" s="218"/>
      <c r="C501" s="218"/>
      <c r="D501" s="219" t="s">
        <v>525</v>
      </c>
      <c r="E501" s="219">
        <v>1.0</v>
      </c>
      <c r="F501" s="263"/>
      <c r="G501" s="264"/>
      <c r="H501" s="222" t="s">
        <v>526</v>
      </c>
      <c r="I501" s="343" t="s">
        <v>144</v>
      </c>
      <c r="K501" s="204"/>
      <c r="L501" s="204"/>
    </row>
    <row r="502">
      <c r="A502" s="311" t="s">
        <v>527</v>
      </c>
      <c r="B502" s="423" t="s">
        <v>528</v>
      </c>
      <c r="C502" s="276">
        <f>sum(E502:E506)</f>
        <v>9</v>
      </c>
      <c r="D502" s="209" t="s">
        <v>19</v>
      </c>
      <c r="E502" s="209">
        <v>2.0</v>
      </c>
      <c r="F502" s="210"/>
      <c r="G502" s="211"/>
      <c r="H502" s="212" t="s">
        <v>20</v>
      </c>
      <c r="I502" s="260" t="s">
        <v>7</v>
      </c>
      <c r="J502" s="4"/>
      <c r="K502" s="204"/>
      <c r="L502" s="204"/>
    </row>
    <row r="503">
      <c r="A503" s="205"/>
      <c r="D503" s="227" t="s">
        <v>97</v>
      </c>
      <c r="E503" s="227">
        <v>2.0</v>
      </c>
      <c r="F503" s="233"/>
      <c r="G503" s="233"/>
      <c r="H503" s="234" t="s">
        <v>99</v>
      </c>
      <c r="I503" s="260" t="s">
        <v>98</v>
      </c>
      <c r="J503" s="4"/>
      <c r="K503" s="204"/>
      <c r="L503" s="204"/>
    </row>
    <row r="504">
      <c r="A504" s="205"/>
      <c r="D504" s="209" t="s">
        <v>162</v>
      </c>
      <c r="E504" s="209">
        <v>2.0</v>
      </c>
      <c r="F504" s="243"/>
      <c r="G504" s="211"/>
      <c r="H504" s="212" t="s">
        <v>164</v>
      </c>
      <c r="I504" s="260" t="s">
        <v>163</v>
      </c>
      <c r="J504" s="4"/>
      <c r="K504" s="204"/>
      <c r="L504" s="204"/>
    </row>
    <row r="505">
      <c r="A505" s="205"/>
      <c r="D505" s="209" t="s">
        <v>22</v>
      </c>
      <c r="E505" s="209">
        <v>2.0</v>
      </c>
      <c r="F505" s="243"/>
      <c r="G505" s="211"/>
      <c r="H505" s="212" t="s">
        <v>307</v>
      </c>
      <c r="I505" s="213" t="s">
        <v>23</v>
      </c>
      <c r="K505" s="204"/>
      <c r="L505" s="204"/>
    </row>
    <row r="506">
      <c r="A506" s="217"/>
      <c r="B506" s="218"/>
      <c r="C506" s="218"/>
      <c r="D506" s="209" t="s">
        <v>134</v>
      </c>
      <c r="E506" s="209">
        <v>1.0</v>
      </c>
      <c r="F506" s="210"/>
      <c r="G506" s="211"/>
      <c r="H506" s="212" t="s">
        <v>135</v>
      </c>
      <c r="I506" s="213" t="s">
        <v>105</v>
      </c>
      <c r="K506" s="204"/>
      <c r="L506" s="204"/>
    </row>
    <row r="507">
      <c r="A507" s="195" t="s">
        <v>529</v>
      </c>
      <c r="B507" s="237" t="s">
        <v>530</v>
      </c>
      <c r="C507" s="197">
        <f>sum(E507:E510)</f>
        <v>9</v>
      </c>
      <c r="D507" s="238" t="s">
        <v>162</v>
      </c>
      <c r="E507" s="238">
        <v>2.0</v>
      </c>
      <c r="F507" s="321"/>
      <c r="G507" s="255"/>
      <c r="H507" s="241" t="s">
        <v>164</v>
      </c>
      <c r="I507" s="242" t="s">
        <v>163</v>
      </c>
      <c r="K507" s="204"/>
      <c r="L507" s="204"/>
    </row>
    <row r="508">
      <c r="A508" s="205"/>
      <c r="D508" s="209" t="s">
        <v>22</v>
      </c>
      <c r="E508" s="209">
        <v>2.0</v>
      </c>
      <c r="F508" s="243"/>
      <c r="G508" s="211"/>
      <c r="H508" s="212" t="s">
        <v>307</v>
      </c>
      <c r="I508" s="213" t="s">
        <v>23</v>
      </c>
      <c r="K508" s="204"/>
      <c r="L508" s="204"/>
    </row>
    <row r="509">
      <c r="A509" s="205"/>
      <c r="D509" s="209" t="s">
        <v>64</v>
      </c>
      <c r="E509" s="209">
        <v>3.0</v>
      </c>
      <c r="F509" s="215"/>
      <c r="G509" s="216"/>
      <c r="H509" s="212" t="s">
        <v>283</v>
      </c>
      <c r="I509" s="213" t="s">
        <v>65</v>
      </c>
      <c r="K509" s="204"/>
      <c r="L509" s="204"/>
    </row>
    <row r="510">
      <c r="A510" s="217"/>
      <c r="B510" s="218"/>
      <c r="C510" s="218"/>
      <c r="D510" s="209" t="s">
        <v>330</v>
      </c>
      <c r="E510" s="209">
        <v>2.0</v>
      </c>
      <c r="F510" s="210"/>
      <c r="G510" s="211"/>
      <c r="H510" s="212" t="s">
        <v>331</v>
      </c>
      <c r="I510" s="213" t="s">
        <v>7</v>
      </c>
      <c r="K510" s="204"/>
      <c r="L510" s="204"/>
    </row>
    <row r="511">
      <c r="A511" s="195" t="s">
        <v>531</v>
      </c>
      <c r="B511" s="196" t="s">
        <v>532</v>
      </c>
      <c r="C511" s="197">
        <f>sum(E511:AC514)</f>
        <v>9</v>
      </c>
      <c r="D511" s="238" t="s">
        <v>166</v>
      </c>
      <c r="E511" s="238">
        <v>2.0</v>
      </c>
      <c r="F511" s="278"/>
      <c r="G511" s="255"/>
      <c r="H511" s="241" t="s">
        <v>167</v>
      </c>
      <c r="I511" s="242" t="s">
        <v>163</v>
      </c>
      <c r="K511" s="204"/>
      <c r="L511" s="204"/>
    </row>
    <row r="512">
      <c r="A512" s="205"/>
      <c r="D512" s="209" t="s">
        <v>22</v>
      </c>
      <c r="E512" s="209">
        <v>2.0</v>
      </c>
      <c r="F512" s="299"/>
      <c r="G512" s="300"/>
      <c r="H512" s="212" t="s">
        <v>307</v>
      </c>
      <c r="I512" s="213" t="s">
        <v>23</v>
      </c>
      <c r="K512" s="204"/>
      <c r="L512" s="204"/>
    </row>
    <row r="513">
      <c r="A513" s="205"/>
      <c r="D513" s="209" t="s">
        <v>64</v>
      </c>
      <c r="E513" s="209">
        <v>3.0</v>
      </c>
      <c r="F513" s="215"/>
      <c r="G513" s="216"/>
      <c r="H513" s="212" t="s">
        <v>283</v>
      </c>
      <c r="I513" s="213" t="s">
        <v>65</v>
      </c>
      <c r="K513" s="204"/>
      <c r="L513" s="204"/>
    </row>
    <row r="514">
      <c r="A514" s="217"/>
      <c r="B514" s="218"/>
      <c r="C514" s="218"/>
      <c r="D514" s="252" t="s">
        <v>97</v>
      </c>
      <c r="E514" s="252">
        <v>2.0</v>
      </c>
      <c r="F514" s="319"/>
      <c r="G514" s="319"/>
      <c r="H514" s="320" t="s">
        <v>99</v>
      </c>
      <c r="I514" s="223" t="s">
        <v>98</v>
      </c>
      <c r="K514" s="204"/>
      <c r="L514" s="204"/>
    </row>
    <row r="515">
      <c r="A515" s="195" t="s">
        <v>533</v>
      </c>
      <c r="B515" s="237" t="s">
        <v>288</v>
      </c>
      <c r="C515" s="197">
        <f>sum(E515:E521)</f>
        <v>9</v>
      </c>
      <c r="D515" s="238" t="s">
        <v>162</v>
      </c>
      <c r="E515" s="238">
        <v>2.0</v>
      </c>
      <c r="F515" s="321"/>
      <c r="G515" s="255"/>
      <c r="H515" s="241" t="s">
        <v>164</v>
      </c>
      <c r="I515" s="242" t="s">
        <v>163</v>
      </c>
      <c r="K515" s="204"/>
      <c r="L515" s="204"/>
    </row>
    <row r="516">
      <c r="A516" s="205"/>
      <c r="D516" s="209" t="s">
        <v>104</v>
      </c>
      <c r="E516" s="209">
        <v>2.0</v>
      </c>
      <c r="F516" s="310"/>
      <c r="G516" s="310"/>
      <c r="H516" s="212" t="s">
        <v>106</v>
      </c>
      <c r="I516" s="213" t="s">
        <v>105</v>
      </c>
      <c r="K516" s="204"/>
      <c r="L516" s="204"/>
    </row>
    <row r="517">
      <c r="A517" s="205"/>
      <c r="D517" s="209" t="s">
        <v>22</v>
      </c>
      <c r="E517" s="209">
        <v>2.0</v>
      </c>
      <c r="F517" s="299"/>
      <c r="G517" s="300"/>
      <c r="H517" s="212" t="s">
        <v>307</v>
      </c>
      <c r="I517" s="213" t="s">
        <v>23</v>
      </c>
      <c r="K517" s="204"/>
      <c r="L517" s="204"/>
    </row>
    <row r="518">
      <c r="A518" s="205"/>
      <c r="D518" s="209" t="s">
        <v>131</v>
      </c>
      <c r="E518" s="209">
        <v>1.0</v>
      </c>
      <c r="F518" s="310"/>
      <c r="G518" s="310"/>
      <c r="H518" s="212" t="s">
        <v>132</v>
      </c>
      <c r="I518" s="213" t="s">
        <v>105</v>
      </c>
      <c r="K518" s="204"/>
      <c r="L518" s="204"/>
    </row>
    <row r="519">
      <c r="A519" s="205"/>
      <c r="D519" s="209" t="s">
        <v>126</v>
      </c>
      <c r="E519" s="209">
        <v>1.0</v>
      </c>
      <c r="F519" s="347"/>
      <c r="G519" s="348"/>
      <c r="H519" s="212" t="s">
        <v>127</v>
      </c>
      <c r="I519" s="213" t="s">
        <v>105</v>
      </c>
      <c r="K519" s="204"/>
      <c r="L519" s="204"/>
    </row>
    <row r="520">
      <c r="A520" s="205"/>
      <c r="D520" s="209" t="s">
        <v>58</v>
      </c>
      <c r="E520" s="209">
        <v>1.0</v>
      </c>
      <c r="F520" s="209"/>
      <c r="G520" s="209"/>
      <c r="H520" s="212" t="s">
        <v>59</v>
      </c>
      <c r="I520" s="213" t="s">
        <v>43</v>
      </c>
      <c r="K520" s="204"/>
      <c r="L520" s="204"/>
    </row>
    <row r="521">
      <c r="A521" s="217"/>
      <c r="B521" s="218"/>
      <c r="C521" s="218"/>
      <c r="D521" s="218"/>
      <c r="E521" s="218"/>
      <c r="F521" s="218"/>
      <c r="G521" s="218"/>
      <c r="H521" s="218"/>
      <c r="I521" s="509"/>
      <c r="K521" s="204"/>
      <c r="L521" s="204"/>
    </row>
    <row r="522">
      <c r="A522" s="510" t="s">
        <v>534</v>
      </c>
      <c r="B522" s="511" t="s">
        <v>535</v>
      </c>
      <c r="C522" s="267">
        <f>sum(E522:E527)</f>
        <v>9</v>
      </c>
      <c r="D522" s="238" t="s">
        <v>58</v>
      </c>
      <c r="E522" s="238">
        <v>1.0</v>
      </c>
      <c r="F522" s="238"/>
      <c r="G522" s="238"/>
      <c r="H522" s="241" t="s">
        <v>59</v>
      </c>
      <c r="I522" s="242" t="s">
        <v>43</v>
      </c>
      <c r="K522" s="204"/>
      <c r="L522" s="204"/>
    </row>
    <row r="523">
      <c r="A523" s="205"/>
      <c r="D523" s="209" t="s">
        <v>19</v>
      </c>
      <c r="E523" s="209">
        <v>2.0</v>
      </c>
      <c r="F523" s="210"/>
      <c r="G523" s="211"/>
      <c r="H523" s="212" t="s">
        <v>20</v>
      </c>
      <c r="I523" s="213" t="s">
        <v>7</v>
      </c>
      <c r="K523" s="204"/>
      <c r="L523" s="204"/>
    </row>
    <row r="524">
      <c r="A524" s="205"/>
      <c r="D524" s="283" t="s">
        <v>39</v>
      </c>
      <c r="E524" s="283">
        <v>1.0</v>
      </c>
      <c r="F524" s="30"/>
      <c r="G524" s="32"/>
      <c r="H524" s="284" t="s">
        <v>40</v>
      </c>
      <c r="I524" s="285" t="s">
        <v>30</v>
      </c>
      <c r="K524" s="204"/>
      <c r="L524" s="204"/>
    </row>
    <row r="525">
      <c r="A525" s="205"/>
      <c r="D525" s="209" t="s">
        <v>49</v>
      </c>
      <c r="E525" s="209">
        <v>2.0</v>
      </c>
      <c r="F525" s="210"/>
      <c r="G525" s="211"/>
      <c r="H525" s="212" t="s">
        <v>50</v>
      </c>
      <c r="I525" s="213" t="s">
        <v>43</v>
      </c>
      <c r="K525" s="204"/>
      <c r="L525" s="204"/>
    </row>
    <row r="526">
      <c r="A526" s="205"/>
      <c r="D526" s="248" t="s">
        <v>70</v>
      </c>
      <c r="E526" s="248">
        <v>2.0</v>
      </c>
      <c r="F526" s="53"/>
      <c r="G526" s="55"/>
      <c r="H526" s="249" t="s">
        <v>71</v>
      </c>
      <c r="I526" s="250" t="s">
        <v>65</v>
      </c>
      <c r="K526" s="204"/>
      <c r="L526" s="204"/>
    </row>
    <row r="527">
      <c r="A527" s="217"/>
      <c r="B527" s="218"/>
      <c r="C527" s="218"/>
      <c r="D527" s="209" t="s">
        <v>131</v>
      </c>
      <c r="E527" s="209">
        <v>1.0</v>
      </c>
      <c r="F527" s="310"/>
      <c r="G527" s="310"/>
      <c r="H527" s="212" t="s">
        <v>132</v>
      </c>
      <c r="I527" s="213" t="s">
        <v>105</v>
      </c>
      <c r="K527" s="204"/>
      <c r="L527" s="204"/>
    </row>
    <row r="528">
      <c r="A528" s="236" t="s">
        <v>536</v>
      </c>
      <c r="B528" s="237" t="s">
        <v>537</v>
      </c>
      <c r="C528" s="267">
        <f>sum(E528:E531)</f>
        <v>9</v>
      </c>
      <c r="D528" s="238" t="s">
        <v>162</v>
      </c>
      <c r="E528" s="238">
        <v>2.0</v>
      </c>
      <c r="F528" s="321"/>
      <c r="G528" s="255"/>
      <c r="H528" s="241" t="s">
        <v>164</v>
      </c>
      <c r="I528" s="242" t="s">
        <v>163</v>
      </c>
      <c r="K528" s="204"/>
      <c r="L528" s="204"/>
    </row>
    <row r="529">
      <c r="A529" s="205"/>
      <c r="D529" s="248" t="s">
        <v>79</v>
      </c>
      <c r="E529" s="248">
        <v>2.0</v>
      </c>
      <c r="F529" s="53"/>
      <c r="G529" s="55"/>
      <c r="H529" s="249" t="s">
        <v>80</v>
      </c>
      <c r="I529" s="250" t="s">
        <v>65</v>
      </c>
      <c r="K529" s="204"/>
      <c r="L529" s="204"/>
    </row>
    <row r="530">
      <c r="A530" s="205"/>
      <c r="D530" s="271" t="s">
        <v>101</v>
      </c>
      <c r="E530" s="271">
        <v>2.0</v>
      </c>
      <c r="F530" s="272"/>
      <c r="G530" s="273"/>
      <c r="H530" s="274" t="s">
        <v>102</v>
      </c>
      <c r="I530" s="275" t="s">
        <v>98</v>
      </c>
      <c r="K530" s="204"/>
      <c r="L530" s="204"/>
    </row>
    <row r="531">
      <c r="A531" s="217"/>
      <c r="B531" s="218"/>
      <c r="C531" s="218"/>
      <c r="D531" s="219" t="s">
        <v>147</v>
      </c>
      <c r="E531" s="219">
        <v>3.0</v>
      </c>
      <c r="F531" s="252"/>
      <c r="G531" s="252"/>
      <c r="H531" s="222" t="s">
        <v>145</v>
      </c>
      <c r="I531" s="253" t="s">
        <v>144</v>
      </c>
      <c r="K531" s="204"/>
      <c r="L531" s="204"/>
    </row>
    <row r="532">
      <c r="A532" s="512" t="s">
        <v>538</v>
      </c>
      <c r="B532" s="513" t="s">
        <v>302</v>
      </c>
      <c r="C532" s="267">
        <f>sum(E532:E535)</f>
        <v>9</v>
      </c>
      <c r="D532" s="238" t="s">
        <v>290</v>
      </c>
      <c r="E532" s="238">
        <v>2.0</v>
      </c>
      <c r="F532" s="239"/>
      <c r="G532" s="240"/>
      <c r="H532" s="241" t="s">
        <v>283</v>
      </c>
      <c r="I532" s="242" t="s">
        <v>65</v>
      </c>
      <c r="K532" s="204"/>
      <c r="L532" s="204"/>
    </row>
    <row r="533">
      <c r="A533" s="205"/>
      <c r="D533" s="227" t="s">
        <v>97</v>
      </c>
      <c r="E533" s="227">
        <v>2.0</v>
      </c>
      <c r="F533" s="233"/>
      <c r="G533" s="233"/>
      <c r="H533" s="234" t="s">
        <v>99</v>
      </c>
      <c r="I533" s="213" t="s">
        <v>98</v>
      </c>
      <c r="K533" s="204"/>
      <c r="L533" s="204"/>
    </row>
    <row r="534">
      <c r="A534" s="205"/>
      <c r="D534" s="209" t="s">
        <v>153</v>
      </c>
      <c r="E534" s="209">
        <v>2.0</v>
      </c>
      <c r="F534" s="243"/>
      <c r="G534" s="211"/>
      <c r="H534" s="212" t="s">
        <v>154</v>
      </c>
      <c r="I534" s="228" t="s">
        <v>144</v>
      </c>
      <c r="K534" s="204"/>
      <c r="L534" s="204"/>
    </row>
    <row r="535">
      <c r="A535" s="217"/>
      <c r="B535" s="218"/>
      <c r="C535" s="218"/>
      <c r="D535" s="219" t="s">
        <v>175</v>
      </c>
      <c r="E535" s="219">
        <v>3.0</v>
      </c>
      <c r="F535" s="264"/>
      <c r="G535" s="264"/>
      <c r="H535" s="222" t="s">
        <v>289</v>
      </c>
      <c r="I535" s="223" t="s">
        <v>176</v>
      </c>
      <c r="K535" s="204"/>
      <c r="L535" s="204"/>
    </row>
    <row r="536">
      <c r="A536" s="195" t="s">
        <v>539</v>
      </c>
      <c r="B536" s="290" t="s">
        <v>540</v>
      </c>
      <c r="C536" s="267">
        <f>sum(E536:E541)</f>
        <v>9</v>
      </c>
      <c r="D536" s="238" t="s">
        <v>120</v>
      </c>
      <c r="E536" s="238">
        <v>1.0</v>
      </c>
      <c r="F536" s="353"/>
      <c r="G536" s="353"/>
      <c r="H536" s="241" t="s">
        <v>327</v>
      </c>
      <c r="I536" s="242" t="s">
        <v>105</v>
      </c>
      <c r="K536" s="204"/>
      <c r="L536" s="204"/>
    </row>
    <row r="537">
      <c r="A537" s="205"/>
      <c r="D537" s="209" t="s">
        <v>117</v>
      </c>
      <c r="E537" s="209">
        <v>1.0</v>
      </c>
      <c r="F537" s="211"/>
      <c r="G537" s="211"/>
      <c r="H537" s="212" t="s">
        <v>322</v>
      </c>
      <c r="I537" s="213" t="s">
        <v>105</v>
      </c>
      <c r="K537" s="204"/>
      <c r="L537" s="204"/>
    </row>
    <row r="538">
      <c r="A538" s="205"/>
      <c r="D538" s="209" t="s">
        <v>162</v>
      </c>
      <c r="E538" s="209">
        <v>2.0</v>
      </c>
      <c r="F538" s="243"/>
      <c r="G538" s="211"/>
      <c r="H538" s="212" t="s">
        <v>164</v>
      </c>
      <c r="I538" s="213" t="s">
        <v>163</v>
      </c>
      <c r="K538" s="204"/>
      <c r="L538" s="204"/>
    </row>
    <row r="539">
      <c r="A539" s="205"/>
      <c r="D539" s="209" t="s">
        <v>55</v>
      </c>
      <c r="E539" s="209">
        <v>1.0</v>
      </c>
      <c r="F539" s="210"/>
      <c r="G539" s="211"/>
      <c r="H539" s="212" t="s">
        <v>56</v>
      </c>
      <c r="I539" s="213" t="s">
        <v>43</v>
      </c>
      <c r="K539" s="204"/>
      <c r="L539" s="204"/>
    </row>
    <row r="540">
      <c r="A540" s="205"/>
      <c r="D540" s="209" t="s">
        <v>159</v>
      </c>
      <c r="E540" s="209">
        <v>1.0</v>
      </c>
      <c r="F540" s="227"/>
      <c r="G540" s="227"/>
      <c r="H540" s="212" t="s">
        <v>160</v>
      </c>
      <c r="I540" s="228" t="s">
        <v>144</v>
      </c>
      <c r="K540" s="204"/>
      <c r="L540" s="204"/>
    </row>
    <row r="541">
      <c r="A541" s="217"/>
      <c r="B541" s="218"/>
      <c r="C541" s="218"/>
      <c r="D541" s="219" t="s">
        <v>541</v>
      </c>
      <c r="E541" s="219">
        <v>3.0</v>
      </c>
      <c r="F541" s="355"/>
      <c r="G541" s="356"/>
      <c r="H541" s="222" t="s">
        <v>307</v>
      </c>
      <c r="I541" s="223" t="s">
        <v>23</v>
      </c>
      <c r="K541" s="204"/>
      <c r="L541" s="204"/>
    </row>
    <row r="542">
      <c r="A542" s="195" t="s">
        <v>542</v>
      </c>
      <c r="B542" s="196" t="s">
        <v>543</v>
      </c>
      <c r="C542" s="267">
        <f>sum(E542:E545)</f>
        <v>9</v>
      </c>
      <c r="D542" s="238" t="s">
        <v>49</v>
      </c>
      <c r="E542" s="238">
        <v>2.0</v>
      </c>
      <c r="F542" s="278"/>
      <c r="G542" s="255"/>
      <c r="H542" s="241" t="s">
        <v>50</v>
      </c>
      <c r="I542" s="242" t="s">
        <v>43</v>
      </c>
      <c r="K542" s="204"/>
      <c r="L542" s="204"/>
    </row>
    <row r="543">
      <c r="A543" s="205"/>
      <c r="D543" s="209" t="s">
        <v>64</v>
      </c>
      <c r="E543" s="209">
        <v>3.0</v>
      </c>
      <c r="F543" s="215"/>
      <c r="G543" s="216"/>
      <c r="H543" s="212" t="s">
        <v>283</v>
      </c>
      <c r="I543" s="213" t="s">
        <v>65</v>
      </c>
      <c r="K543" s="204"/>
      <c r="L543" s="204"/>
    </row>
    <row r="544">
      <c r="A544" s="205"/>
      <c r="D544" s="209" t="s">
        <v>147</v>
      </c>
      <c r="E544" s="209">
        <v>3.0</v>
      </c>
      <c r="F544" s="227"/>
      <c r="G544" s="227"/>
      <c r="H544" s="212" t="s">
        <v>145</v>
      </c>
      <c r="I544" s="228" t="s">
        <v>144</v>
      </c>
      <c r="K544" s="204"/>
      <c r="L544" s="204"/>
    </row>
    <row r="545">
      <c r="A545" s="217"/>
      <c r="B545" s="218"/>
      <c r="C545" s="218"/>
      <c r="D545" s="219" t="s">
        <v>117</v>
      </c>
      <c r="E545" s="219">
        <v>1.0</v>
      </c>
      <c r="F545" s="264"/>
      <c r="G545" s="264"/>
      <c r="H545" s="222" t="s">
        <v>322</v>
      </c>
      <c r="I545" s="223" t="s">
        <v>105</v>
      </c>
      <c r="K545" s="204"/>
      <c r="L545" s="204"/>
    </row>
    <row r="546">
      <c r="A546" s="514" t="s">
        <v>544</v>
      </c>
      <c r="B546" s="290" t="s">
        <v>545</v>
      </c>
      <c r="C546" s="267">
        <f>sum(E546:E549)</f>
        <v>9</v>
      </c>
      <c r="D546" s="238" t="s">
        <v>11</v>
      </c>
      <c r="E546" s="238">
        <v>2.0</v>
      </c>
      <c r="F546" s="353"/>
      <c r="G546" s="353"/>
      <c r="H546" s="241" t="s">
        <v>348</v>
      </c>
      <c r="I546" s="242" t="s">
        <v>7</v>
      </c>
      <c r="K546" s="204"/>
      <c r="L546" s="204"/>
    </row>
    <row r="547">
      <c r="A547" s="205"/>
      <c r="D547" s="209" t="s">
        <v>147</v>
      </c>
      <c r="E547" s="209">
        <v>3.0</v>
      </c>
      <c r="F547" s="227"/>
      <c r="G547" s="227"/>
      <c r="H547" s="212" t="s">
        <v>145</v>
      </c>
      <c r="I547" s="228" t="s">
        <v>144</v>
      </c>
      <c r="K547" s="204"/>
      <c r="L547" s="204"/>
    </row>
    <row r="548">
      <c r="A548" s="205"/>
      <c r="D548" s="209" t="s">
        <v>162</v>
      </c>
      <c r="E548" s="209">
        <v>2.0</v>
      </c>
      <c r="F548" s="243"/>
      <c r="G548" s="211"/>
      <c r="H548" s="212" t="s">
        <v>164</v>
      </c>
      <c r="I548" s="213" t="s">
        <v>163</v>
      </c>
      <c r="K548" s="204"/>
      <c r="L548" s="204"/>
    </row>
    <row r="549">
      <c r="A549" s="205"/>
      <c r="D549" s="515" t="s">
        <v>108</v>
      </c>
      <c r="E549" s="515">
        <v>2.0</v>
      </c>
      <c r="F549" s="516"/>
      <c r="G549" s="517"/>
      <c r="H549" s="518" t="s">
        <v>109</v>
      </c>
      <c r="I549" s="519" t="s">
        <v>105</v>
      </c>
      <c r="K549" s="204"/>
      <c r="L549" s="204"/>
    </row>
    <row r="550">
      <c r="A550" s="236" t="s">
        <v>546</v>
      </c>
      <c r="B550" s="237" t="s">
        <v>302</v>
      </c>
      <c r="C550" s="267">
        <f>sum(E550:E554)</f>
        <v>9</v>
      </c>
      <c r="D550" s="280" t="s">
        <v>156</v>
      </c>
      <c r="E550" s="280">
        <v>2.0</v>
      </c>
      <c r="F550" s="281"/>
      <c r="G550" s="281"/>
      <c r="H550" s="282" t="s">
        <v>157</v>
      </c>
      <c r="I550" s="324" t="s">
        <v>144</v>
      </c>
      <c r="K550" s="204"/>
      <c r="L550" s="204"/>
    </row>
    <row r="551">
      <c r="A551" s="205"/>
      <c r="D551" s="209" t="s">
        <v>166</v>
      </c>
      <c r="E551" s="209">
        <v>2.0</v>
      </c>
      <c r="F551" s="227"/>
      <c r="G551" s="227"/>
      <c r="H551" s="212" t="s">
        <v>167</v>
      </c>
      <c r="I551" s="213" t="s">
        <v>163</v>
      </c>
      <c r="K551" s="204"/>
      <c r="L551" s="204"/>
    </row>
    <row r="552">
      <c r="A552" s="205"/>
      <c r="D552" s="209" t="s">
        <v>175</v>
      </c>
      <c r="E552" s="209">
        <v>3.0</v>
      </c>
      <c r="F552" s="211"/>
      <c r="G552" s="211"/>
      <c r="H552" s="212" t="s">
        <v>289</v>
      </c>
      <c r="I552" s="213" t="s">
        <v>176</v>
      </c>
      <c r="K552" s="204"/>
      <c r="L552" s="204"/>
    </row>
    <row r="553">
      <c r="A553" s="205"/>
      <c r="D553" s="209" t="s">
        <v>134</v>
      </c>
      <c r="E553" s="209">
        <v>1.0</v>
      </c>
      <c r="F553" s="210"/>
      <c r="G553" s="211"/>
      <c r="H553" s="212" t="s">
        <v>135</v>
      </c>
      <c r="I553" s="213" t="s">
        <v>105</v>
      </c>
      <c r="K553" s="204"/>
      <c r="L553" s="204"/>
    </row>
    <row r="554">
      <c r="A554" s="217"/>
      <c r="B554" s="218"/>
      <c r="C554" s="218"/>
      <c r="D554" s="520" t="s">
        <v>111</v>
      </c>
      <c r="E554" s="520">
        <v>1.0</v>
      </c>
      <c r="F554" s="362"/>
      <c r="G554" s="521"/>
      <c r="H554" s="522" t="s">
        <v>112</v>
      </c>
      <c r="I554" s="523" t="s">
        <v>105</v>
      </c>
      <c r="K554" s="204"/>
      <c r="L554" s="204"/>
    </row>
    <row r="555">
      <c r="A555" s="236" t="s">
        <v>547</v>
      </c>
      <c r="B555" s="237" t="s">
        <v>548</v>
      </c>
      <c r="C555" s="267">
        <f>sum(E555:E560)</f>
        <v>9</v>
      </c>
      <c r="D555" s="238" t="s">
        <v>22</v>
      </c>
      <c r="E555" s="238">
        <v>2.0</v>
      </c>
      <c r="F555" s="321"/>
      <c r="G555" s="255"/>
      <c r="H555" s="241" t="s">
        <v>307</v>
      </c>
      <c r="I555" s="242" t="s">
        <v>23</v>
      </c>
      <c r="K555" s="204"/>
      <c r="L555" s="204"/>
    </row>
    <row r="556">
      <c r="A556" s="205"/>
      <c r="D556" s="209" t="s">
        <v>55</v>
      </c>
      <c r="E556" s="209">
        <v>1.0</v>
      </c>
      <c r="F556" s="210"/>
      <c r="G556" s="211"/>
      <c r="H556" s="212" t="s">
        <v>56</v>
      </c>
      <c r="I556" s="213" t="s">
        <v>43</v>
      </c>
      <c r="K556" s="204"/>
      <c r="L556" s="204"/>
    </row>
    <row r="557">
      <c r="A557" s="205"/>
      <c r="D557" s="209" t="s">
        <v>166</v>
      </c>
      <c r="E557" s="209">
        <v>2.0</v>
      </c>
      <c r="F557" s="227"/>
      <c r="G557" s="227"/>
      <c r="H557" s="212" t="s">
        <v>167</v>
      </c>
      <c r="I557" s="213" t="s">
        <v>163</v>
      </c>
      <c r="K557" s="204"/>
      <c r="L557" s="204"/>
    </row>
    <row r="558">
      <c r="A558" s="205"/>
      <c r="D558" s="248" t="s">
        <v>79</v>
      </c>
      <c r="E558" s="248">
        <v>2.0</v>
      </c>
      <c r="F558" s="53"/>
      <c r="G558" s="55"/>
      <c r="H558" s="249" t="s">
        <v>80</v>
      </c>
      <c r="I558" s="250" t="s">
        <v>65</v>
      </c>
      <c r="K558" s="204"/>
      <c r="L558" s="204"/>
    </row>
    <row r="559">
      <c r="A559" s="205"/>
      <c r="D559" s="209" t="s">
        <v>117</v>
      </c>
      <c r="E559" s="209">
        <v>1.0</v>
      </c>
      <c r="F559" s="211"/>
      <c r="G559" s="211"/>
      <c r="H559" s="212" t="s">
        <v>322</v>
      </c>
      <c r="I559" s="213" t="s">
        <v>105</v>
      </c>
      <c r="K559" s="204"/>
      <c r="L559" s="204"/>
    </row>
    <row r="560">
      <c r="A560" s="217"/>
      <c r="B560" s="218"/>
      <c r="C560" s="218"/>
      <c r="D560" s="361" t="s">
        <v>123</v>
      </c>
      <c r="E560" s="361">
        <v>1.0</v>
      </c>
      <c r="F560" s="362"/>
      <c r="G560" s="363"/>
      <c r="H560" s="364" t="s">
        <v>124</v>
      </c>
      <c r="I560" s="223" t="s">
        <v>105</v>
      </c>
      <c r="K560" s="204"/>
      <c r="L560" s="204"/>
    </row>
    <row r="561">
      <c r="A561" s="236" t="s">
        <v>549</v>
      </c>
      <c r="B561" s="237" t="s">
        <v>550</v>
      </c>
      <c r="C561" s="267">
        <f>sum(E561:E564)</f>
        <v>9</v>
      </c>
      <c r="D561" s="487" t="s">
        <v>70</v>
      </c>
      <c r="E561" s="487">
        <v>2.0</v>
      </c>
      <c r="F561" s="48"/>
      <c r="G561" s="50"/>
      <c r="H561" s="488" t="s">
        <v>71</v>
      </c>
      <c r="I561" s="489" t="s">
        <v>65</v>
      </c>
      <c r="K561" s="204"/>
      <c r="L561" s="204"/>
    </row>
    <row r="562">
      <c r="A562" s="205"/>
      <c r="D562" s="271" t="s">
        <v>101</v>
      </c>
      <c r="E562" s="271">
        <v>2.0</v>
      </c>
      <c r="F562" s="272"/>
      <c r="G562" s="273"/>
      <c r="H562" s="274" t="s">
        <v>102</v>
      </c>
      <c r="I562" s="275" t="s">
        <v>98</v>
      </c>
      <c r="K562" s="204"/>
      <c r="L562" s="204"/>
    </row>
    <row r="563">
      <c r="A563" s="205"/>
      <c r="D563" s="209" t="s">
        <v>162</v>
      </c>
      <c r="E563" s="209">
        <v>2.0</v>
      </c>
      <c r="F563" s="243"/>
      <c r="G563" s="210"/>
      <c r="H563" s="212" t="s">
        <v>164</v>
      </c>
      <c r="I563" s="213" t="s">
        <v>163</v>
      </c>
      <c r="K563" s="204"/>
      <c r="L563" s="204"/>
    </row>
    <row r="564">
      <c r="A564" s="217"/>
      <c r="B564" s="218"/>
      <c r="C564" s="218"/>
      <c r="D564" s="219" t="s">
        <v>175</v>
      </c>
      <c r="E564" s="219">
        <v>3.0</v>
      </c>
      <c r="F564" s="264"/>
      <c r="G564" s="264"/>
      <c r="H564" s="222" t="s">
        <v>289</v>
      </c>
      <c r="I564" s="223" t="s">
        <v>176</v>
      </c>
      <c r="K564" s="204"/>
      <c r="L564" s="204"/>
    </row>
    <row r="565">
      <c r="A565" s="236" t="s">
        <v>551</v>
      </c>
      <c r="B565" s="237" t="s">
        <v>552</v>
      </c>
      <c r="C565" s="267">
        <f>sum(E565:E568)</f>
        <v>9</v>
      </c>
      <c r="D565" s="238" t="s">
        <v>175</v>
      </c>
      <c r="E565" s="238">
        <v>3.0</v>
      </c>
      <c r="F565" s="255"/>
      <c r="G565" s="255"/>
      <c r="H565" s="241" t="s">
        <v>289</v>
      </c>
      <c r="I565" s="242" t="s">
        <v>176</v>
      </c>
      <c r="K565" s="204"/>
      <c r="L565" s="204"/>
    </row>
    <row r="566">
      <c r="A566" s="205"/>
      <c r="D566" s="209" t="s">
        <v>172</v>
      </c>
      <c r="E566" s="209">
        <v>1.0</v>
      </c>
      <c r="F566" s="210"/>
      <c r="G566" s="211"/>
      <c r="H566" s="212" t="s">
        <v>421</v>
      </c>
      <c r="I566" s="213" t="s">
        <v>163</v>
      </c>
      <c r="K566" s="204"/>
      <c r="L566" s="204"/>
    </row>
    <row r="567">
      <c r="A567" s="205"/>
      <c r="D567" s="227" t="s">
        <v>156</v>
      </c>
      <c r="E567" s="227">
        <v>2.0</v>
      </c>
      <c r="F567" s="233"/>
      <c r="G567" s="233"/>
      <c r="H567" s="234" t="s">
        <v>157</v>
      </c>
      <c r="I567" s="228" t="s">
        <v>144</v>
      </c>
      <c r="K567" s="204"/>
      <c r="L567" s="204"/>
    </row>
    <row r="568">
      <c r="A568" s="217"/>
      <c r="B568" s="218"/>
      <c r="C568" s="218"/>
      <c r="D568" s="219" t="s">
        <v>64</v>
      </c>
      <c r="E568" s="219">
        <v>3.0</v>
      </c>
      <c r="F568" s="220"/>
      <c r="G568" s="221"/>
      <c r="H568" s="222" t="s">
        <v>283</v>
      </c>
      <c r="I568" s="223" t="s">
        <v>65</v>
      </c>
      <c r="K568" s="204"/>
      <c r="L568" s="204"/>
    </row>
    <row r="569">
      <c r="A569" s="195" t="s">
        <v>553</v>
      </c>
      <c r="B569" s="277" t="s">
        <v>554</v>
      </c>
      <c r="C569" s="197">
        <f>sum(E569:E573)</f>
        <v>9</v>
      </c>
      <c r="D569" s="238" t="s">
        <v>55</v>
      </c>
      <c r="E569" s="238">
        <v>1.0</v>
      </c>
      <c r="F569" s="239"/>
      <c r="G569" s="240"/>
      <c r="H569" s="241" t="s">
        <v>56</v>
      </c>
      <c r="I569" s="242" t="s">
        <v>43</v>
      </c>
      <c r="K569" s="204"/>
      <c r="L569" s="204"/>
    </row>
    <row r="570">
      <c r="A570" s="205"/>
      <c r="D570" s="209" t="s">
        <v>555</v>
      </c>
      <c r="E570" s="209">
        <v>3.0</v>
      </c>
      <c r="F570" s="211"/>
      <c r="G570" s="3"/>
      <c r="H570" s="212" t="s">
        <v>16</v>
      </c>
      <c r="I570" s="213" t="s">
        <v>7</v>
      </c>
      <c r="K570" s="204"/>
      <c r="L570" s="204"/>
    </row>
    <row r="571">
      <c r="A571" s="205"/>
      <c r="D571" s="209" t="s">
        <v>117</v>
      </c>
      <c r="E571" s="209">
        <v>1.0</v>
      </c>
      <c r="F571" s="211"/>
      <c r="G571" s="211"/>
      <c r="H571" s="212" t="s">
        <v>322</v>
      </c>
      <c r="I571" s="213" t="s">
        <v>105</v>
      </c>
      <c r="K571" s="204"/>
      <c r="L571" s="204"/>
    </row>
    <row r="572">
      <c r="A572" s="205"/>
      <c r="D572" s="209" t="s">
        <v>162</v>
      </c>
      <c r="E572" s="209">
        <v>2.0</v>
      </c>
      <c r="F572" s="243"/>
      <c r="G572" s="216"/>
      <c r="H572" s="212" t="s">
        <v>164</v>
      </c>
      <c r="I572" s="213" t="s">
        <v>163</v>
      </c>
      <c r="K572" s="204"/>
      <c r="L572" s="204"/>
    </row>
    <row r="573">
      <c r="A573" s="217"/>
      <c r="B573" s="218"/>
      <c r="C573" s="218"/>
      <c r="D573" s="219" t="s">
        <v>290</v>
      </c>
      <c r="E573" s="219">
        <v>2.0</v>
      </c>
      <c r="F573" s="220"/>
      <c r="G573" s="221"/>
      <c r="H573" s="222" t="s">
        <v>283</v>
      </c>
      <c r="I573" s="223" t="s">
        <v>65</v>
      </c>
      <c r="K573" s="204"/>
      <c r="L573" s="204"/>
    </row>
    <row r="574">
      <c r="A574" s="195" t="s">
        <v>556</v>
      </c>
      <c r="B574" s="524" t="s">
        <v>557</v>
      </c>
      <c r="C574" s="267">
        <f>sum(E574:E577)</f>
        <v>9</v>
      </c>
      <c r="D574" s="238" t="s">
        <v>162</v>
      </c>
      <c r="E574" s="238">
        <v>2.0</v>
      </c>
      <c r="F574" s="321"/>
      <c r="G574" s="255"/>
      <c r="H574" s="241" t="s">
        <v>164</v>
      </c>
      <c r="I574" s="242" t="s">
        <v>163</v>
      </c>
      <c r="K574" s="204"/>
      <c r="L574" s="204"/>
    </row>
    <row r="575">
      <c r="A575" s="205"/>
      <c r="D575" s="209" t="s">
        <v>17</v>
      </c>
      <c r="E575" s="209">
        <v>2.0</v>
      </c>
      <c r="F575" s="210"/>
      <c r="G575" s="211"/>
      <c r="H575" s="354" t="s">
        <v>321</v>
      </c>
      <c r="I575" s="213" t="s">
        <v>7</v>
      </c>
      <c r="K575" s="204"/>
      <c r="L575" s="204"/>
    </row>
    <row r="576">
      <c r="A576" s="205"/>
      <c r="D576" s="209" t="s">
        <v>147</v>
      </c>
      <c r="E576" s="209">
        <v>3.0</v>
      </c>
      <c r="F576" s="227"/>
      <c r="G576" s="227"/>
      <c r="H576" s="212" t="s">
        <v>145</v>
      </c>
      <c r="I576" s="228" t="s">
        <v>144</v>
      </c>
      <c r="K576" s="204"/>
      <c r="L576" s="204"/>
    </row>
    <row r="577">
      <c r="A577" s="217"/>
      <c r="B577" s="218"/>
      <c r="C577" s="218"/>
      <c r="D577" s="219" t="s">
        <v>290</v>
      </c>
      <c r="E577" s="219">
        <v>2.0</v>
      </c>
      <c r="F577" s="220"/>
      <c r="G577" s="221"/>
      <c r="H577" s="222" t="s">
        <v>283</v>
      </c>
      <c r="I577" s="223" t="s">
        <v>65</v>
      </c>
      <c r="K577" s="204"/>
      <c r="L577" s="204"/>
    </row>
    <row r="578">
      <c r="A578" s="236" t="s">
        <v>558</v>
      </c>
      <c r="B578" s="237" t="s">
        <v>559</v>
      </c>
      <c r="C578" s="267">
        <f>sum(E578:E581)</f>
        <v>9</v>
      </c>
      <c r="D578" s="280" t="s">
        <v>156</v>
      </c>
      <c r="E578" s="280">
        <v>2.0</v>
      </c>
      <c r="F578" s="281"/>
      <c r="G578" s="281"/>
      <c r="H578" s="282" t="s">
        <v>157</v>
      </c>
      <c r="I578" s="324" t="s">
        <v>144</v>
      </c>
      <c r="K578" s="204"/>
      <c r="L578" s="204"/>
    </row>
    <row r="579">
      <c r="A579" s="205"/>
      <c r="D579" s="209" t="s">
        <v>175</v>
      </c>
      <c r="E579" s="209">
        <v>3.0</v>
      </c>
      <c r="F579" s="211"/>
      <c r="G579" s="211"/>
      <c r="H579" s="212" t="s">
        <v>289</v>
      </c>
      <c r="I579" s="213" t="s">
        <v>176</v>
      </c>
      <c r="K579" s="204"/>
      <c r="L579" s="204"/>
    </row>
    <row r="580">
      <c r="A580" s="205"/>
      <c r="D580" s="209" t="s">
        <v>166</v>
      </c>
      <c r="E580" s="209">
        <v>2.0</v>
      </c>
      <c r="F580" s="227"/>
      <c r="G580" s="227"/>
      <c r="H580" s="212" t="s">
        <v>167</v>
      </c>
      <c r="I580" s="213" t="s">
        <v>163</v>
      </c>
      <c r="K580" s="204"/>
      <c r="L580" s="204"/>
    </row>
    <row r="581">
      <c r="A581" s="217"/>
      <c r="B581" s="218"/>
      <c r="C581" s="218"/>
      <c r="D581" s="219" t="s">
        <v>22</v>
      </c>
      <c r="E581" s="219">
        <v>2.0</v>
      </c>
      <c r="F581" s="313"/>
      <c r="G581" s="264"/>
      <c r="H581" s="222" t="s">
        <v>307</v>
      </c>
      <c r="I581" s="223" t="s">
        <v>23</v>
      </c>
      <c r="K581" s="204"/>
      <c r="L581" s="204"/>
    </row>
    <row r="582">
      <c r="A582" s="514" t="s">
        <v>560</v>
      </c>
      <c r="B582" s="412" t="s">
        <v>550</v>
      </c>
      <c r="C582" s="267">
        <f>sum(E582:E586)</f>
        <v>9</v>
      </c>
      <c r="D582" s="280" t="s">
        <v>97</v>
      </c>
      <c r="E582" s="280">
        <v>2.0</v>
      </c>
      <c r="F582" s="281"/>
      <c r="G582" s="281"/>
      <c r="H582" s="282" t="s">
        <v>99</v>
      </c>
      <c r="I582" s="242" t="s">
        <v>98</v>
      </c>
      <c r="K582" s="204"/>
      <c r="L582" s="204"/>
    </row>
    <row r="583">
      <c r="A583" s="205"/>
      <c r="D583" s="209" t="s">
        <v>166</v>
      </c>
      <c r="E583" s="209">
        <v>2.0</v>
      </c>
      <c r="F583" s="227"/>
      <c r="G583" s="227"/>
      <c r="H583" s="212" t="s">
        <v>167</v>
      </c>
      <c r="I583" s="213" t="s">
        <v>163</v>
      </c>
      <c r="K583" s="204"/>
      <c r="L583" s="204"/>
    </row>
    <row r="584">
      <c r="A584" s="205"/>
      <c r="D584" s="209" t="s">
        <v>175</v>
      </c>
      <c r="E584" s="209">
        <v>3.0</v>
      </c>
      <c r="F584" s="211"/>
      <c r="G584" s="211"/>
      <c r="H584" s="212" t="s">
        <v>289</v>
      </c>
      <c r="I584" s="213" t="s">
        <v>176</v>
      </c>
      <c r="K584" s="204"/>
      <c r="L584" s="204"/>
    </row>
    <row r="585">
      <c r="A585" s="205"/>
      <c r="D585" s="244" t="s">
        <v>189</v>
      </c>
      <c r="E585" s="244">
        <v>1.0</v>
      </c>
      <c r="F585" s="11"/>
      <c r="G585" s="245"/>
      <c r="H585" s="246" t="s">
        <v>190</v>
      </c>
      <c r="I585" s="247" t="s">
        <v>186</v>
      </c>
      <c r="K585" s="204"/>
      <c r="L585" s="204"/>
    </row>
    <row r="586">
      <c r="A586" s="217"/>
      <c r="B586" s="218"/>
      <c r="C586" s="218"/>
      <c r="D586" s="219" t="s">
        <v>140</v>
      </c>
      <c r="E586" s="219">
        <v>1.0</v>
      </c>
      <c r="F586" s="258"/>
      <c r="G586" s="258"/>
      <c r="H586" s="222" t="s">
        <v>141</v>
      </c>
      <c r="I586" s="223" t="s">
        <v>105</v>
      </c>
      <c r="K586" s="204"/>
      <c r="L586" s="204"/>
    </row>
    <row r="587">
      <c r="A587" s="236" t="s">
        <v>561</v>
      </c>
      <c r="B587" s="237" t="s">
        <v>562</v>
      </c>
      <c r="C587" s="267">
        <f>sum(E587:E590)</f>
        <v>9</v>
      </c>
      <c r="D587" s="238" t="s">
        <v>58</v>
      </c>
      <c r="E587" s="238">
        <v>1.0</v>
      </c>
      <c r="F587" s="238"/>
      <c r="G587" s="238"/>
      <c r="H587" s="241" t="s">
        <v>59</v>
      </c>
      <c r="I587" s="242" t="s">
        <v>43</v>
      </c>
      <c r="K587" s="204"/>
      <c r="L587" s="204"/>
    </row>
    <row r="588">
      <c r="A588" s="205"/>
      <c r="D588" s="209" t="s">
        <v>143</v>
      </c>
      <c r="E588" s="209">
        <v>5.0</v>
      </c>
      <c r="F588" s="227"/>
      <c r="G588" s="227"/>
      <c r="H588" s="212" t="s">
        <v>145</v>
      </c>
      <c r="I588" s="228" t="s">
        <v>144</v>
      </c>
      <c r="K588" s="204"/>
      <c r="L588" s="204"/>
    </row>
    <row r="589">
      <c r="A589" s="205"/>
      <c r="D589" s="525" t="s">
        <v>85</v>
      </c>
      <c r="E589" s="525">
        <v>1.0</v>
      </c>
      <c r="F589" s="53"/>
      <c r="G589" s="55"/>
      <c r="H589" s="249" t="s">
        <v>86</v>
      </c>
      <c r="I589" s="257" t="s">
        <v>65</v>
      </c>
      <c r="K589" s="204"/>
      <c r="L589" s="204"/>
    </row>
    <row r="590">
      <c r="A590" s="217"/>
      <c r="B590" s="218"/>
      <c r="C590" s="218"/>
      <c r="D590" s="219" t="s">
        <v>162</v>
      </c>
      <c r="E590" s="219">
        <v>2.0</v>
      </c>
      <c r="F590" s="313"/>
      <c r="G590" s="264"/>
      <c r="H590" s="222" t="s">
        <v>164</v>
      </c>
      <c r="I590" s="223" t="s">
        <v>163</v>
      </c>
      <c r="K590" s="204"/>
      <c r="L590" s="204"/>
    </row>
    <row r="591">
      <c r="A591" s="236" t="s">
        <v>563</v>
      </c>
      <c r="B591" s="237" t="s">
        <v>342</v>
      </c>
      <c r="C591" s="267">
        <f>sum(E591:E597)</f>
        <v>9</v>
      </c>
      <c r="D591" s="280" t="s">
        <v>120</v>
      </c>
      <c r="E591" s="280">
        <v>1.0</v>
      </c>
      <c r="F591" s="495"/>
      <c r="G591" s="281"/>
      <c r="H591" s="282" t="s">
        <v>121</v>
      </c>
      <c r="I591" s="526" t="s">
        <v>105</v>
      </c>
      <c r="K591" s="204"/>
      <c r="L591" s="204"/>
    </row>
    <row r="592">
      <c r="A592" s="205"/>
      <c r="D592" s="209" t="s">
        <v>55</v>
      </c>
      <c r="E592" s="209">
        <v>1.0</v>
      </c>
      <c r="F592" s="210"/>
      <c r="G592" s="211"/>
      <c r="H592" s="212" t="s">
        <v>56</v>
      </c>
      <c r="I592" s="213" t="s">
        <v>43</v>
      </c>
      <c r="K592" s="204"/>
      <c r="L592" s="204"/>
    </row>
    <row r="593">
      <c r="A593" s="205"/>
      <c r="D593" s="209" t="s">
        <v>162</v>
      </c>
      <c r="E593" s="209">
        <v>2.0</v>
      </c>
      <c r="F593" s="243"/>
      <c r="G593" s="211"/>
      <c r="H593" s="212" t="s">
        <v>164</v>
      </c>
      <c r="I593" s="213" t="s">
        <v>163</v>
      </c>
      <c r="K593" s="204"/>
      <c r="L593" s="204"/>
    </row>
    <row r="594">
      <c r="A594" s="205"/>
      <c r="D594" s="209" t="s">
        <v>64</v>
      </c>
      <c r="E594" s="209">
        <v>3.0</v>
      </c>
      <c r="F594" s="210"/>
      <c r="G594" s="211"/>
      <c r="H594" s="212" t="s">
        <v>283</v>
      </c>
      <c r="I594" s="213" t="s">
        <v>65</v>
      </c>
      <c r="K594" s="204"/>
      <c r="L594" s="204"/>
    </row>
    <row r="595">
      <c r="A595" s="205"/>
      <c r="I595" s="279"/>
      <c r="K595" s="204"/>
      <c r="L595" s="204"/>
    </row>
    <row r="596">
      <c r="A596" s="205"/>
      <c r="D596" s="209" t="s">
        <v>284</v>
      </c>
      <c r="E596" s="209">
        <v>1.0</v>
      </c>
      <c r="F596" s="215"/>
      <c r="G596" s="216"/>
      <c r="H596" s="212" t="s">
        <v>115</v>
      </c>
      <c r="I596" s="213" t="s">
        <v>105</v>
      </c>
      <c r="K596" s="204"/>
      <c r="L596" s="204"/>
    </row>
    <row r="597">
      <c r="A597" s="217"/>
      <c r="B597" s="218"/>
      <c r="C597" s="218"/>
      <c r="D597" s="426" t="s">
        <v>39</v>
      </c>
      <c r="E597" s="426">
        <v>1.0</v>
      </c>
      <c r="F597" s="427"/>
      <c r="G597" s="428"/>
      <c r="H597" s="429" t="s">
        <v>40</v>
      </c>
      <c r="I597" s="430" t="s">
        <v>30</v>
      </c>
      <c r="K597" s="204"/>
      <c r="L597" s="204"/>
    </row>
    <row r="598">
      <c r="A598" s="236" t="s">
        <v>564</v>
      </c>
      <c r="B598" s="237" t="s">
        <v>565</v>
      </c>
      <c r="C598" s="267">
        <f>sum(E598:E603)</f>
        <v>9</v>
      </c>
      <c r="D598" s="268" t="s">
        <v>76</v>
      </c>
      <c r="E598" s="268">
        <v>2.0</v>
      </c>
      <c r="F598" s="48"/>
      <c r="G598" s="49"/>
      <c r="H598" s="269" t="s">
        <v>77</v>
      </c>
      <c r="I598" s="270" t="s">
        <v>65</v>
      </c>
      <c r="K598" s="204"/>
      <c r="L598" s="204"/>
    </row>
    <row r="599">
      <c r="A599" s="205"/>
      <c r="D599" s="209" t="s">
        <v>58</v>
      </c>
      <c r="E599" s="209">
        <v>1.0</v>
      </c>
      <c r="F599" s="209"/>
      <c r="G599" s="209"/>
      <c r="H599" s="212" t="s">
        <v>59</v>
      </c>
      <c r="I599" s="213" t="s">
        <v>43</v>
      </c>
      <c r="K599" s="204"/>
      <c r="L599" s="204"/>
    </row>
    <row r="600">
      <c r="A600" s="205"/>
      <c r="D600" s="227" t="s">
        <v>97</v>
      </c>
      <c r="E600" s="227">
        <v>2.0</v>
      </c>
      <c r="F600" s="233"/>
      <c r="G600" s="233"/>
      <c r="H600" s="234" t="s">
        <v>99</v>
      </c>
      <c r="I600" s="213" t="s">
        <v>98</v>
      </c>
      <c r="K600" s="204"/>
      <c r="L600" s="204"/>
    </row>
    <row r="601">
      <c r="A601" s="205"/>
      <c r="D601" s="209" t="s">
        <v>159</v>
      </c>
      <c r="E601" s="209">
        <v>1.0</v>
      </c>
      <c r="F601" s="227"/>
      <c r="G601" s="227"/>
      <c r="H601" s="212" t="s">
        <v>160</v>
      </c>
      <c r="I601" s="228" t="s">
        <v>144</v>
      </c>
      <c r="K601" s="204"/>
      <c r="L601" s="204"/>
    </row>
    <row r="602">
      <c r="A602" s="205"/>
      <c r="D602" s="209" t="s">
        <v>162</v>
      </c>
      <c r="E602" s="209">
        <v>2.0</v>
      </c>
      <c r="F602" s="243"/>
      <c r="G602" s="211"/>
      <c r="H602" s="212" t="s">
        <v>164</v>
      </c>
      <c r="I602" s="213" t="s">
        <v>163</v>
      </c>
      <c r="K602" s="204"/>
      <c r="L602" s="204"/>
    </row>
    <row r="603">
      <c r="A603" s="217"/>
      <c r="B603" s="218"/>
      <c r="C603" s="218"/>
      <c r="D603" s="219" t="s">
        <v>140</v>
      </c>
      <c r="E603" s="219">
        <v>1.0</v>
      </c>
      <c r="F603" s="258"/>
      <c r="G603" s="258"/>
      <c r="H603" s="222" t="s">
        <v>141</v>
      </c>
      <c r="I603" s="223" t="s">
        <v>105</v>
      </c>
      <c r="K603" s="204"/>
      <c r="L603" s="204"/>
    </row>
    <row r="604">
      <c r="A604" s="254" t="s">
        <v>566</v>
      </c>
      <c r="B604" s="237" t="s">
        <v>340</v>
      </c>
      <c r="C604" s="267">
        <f>sum(E604:E608)</f>
        <v>9</v>
      </c>
      <c r="D604" s="238" t="s">
        <v>405</v>
      </c>
      <c r="E604" s="238">
        <v>3.0</v>
      </c>
      <c r="F604" s="278"/>
      <c r="G604" s="255"/>
      <c r="H604" s="241" t="s">
        <v>31</v>
      </c>
      <c r="I604" s="374" t="s">
        <v>30</v>
      </c>
      <c r="K604" s="204"/>
      <c r="L604" s="204"/>
    </row>
    <row r="605">
      <c r="A605" s="205"/>
      <c r="D605" s="251" t="s">
        <v>76</v>
      </c>
      <c r="E605" s="251">
        <v>2.0</v>
      </c>
      <c r="F605" s="53"/>
      <c r="G605" s="54"/>
      <c r="H605" s="256" t="s">
        <v>77</v>
      </c>
      <c r="I605" s="257" t="s">
        <v>65</v>
      </c>
      <c r="K605" s="204"/>
      <c r="L605" s="204"/>
    </row>
    <row r="606">
      <c r="A606" s="205"/>
      <c r="D606" s="227" t="s">
        <v>61</v>
      </c>
      <c r="E606" s="227">
        <v>1.0</v>
      </c>
      <c r="F606" s="233"/>
      <c r="G606" s="233"/>
      <c r="H606" s="234" t="s">
        <v>62</v>
      </c>
      <c r="I606" s="213" t="s">
        <v>43</v>
      </c>
      <c r="K606" s="204"/>
      <c r="L606" s="204"/>
    </row>
    <row r="607">
      <c r="A607" s="205"/>
      <c r="D607" s="209" t="s">
        <v>159</v>
      </c>
      <c r="E607" s="209">
        <v>1.0</v>
      </c>
      <c r="F607" s="227"/>
      <c r="G607" s="227"/>
      <c r="H607" s="212" t="s">
        <v>160</v>
      </c>
      <c r="I607" s="228" t="s">
        <v>144</v>
      </c>
      <c r="K607" s="204"/>
      <c r="L607" s="204"/>
    </row>
    <row r="608">
      <c r="A608" s="217"/>
      <c r="B608" s="218"/>
      <c r="C608" s="218"/>
      <c r="D608" s="219" t="s">
        <v>162</v>
      </c>
      <c r="E608" s="219">
        <v>2.0</v>
      </c>
      <c r="F608" s="313"/>
      <c r="G608" s="263"/>
      <c r="H608" s="222" t="s">
        <v>164</v>
      </c>
      <c r="I608" s="223" t="s">
        <v>163</v>
      </c>
      <c r="K608" s="204"/>
      <c r="L608" s="204"/>
    </row>
    <row r="609">
      <c r="A609" s="195" t="s">
        <v>567</v>
      </c>
      <c r="B609" s="412" t="s">
        <v>568</v>
      </c>
      <c r="C609" s="267">
        <f>sum(E609:E614)</f>
        <v>9</v>
      </c>
      <c r="D609" s="527" t="s">
        <v>85</v>
      </c>
      <c r="E609" s="527">
        <v>1.0</v>
      </c>
      <c r="F609" s="48"/>
      <c r="G609" s="50"/>
      <c r="H609" s="488" t="s">
        <v>86</v>
      </c>
      <c r="I609" s="270" t="s">
        <v>65</v>
      </c>
      <c r="K609" s="204"/>
      <c r="L609" s="204"/>
    </row>
    <row r="610">
      <c r="A610" s="205"/>
      <c r="D610" s="209" t="s">
        <v>162</v>
      </c>
      <c r="E610" s="209">
        <v>2.0</v>
      </c>
      <c r="F610" s="243"/>
      <c r="G610" s="211"/>
      <c r="H610" s="212" t="s">
        <v>164</v>
      </c>
      <c r="I610" s="213" t="s">
        <v>163</v>
      </c>
      <c r="K610" s="204"/>
      <c r="L610" s="204"/>
    </row>
    <row r="611">
      <c r="A611" s="205"/>
      <c r="D611" s="209" t="s">
        <v>140</v>
      </c>
      <c r="E611" s="209">
        <v>1.0</v>
      </c>
      <c r="F611" s="310"/>
      <c r="G611" s="310"/>
      <c r="H611" s="212" t="s">
        <v>141</v>
      </c>
      <c r="I611" s="213" t="s">
        <v>105</v>
      </c>
      <c r="K611" s="204"/>
      <c r="L611" s="204"/>
    </row>
    <row r="612">
      <c r="A612" s="205"/>
      <c r="D612" s="209" t="s">
        <v>117</v>
      </c>
      <c r="E612" s="209">
        <v>1.0</v>
      </c>
      <c r="F612" s="211"/>
      <c r="G612" s="211"/>
      <c r="H612" s="212" t="s">
        <v>322</v>
      </c>
      <c r="I612" s="213" t="s">
        <v>105</v>
      </c>
      <c r="K612" s="204"/>
      <c r="L612" s="204"/>
    </row>
    <row r="613">
      <c r="A613" s="205"/>
      <c r="D613" s="227" t="s">
        <v>156</v>
      </c>
      <c r="E613" s="227">
        <v>2.0</v>
      </c>
      <c r="F613" s="233"/>
      <c r="G613" s="233"/>
      <c r="H613" s="234" t="s">
        <v>157</v>
      </c>
      <c r="I613" s="228" t="s">
        <v>144</v>
      </c>
      <c r="K613" s="204"/>
      <c r="L613" s="204"/>
    </row>
    <row r="614">
      <c r="A614" s="217"/>
      <c r="B614" s="218"/>
      <c r="C614" s="218"/>
      <c r="D614" s="219" t="s">
        <v>22</v>
      </c>
      <c r="E614" s="219">
        <v>2.0</v>
      </c>
      <c r="F614" s="313"/>
      <c r="G614" s="264"/>
      <c r="H614" s="222" t="s">
        <v>307</v>
      </c>
      <c r="I614" s="223" t="s">
        <v>23</v>
      </c>
      <c r="K614" s="204"/>
      <c r="L614" s="204"/>
    </row>
    <row r="615">
      <c r="A615" s="236" t="s">
        <v>569</v>
      </c>
      <c r="B615" s="237" t="s">
        <v>570</v>
      </c>
      <c r="C615" s="267">
        <f>sum(E615:E620)</f>
        <v>9</v>
      </c>
      <c r="D615" s="238" t="s">
        <v>330</v>
      </c>
      <c r="E615" s="238">
        <v>2.0</v>
      </c>
      <c r="F615" s="278"/>
      <c r="G615" s="255"/>
      <c r="H615" s="241" t="s">
        <v>331</v>
      </c>
      <c r="I615" s="242" t="s">
        <v>7</v>
      </c>
      <c r="K615" s="204"/>
      <c r="L615" s="204"/>
    </row>
    <row r="616">
      <c r="A616" s="205"/>
      <c r="D616" s="209" t="s">
        <v>55</v>
      </c>
      <c r="E616" s="209">
        <v>1.0</v>
      </c>
      <c r="F616" s="210"/>
      <c r="G616" s="211"/>
      <c r="H616" s="212" t="s">
        <v>56</v>
      </c>
      <c r="I616" s="213" t="s">
        <v>43</v>
      </c>
      <c r="K616" s="204"/>
      <c r="L616" s="204"/>
    </row>
    <row r="617">
      <c r="A617" s="205"/>
      <c r="D617" s="209" t="s">
        <v>290</v>
      </c>
      <c r="E617" s="209">
        <v>2.0</v>
      </c>
      <c r="F617" s="215"/>
      <c r="G617" s="216"/>
      <c r="H617" s="212" t="s">
        <v>283</v>
      </c>
      <c r="I617" s="213" t="s">
        <v>65</v>
      </c>
      <c r="K617" s="204"/>
      <c r="L617" s="204"/>
    </row>
    <row r="618">
      <c r="A618" s="205"/>
      <c r="D618" s="227" t="s">
        <v>97</v>
      </c>
      <c r="E618" s="227">
        <v>2.0</v>
      </c>
      <c r="F618" s="233"/>
      <c r="G618" s="233"/>
      <c r="H618" s="234" t="s">
        <v>99</v>
      </c>
      <c r="I618" s="213" t="s">
        <v>98</v>
      </c>
      <c r="K618" s="204"/>
      <c r="L618" s="204"/>
    </row>
    <row r="619">
      <c r="A619" s="205"/>
      <c r="D619" s="528" t="s">
        <v>169</v>
      </c>
      <c r="E619" s="528">
        <v>1.0</v>
      </c>
      <c r="F619" s="115"/>
      <c r="G619" s="116"/>
      <c r="H619" s="529" t="s">
        <v>170</v>
      </c>
      <c r="I619" s="530" t="s">
        <v>163</v>
      </c>
      <c r="K619" s="204"/>
      <c r="L619" s="204"/>
    </row>
    <row r="620">
      <c r="A620" s="217"/>
      <c r="B620" s="218"/>
      <c r="C620" s="218"/>
      <c r="D620" s="391" t="s">
        <v>189</v>
      </c>
      <c r="E620" s="391">
        <v>1.0</v>
      </c>
      <c r="F620" s="399"/>
      <c r="G620" s="400"/>
      <c r="H620" s="394" t="s">
        <v>190</v>
      </c>
      <c r="I620" s="395" t="s">
        <v>186</v>
      </c>
      <c r="K620" s="204"/>
      <c r="L620" s="204"/>
    </row>
    <row r="621">
      <c r="A621" s="236" t="s">
        <v>571</v>
      </c>
      <c r="B621" s="237" t="s">
        <v>572</v>
      </c>
      <c r="C621" s="267">
        <f>sum(E621:E626)</f>
        <v>9</v>
      </c>
      <c r="D621" s="238" t="s">
        <v>573</v>
      </c>
      <c r="E621" s="238">
        <v>3.0</v>
      </c>
      <c r="F621" s="278"/>
      <c r="G621" s="255"/>
      <c r="H621" s="531" t="s">
        <v>574</v>
      </c>
      <c r="I621" s="532" t="s">
        <v>105</v>
      </c>
    </row>
    <row r="622">
      <c r="A622" s="205"/>
      <c r="D622" s="209" t="s">
        <v>575</v>
      </c>
      <c r="E622" s="209">
        <v>1.0</v>
      </c>
      <c r="F622" s="210"/>
      <c r="G622" s="211"/>
      <c r="H622" s="212" t="s">
        <v>576</v>
      </c>
      <c r="I622" s="303" t="s">
        <v>105</v>
      </c>
    </row>
    <row r="623">
      <c r="A623" s="205"/>
      <c r="D623" s="308" t="s">
        <v>123</v>
      </c>
      <c r="E623" s="308">
        <v>1.0</v>
      </c>
      <c r="F623" s="80"/>
      <c r="G623" s="86"/>
      <c r="H623" s="309" t="s">
        <v>124</v>
      </c>
      <c r="I623" s="213" t="s">
        <v>105</v>
      </c>
    </row>
    <row r="624">
      <c r="A624" s="205"/>
      <c r="D624" s="227" t="s">
        <v>120</v>
      </c>
      <c r="E624" s="227">
        <v>1.0</v>
      </c>
      <c r="F624" s="3"/>
      <c r="G624" s="233"/>
      <c r="H624" s="234" t="s">
        <v>121</v>
      </c>
      <c r="I624" s="235" t="s">
        <v>105</v>
      </c>
    </row>
    <row r="625">
      <c r="A625" s="205"/>
      <c r="D625" s="209" t="s">
        <v>284</v>
      </c>
      <c r="E625" s="209">
        <v>1.0</v>
      </c>
      <c r="F625" s="215"/>
      <c r="G625" s="216"/>
      <c r="H625" s="212" t="s">
        <v>115</v>
      </c>
      <c r="I625" s="213" t="s">
        <v>105</v>
      </c>
    </row>
    <row r="626">
      <c r="A626" s="217"/>
      <c r="B626" s="218"/>
      <c r="C626" s="218"/>
      <c r="D626" s="287" t="s">
        <v>150</v>
      </c>
      <c r="E626" s="287">
        <v>2.0</v>
      </c>
      <c r="F626" s="288"/>
      <c r="G626" s="288"/>
      <c r="H626" s="291" t="s">
        <v>151</v>
      </c>
      <c r="I626" s="292" t="s">
        <v>144</v>
      </c>
    </row>
    <row r="627">
      <c r="A627" s="236" t="s">
        <v>577</v>
      </c>
      <c r="B627" s="412" t="s">
        <v>578</v>
      </c>
      <c r="C627" s="267">
        <f>sum(E627:E631)</f>
        <v>9</v>
      </c>
      <c r="D627" s="238" t="s">
        <v>330</v>
      </c>
      <c r="E627" s="238">
        <v>2.0</v>
      </c>
      <c r="F627" s="278"/>
      <c r="G627" s="255"/>
      <c r="H627" s="241" t="s">
        <v>331</v>
      </c>
      <c r="I627" s="242" t="s">
        <v>7</v>
      </c>
    </row>
    <row r="628">
      <c r="A628" s="205"/>
      <c r="D628" s="206" t="s">
        <v>179</v>
      </c>
      <c r="E628" s="206">
        <v>3.0</v>
      </c>
      <c r="F628" s="130"/>
      <c r="G628" s="131"/>
      <c r="H628" s="207" t="s">
        <v>180</v>
      </c>
      <c r="I628" s="208" t="s">
        <v>176</v>
      </c>
    </row>
    <row r="629">
      <c r="A629" s="205"/>
      <c r="D629" s="227" t="s">
        <v>97</v>
      </c>
      <c r="E629" s="227">
        <v>2.0</v>
      </c>
      <c r="F629" s="233"/>
      <c r="G629" s="233"/>
      <c r="H629" s="234" t="s">
        <v>99</v>
      </c>
      <c r="I629" s="213" t="s">
        <v>98</v>
      </c>
    </row>
    <row r="630">
      <c r="A630" s="205"/>
      <c r="D630" s="209" t="s">
        <v>131</v>
      </c>
      <c r="E630" s="209">
        <v>1.0</v>
      </c>
      <c r="F630" s="210"/>
      <c r="G630" s="211"/>
      <c r="H630" s="212" t="s">
        <v>132</v>
      </c>
      <c r="I630" s="213" t="s">
        <v>105</v>
      </c>
    </row>
    <row r="631">
      <c r="A631" s="217"/>
      <c r="B631" s="218"/>
      <c r="C631" s="218"/>
      <c r="D631" s="219" t="s">
        <v>134</v>
      </c>
      <c r="E631" s="219">
        <v>1.0</v>
      </c>
      <c r="F631" s="263"/>
      <c r="G631" s="264"/>
      <c r="H631" s="222" t="s">
        <v>135</v>
      </c>
      <c r="I631" s="223" t="s">
        <v>105</v>
      </c>
    </row>
    <row r="632">
      <c r="A632" s="254" t="s">
        <v>579</v>
      </c>
      <c r="B632" s="196" t="s">
        <v>416</v>
      </c>
      <c r="C632" s="267">
        <f>sum(E632:E635)</f>
        <v>9</v>
      </c>
      <c r="D632" s="238" t="s">
        <v>22</v>
      </c>
      <c r="E632" s="238">
        <v>2.0</v>
      </c>
      <c r="F632" s="321"/>
      <c r="G632" s="255"/>
      <c r="H632" s="241" t="s">
        <v>307</v>
      </c>
      <c r="I632" s="242" t="s">
        <v>23</v>
      </c>
    </row>
    <row r="633">
      <c r="A633" s="205"/>
      <c r="D633" s="209" t="s">
        <v>405</v>
      </c>
      <c r="E633" s="209">
        <v>3.0</v>
      </c>
      <c r="F633" s="210"/>
      <c r="G633" s="211"/>
      <c r="H633" s="212" t="s">
        <v>31</v>
      </c>
      <c r="I633" s="285" t="s">
        <v>30</v>
      </c>
    </row>
    <row r="634">
      <c r="A634" s="205"/>
      <c r="D634" s="209" t="s">
        <v>290</v>
      </c>
      <c r="E634" s="209">
        <v>2.0</v>
      </c>
      <c r="F634" s="215"/>
      <c r="G634" s="216"/>
      <c r="H634" s="212" t="s">
        <v>283</v>
      </c>
      <c r="I634" s="213" t="s">
        <v>65</v>
      </c>
    </row>
    <row r="635">
      <c r="A635" s="217"/>
      <c r="B635" s="218"/>
      <c r="C635" s="218"/>
      <c r="D635" s="219" t="s">
        <v>162</v>
      </c>
      <c r="E635" s="219">
        <v>2.0</v>
      </c>
      <c r="F635" s="313"/>
      <c r="G635" s="264"/>
      <c r="H635" s="222" t="s">
        <v>164</v>
      </c>
      <c r="I635" s="223" t="s">
        <v>163</v>
      </c>
    </row>
    <row r="636">
      <c r="A636" s="254" t="s">
        <v>580</v>
      </c>
      <c r="B636" s="412" t="s">
        <v>337</v>
      </c>
      <c r="C636" s="267">
        <f>sum(E636:E639)</f>
        <v>9</v>
      </c>
      <c r="D636" s="238" t="s">
        <v>162</v>
      </c>
      <c r="E636" s="238">
        <v>2.0</v>
      </c>
      <c r="F636" s="321"/>
      <c r="G636" s="255"/>
      <c r="H636" s="241" t="s">
        <v>164</v>
      </c>
      <c r="I636" s="242" t="s">
        <v>163</v>
      </c>
    </row>
    <row r="637">
      <c r="A637" s="205"/>
      <c r="D637" s="209" t="s">
        <v>284</v>
      </c>
      <c r="E637" s="209">
        <v>1.0</v>
      </c>
      <c r="F637" s="215"/>
      <c r="G637" s="216"/>
      <c r="H637" s="212" t="s">
        <v>115</v>
      </c>
      <c r="I637" s="213" t="s">
        <v>105</v>
      </c>
    </row>
    <row r="638">
      <c r="A638" s="205"/>
      <c r="D638" s="251" t="s">
        <v>143</v>
      </c>
      <c r="E638" s="209">
        <v>5.0</v>
      </c>
      <c r="F638" s="227"/>
      <c r="G638" s="227"/>
      <c r="H638" s="212" t="s">
        <v>145</v>
      </c>
      <c r="I638" s="228" t="s">
        <v>144</v>
      </c>
    </row>
    <row r="639">
      <c r="A639" s="217"/>
      <c r="B639" s="218"/>
      <c r="C639" s="218"/>
      <c r="D639" s="426" t="s">
        <v>36</v>
      </c>
      <c r="E639" s="426">
        <v>1.0</v>
      </c>
      <c r="F639" s="427"/>
      <c r="G639" s="428"/>
      <c r="H639" s="429" t="s">
        <v>37</v>
      </c>
      <c r="I639" s="430" t="s">
        <v>30</v>
      </c>
    </row>
    <row r="640">
      <c r="A640" s="496" t="s">
        <v>581</v>
      </c>
      <c r="B640" s="412" t="s">
        <v>582</v>
      </c>
      <c r="C640" s="267">
        <f>sum(E640:E644)</f>
        <v>9</v>
      </c>
      <c r="D640" s="533" t="s">
        <v>129</v>
      </c>
      <c r="E640" s="533">
        <v>1.0</v>
      </c>
      <c r="F640" s="442"/>
      <c r="G640" s="534"/>
      <c r="H640" s="535" t="s">
        <v>130</v>
      </c>
      <c r="I640" s="532" t="s">
        <v>105</v>
      </c>
    </row>
    <row r="641">
      <c r="A641" s="205"/>
      <c r="D641" s="209" t="s">
        <v>19</v>
      </c>
      <c r="E641" s="209">
        <v>2.0</v>
      </c>
      <c r="F641" s="210"/>
      <c r="G641" s="211"/>
      <c r="H641" s="212" t="s">
        <v>20</v>
      </c>
      <c r="I641" s="213" t="s">
        <v>7</v>
      </c>
    </row>
    <row r="642">
      <c r="A642" s="205"/>
      <c r="D642" s="209" t="s">
        <v>162</v>
      </c>
      <c r="E642" s="209">
        <v>2.0</v>
      </c>
      <c r="F642" s="243"/>
      <c r="G642" s="210"/>
      <c r="H642" s="212" t="s">
        <v>164</v>
      </c>
      <c r="I642" s="213" t="s">
        <v>163</v>
      </c>
    </row>
    <row r="643">
      <c r="A643" s="205"/>
      <c r="D643" s="209" t="s">
        <v>64</v>
      </c>
      <c r="E643" s="209">
        <v>3.0</v>
      </c>
      <c r="F643" s="215"/>
      <c r="G643" s="216"/>
      <c r="H643" s="212" t="s">
        <v>283</v>
      </c>
      <c r="I643" s="213" t="s">
        <v>65</v>
      </c>
    </row>
    <row r="644">
      <c r="A644" s="217"/>
      <c r="B644" s="218"/>
      <c r="C644" s="218"/>
      <c r="D644" s="391" t="s">
        <v>189</v>
      </c>
      <c r="E644" s="391">
        <v>1.0</v>
      </c>
      <c r="F644" s="399"/>
      <c r="G644" s="400"/>
      <c r="H644" s="394" t="s">
        <v>190</v>
      </c>
      <c r="I644" s="395" t="s">
        <v>186</v>
      </c>
    </row>
    <row r="645">
      <c r="A645" s="254" t="s">
        <v>583</v>
      </c>
      <c r="B645" s="412" t="s">
        <v>584</v>
      </c>
      <c r="C645" s="267">
        <f>sum(E645:E648)</f>
        <v>9</v>
      </c>
      <c r="D645" s="238" t="s">
        <v>290</v>
      </c>
      <c r="E645" s="238">
        <v>2.0</v>
      </c>
      <c r="F645" s="239"/>
      <c r="G645" s="240"/>
      <c r="H645" s="241" t="s">
        <v>283</v>
      </c>
      <c r="I645" s="242" t="s">
        <v>65</v>
      </c>
    </row>
    <row r="646">
      <c r="A646" s="205"/>
      <c r="D646" s="209" t="s">
        <v>143</v>
      </c>
      <c r="E646" s="209">
        <v>5.0</v>
      </c>
      <c r="F646" s="227"/>
      <c r="G646" s="227"/>
      <c r="H646" s="212" t="s">
        <v>145</v>
      </c>
      <c r="I646" s="228" t="s">
        <v>144</v>
      </c>
    </row>
    <row r="647">
      <c r="A647" s="205"/>
      <c r="D647" s="209" t="s">
        <v>284</v>
      </c>
      <c r="E647" s="209">
        <v>1.0</v>
      </c>
      <c r="F647" s="215"/>
      <c r="G647" s="216"/>
      <c r="H647" s="212" t="s">
        <v>115</v>
      </c>
      <c r="I647" s="213" t="s">
        <v>105</v>
      </c>
    </row>
    <row r="648">
      <c r="A648" s="217"/>
      <c r="B648" s="218"/>
      <c r="C648" s="218"/>
      <c r="D648" s="219" t="s">
        <v>117</v>
      </c>
      <c r="E648" s="219">
        <v>1.0</v>
      </c>
      <c r="F648" s="264"/>
      <c r="G648" s="264"/>
      <c r="H648" s="222" t="s">
        <v>322</v>
      </c>
      <c r="I648" s="223" t="s">
        <v>105</v>
      </c>
    </row>
    <row r="649">
      <c r="A649" s="254" t="s">
        <v>585</v>
      </c>
      <c r="B649" s="412" t="s">
        <v>586</v>
      </c>
      <c r="C649" s="267">
        <f>sum(E649:E652)</f>
        <v>9</v>
      </c>
      <c r="D649" s="238" t="s">
        <v>58</v>
      </c>
      <c r="E649" s="238">
        <v>1.0</v>
      </c>
      <c r="F649" s="238"/>
      <c r="G649" s="238"/>
      <c r="H649" s="241" t="s">
        <v>59</v>
      </c>
      <c r="I649" s="242" t="s">
        <v>43</v>
      </c>
    </row>
    <row r="650">
      <c r="A650" s="205"/>
      <c r="D650" s="209" t="s">
        <v>64</v>
      </c>
      <c r="E650" s="209">
        <v>3.0</v>
      </c>
      <c r="F650" s="215"/>
      <c r="G650" s="216"/>
      <c r="H650" s="212" t="s">
        <v>283</v>
      </c>
      <c r="I650" s="213" t="s">
        <v>65</v>
      </c>
    </row>
    <row r="651">
      <c r="A651" s="205"/>
      <c r="D651" s="209" t="s">
        <v>147</v>
      </c>
      <c r="E651" s="209">
        <v>3.0</v>
      </c>
      <c r="F651" s="227"/>
      <c r="G651" s="227"/>
      <c r="H651" s="212" t="s">
        <v>145</v>
      </c>
      <c r="I651" s="228" t="s">
        <v>144</v>
      </c>
    </row>
    <row r="652">
      <c r="A652" s="217"/>
      <c r="B652" s="218"/>
      <c r="C652" s="218"/>
      <c r="D652" s="219" t="s">
        <v>162</v>
      </c>
      <c r="E652" s="219">
        <v>2.0</v>
      </c>
      <c r="F652" s="313"/>
      <c r="G652" s="263"/>
      <c r="H652" s="222" t="s">
        <v>164</v>
      </c>
      <c r="I652" s="223" t="s">
        <v>163</v>
      </c>
    </row>
    <row r="653">
      <c r="A653" s="195" t="s">
        <v>587</v>
      </c>
      <c r="B653" s="196" t="s">
        <v>588</v>
      </c>
      <c r="C653" s="267">
        <f>sum(E653:E658)</f>
        <v>9</v>
      </c>
      <c r="D653" s="238" t="s">
        <v>166</v>
      </c>
      <c r="E653" s="238">
        <v>2.0</v>
      </c>
      <c r="F653" s="280"/>
      <c r="G653" s="280"/>
      <c r="H653" s="241" t="s">
        <v>167</v>
      </c>
      <c r="I653" s="242" t="s">
        <v>163</v>
      </c>
    </row>
    <row r="654">
      <c r="A654" s="205"/>
      <c r="D654" s="209" t="s">
        <v>49</v>
      </c>
      <c r="E654" s="209">
        <v>2.0</v>
      </c>
      <c r="F654" s="210"/>
      <c r="G654" s="211"/>
      <c r="H654" s="212" t="s">
        <v>50</v>
      </c>
      <c r="I654" s="213" t="s">
        <v>43</v>
      </c>
    </row>
    <row r="655">
      <c r="A655" s="205"/>
      <c r="D655" s="227" t="s">
        <v>61</v>
      </c>
      <c r="E655" s="227">
        <v>1.0</v>
      </c>
      <c r="F655" s="233"/>
      <c r="G655" s="233"/>
      <c r="H655" s="234" t="s">
        <v>62</v>
      </c>
      <c r="I655" s="213" t="s">
        <v>43</v>
      </c>
    </row>
    <row r="656">
      <c r="A656" s="205"/>
      <c r="D656" s="209" t="s">
        <v>185</v>
      </c>
      <c r="E656" s="325">
        <v>1.0</v>
      </c>
      <c r="F656" s="3"/>
      <c r="G656" s="326"/>
      <c r="H656" s="327" t="s">
        <v>187</v>
      </c>
      <c r="I656" s="235" t="s">
        <v>186</v>
      </c>
    </row>
    <row r="657">
      <c r="A657" s="205"/>
      <c r="D657" s="209" t="s">
        <v>284</v>
      </c>
      <c r="E657" s="209">
        <v>1.0</v>
      </c>
      <c r="F657" s="215"/>
      <c r="G657" s="216"/>
      <c r="H657" s="212" t="s">
        <v>115</v>
      </c>
      <c r="I657" s="213" t="s">
        <v>105</v>
      </c>
    </row>
    <row r="658">
      <c r="A658" s="217"/>
      <c r="B658" s="218"/>
      <c r="C658" s="218"/>
      <c r="D658" s="252" t="s">
        <v>156</v>
      </c>
      <c r="E658" s="252">
        <v>2.0</v>
      </c>
      <c r="F658" s="319"/>
      <c r="G658" s="319"/>
      <c r="H658" s="320" t="s">
        <v>157</v>
      </c>
      <c r="I658" s="253" t="s">
        <v>144</v>
      </c>
    </row>
    <row r="659">
      <c r="A659" s="254" t="s">
        <v>589</v>
      </c>
      <c r="B659" s="412" t="s">
        <v>562</v>
      </c>
      <c r="C659" s="267">
        <f>sum(E659:E663)</f>
        <v>9</v>
      </c>
      <c r="D659" s="238" t="s">
        <v>159</v>
      </c>
      <c r="E659" s="238">
        <v>1.0</v>
      </c>
      <c r="F659" s="280"/>
      <c r="G659" s="280"/>
      <c r="H659" s="241" t="s">
        <v>160</v>
      </c>
      <c r="I659" s="324" t="s">
        <v>144</v>
      </c>
    </row>
    <row r="660">
      <c r="A660" s="205"/>
      <c r="D660" s="304" t="s">
        <v>150</v>
      </c>
      <c r="E660" s="304">
        <v>2.0</v>
      </c>
      <c r="F660" s="305"/>
      <c r="G660" s="305"/>
      <c r="H660" s="306" t="s">
        <v>151</v>
      </c>
      <c r="I660" s="307" t="s">
        <v>144</v>
      </c>
    </row>
    <row r="661">
      <c r="A661" s="205"/>
      <c r="D661" s="209" t="s">
        <v>162</v>
      </c>
      <c r="E661" s="209">
        <v>2.0</v>
      </c>
      <c r="F661" s="243"/>
      <c r="G661" s="211"/>
      <c r="H661" s="212" t="s">
        <v>164</v>
      </c>
      <c r="I661" s="213" t="s">
        <v>163</v>
      </c>
    </row>
    <row r="662">
      <c r="A662" s="205"/>
      <c r="D662" s="209" t="s">
        <v>22</v>
      </c>
      <c r="E662" s="209">
        <v>2.0</v>
      </c>
      <c r="F662" s="243"/>
      <c r="G662" s="211"/>
      <c r="H662" s="212" t="s">
        <v>307</v>
      </c>
      <c r="I662" s="213" t="s">
        <v>23</v>
      </c>
    </row>
    <row r="663">
      <c r="A663" s="217"/>
      <c r="B663" s="218"/>
      <c r="C663" s="218"/>
      <c r="D663" s="536" t="s">
        <v>79</v>
      </c>
      <c r="E663" s="536">
        <v>2.0</v>
      </c>
      <c r="F663" s="537"/>
      <c r="G663" s="538"/>
      <c r="H663" s="539" t="s">
        <v>80</v>
      </c>
      <c r="I663" s="540" t="s">
        <v>65</v>
      </c>
    </row>
    <row r="664">
      <c r="A664" s="195" t="s">
        <v>590</v>
      </c>
      <c r="B664" s="412" t="s">
        <v>591</v>
      </c>
      <c r="C664" s="267">
        <f>sum(E664:E668)</f>
        <v>9</v>
      </c>
      <c r="D664" s="238" t="s">
        <v>143</v>
      </c>
      <c r="E664" s="238">
        <v>5.0</v>
      </c>
      <c r="F664" s="280"/>
      <c r="G664" s="280"/>
      <c r="H664" s="241" t="s">
        <v>145</v>
      </c>
      <c r="I664" s="324" t="s">
        <v>144</v>
      </c>
    </row>
    <row r="665">
      <c r="A665" s="205"/>
      <c r="D665" s="375" t="s">
        <v>94</v>
      </c>
      <c r="E665" s="375">
        <v>1.0</v>
      </c>
      <c r="F665" s="376"/>
      <c r="G665" s="376"/>
      <c r="H665" s="377" t="s">
        <v>95</v>
      </c>
      <c r="I665" s="378" t="s">
        <v>65</v>
      </c>
    </row>
    <row r="666">
      <c r="A666" s="205"/>
      <c r="D666" s="209" t="s">
        <v>172</v>
      </c>
      <c r="E666" s="209">
        <v>1.0</v>
      </c>
      <c r="F666" s="210"/>
      <c r="G666" s="211"/>
      <c r="H666" s="212" t="s">
        <v>421</v>
      </c>
      <c r="I666" s="213" t="s">
        <v>163</v>
      </c>
    </row>
    <row r="667">
      <c r="A667" s="205"/>
      <c r="D667" s="209" t="s">
        <v>117</v>
      </c>
      <c r="E667" s="209">
        <v>1.0</v>
      </c>
      <c r="F667" s="211"/>
      <c r="G667" s="211"/>
      <c r="H667" s="212" t="s">
        <v>322</v>
      </c>
      <c r="I667" s="213" t="s">
        <v>105</v>
      </c>
    </row>
    <row r="668">
      <c r="A668" s="217"/>
      <c r="B668" s="218"/>
      <c r="C668" s="218"/>
      <c r="D668" s="219" t="s">
        <v>284</v>
      </c>
      <c r="E668" s="219">
        <v>1.0</v>
      </c>
      <c r="F668" s="220"/>
      <c r="G668" s="221"/>
      <c r="H668" s="222" t="s">
        <v>115</v>
      </c>
      <c r="I668" s="223" t="s">
        <v>105</v>
      </c>
    </row>
    <row r="669">
      <c r="A669" s="464" t="s">
        <v>592</v>
      </c>
      <c r="B669" s="447" t="s">
        <v>593</v>
      </c>
      <c r="C669" s="541">
        <f>sum(E669:E672)</f>
        <v>9</v>
      </c>
      <c r="D669" s="465" t="s">
        <v>162</v>
      </c>
      <c r="E669" s="465">
        <v>2.0</v>
      </c>
      <c r="F669" s="466"/>
      <c r="G669" s="466"/>
      <c r="H669" s="467" t="s">
        <v>164</v>
      </c>
      <c r="I669" s="468" t="s">
        <v>163</v>
      </c>
      <c r="J669" s="469"/>
      <c r="K669" s="469"/>
      <c r="L669" s="469"/>
      <c r="M669" s="469"/>
      <c r="N669" s="469"/>
      <c r="O669" s="469"/>
      <c r="P669" s="469"/>
      <c r="Q669" s="469"/>
      <c r="R669" s="469"/>
      <c r="S669" s="469"/>
      <c r="T669" s="469"/>
      <c r="U669" s="469"/>
      <c r="V669" s="469"/>
      <c r="W669" s="469"/>
      <c r="X669" s="469"/>
      <c r="Y669" s="469"/>
      <c r="Z669" s="469"/>
      <c r="AA669" s="469"/>
      <c r="AB669" s="469"/>
      <c r="AC669" s="469"/>
    </row>
    <row r="670">
      <c r="A670" s="205"/>
      <c r="D670" s="542" t="s">
        <v>143</v>
      </c>
      <c r="E670" s="542">
        <v>5.0</v>
      </c>
      <c r="F670" s="543"/>
      <c r="G670" s="543"/>
      <c r="H670" s="544" t="s">
        <v>145</v>
      </c>
      <c r="I670" s="545" t="s">
        <v>144</v>
      </c>
      <c r="J670" s="469"/>
      <c r="K670" s="469"/>
      <c r="L670" s="469"/>
      <c r="M670" s="469"/>
      <c r="N670" s="469"/>
      <c r="O670" s="469"/>
      <c r="P670" s="469"/>
      <c r="Q670" s="469"/>
      <c r="R670" s="469"/>
      <c r="S670" s="469"/>
      <c r="T670" s="469"/>
      <c r="U670" s="469"/>
      <c r="V670" s="469"/>
      <c r="W670" s="469"/>
      <c r="X670" s="469"/>
      <c r="Y670" s="469"/>
      <c r="Z670" s="469"/>
      <c r="AA670" s="469"/>
      <c r="AB670" s="469"/>
      <c r="AC670" s="469"/>
    </row>
    <row r="671">
      <c r="A671" s="205"/>
      <c r="D671" s="546" t="s">
        <v>284</v>
      </c>
      <c r="E671" s="546">
        <v>1.0</v>
      </c>
      <c r="F671" s="547"/>
      <c r="G671" s="547"/>
      <c r="H671" s="548" t="s">
        <v>115</v>
      </c>
      <c r="I671" s="549" t="s">
        <v>105</v>
      </c>
      <c r="J671" s="469"/>
      <c r="K671" s="469"/>
      <c r="L671" s="469"/>
      <c r="M671" s="469"/>
      <c r="N671" s="469"/>
      <c r="O671" s="469"/>
      <c r="P671" s="469"/>
      <c r="Q671" s="469"/>
      <c r="R671" s="469"/>
      <c r="S671" s="469"/>
      <c r="T671" s="469"/>
      <c r="U671" s="469"/>
      <c r="V671" s="469"/>
      <c r="W671" s="469"/>
      <c r="X671" s="469"/>
      <c r="Y671" s="469"/>
      <c r="Z671" s="469"/>
      <c r="AA671" s="469"/>
      <c r="AB671" s="469"/>
      <c r="AC671" s="469"/>
    </row>
    <row r="672">
      <c r="A672" s="217"/>
      <c r="B672" s="218"/>
      <c r="C672" s="218"/>
      <c r="D672" s="460" t="s">
        <v>117</v>
      </c>
      <c r="E672" s="460">
        <v>1.0</v>
      </c>
      <c r="F672" s="550"/>
      <c r="G672" s="550"/>
      <c r="H672" s="462" t="s">
        <v>322</v>
      </c>
      <c r="I672" s="463" t="s">
        <v>105</v>
      </c>
      <c r="J672" s="469"/>
      <c r="K672" s="469"/>
      <c r="L672" s="469"/>
      <c r="M672" s="469"/>
      <c r="N672" s="469"/>
      <c r="O672" s="469"/>
      <c r="P672" s="469"/>
      <c r="Q672" s="469"/>
      <c r="R672" s="469"/>
      <c r="S672" s="469"/>
      <c r="T672" s="469"/>
      <c r="U672" s="469"/>
      <c r="V672" s="469"/>
      <c r="W672" s="469"/>
      <c r="X672" s="469"/>
      <c r="Y672" s="469"/>
      <c r="Z672" s="469"/>
      <c r="AA672" s="469"/>
      <c r="AB672" s="469"/>
      <c r="AC672" s="469"/>
    </row>
    <row r="673">
      <c r="A673" s="464" t="s">
        <v>594</v>
      </c>
      <c r="B673" s="551" t="s">
        <v>595</v>
      </c>
      <c r="C673" s="541">
        <f>sum(E673:E677)</f>
        <v>9</v>
      </c>
      <c r="D673" s="465" t="s">
        <v>162</v>
      </c>
      <c r="E673" s="465">
        <v>2.0</v>
      </c>
      <c r="F673" s="466"/>
      <c r="G673" s="466"/>
      <c r="H673" s="467" t="s">
        <v>164</v>
      </c>
      <c r="I673" s="468" t="s">
        <v>163</v>
      </c>
      <c r="J673" s="469"/>
      <c r="K673" s="469"/>
      <c r="L673" s="469"/>
      <c r="M673" s="469"/>
      <c r="N673" s="469"/>
      <c r="O673" s="469"/>
      <c r="P673" s="469"/>
      <c r="Q673" s="469"/>
      <c r="R673" s="469"/>
      <c r="S673" s="469"/>
      <c r="T673" s="469"/>
      <c r="U673" s="469"/>
      <c r="V673" s="469"/>
      <c r="W673" s="469"/>
      <c r="X673" s="469"/>
      <c r="Y673" s="469"/>
      <c r="Z673" s="469"/>
      <c r="AA673" s="469"/>
      <c r="AB673" s="469"/>
      <c r="AC673" s="469"/>
    </row>
    <row r="674">
      <c r="A674" s="205"/>
      <c r="D674" s="546" t="s">
        <v>108</v>
      </c>
      <c r="E674" s="546">
        <v>2.0</v>
      </c>
      <c r="F674" s="547"/>
      <c r="G674" s="547"/>
      <c r="H674" s="548" t="s">
        <v>109</v>
      </c>
      <c r="I674" s="552" t="s">
        <v>105</v>
      </c>
      <c r="J674" s="469"/>
      <c r="K674" s="469"/>
      <c r="L674" s="469"/>
      <c r="M674" s="469"/>
      <c r="N674" s="469"/>
      <c r="O674" s="469"/>
      <c r="P674" s="469"/>
      <c r="Q674" s="469"/>
      <c r="R674" s="469"/>
      <c r="S674" s="469"/>
      <c r="T674" s="469"/>
      <c r="U674" s="469"/>
      <c r="V674" s="469"/>
      <c r="W674" s="469"/>
      <c r="X674" s="469"/>
      <c r="Y674" s="469"/>
      <c r="Z674" s="469"/>
      <c r="AA674" s="469"/>
      <c r="AB674" s="469"/>
      <c r="AC674" s="469"/>
    </row>
    <row r="675">
      <c r="A675" s="205"/>
      <c r="D675" s="546" t="s">
        <v>134</v>
      </c>
      <c r="E675" s="546">
        <v>1.0</v>
      </c>
      <c r="F675" s="547"/>
      <c r="G675" s="547"/>
      <c r="H675" s="548" t="s">
        <v>135</v>
      </c>
      <c r="I675" s="549" t="s">
        <v>105</v>
      </c>
      <c r="J675" s="469"/>
      <c r="K675" s="469"/>
      <c r="L675" s="469"/>
      <c r="M675" s="469"/>
      <c r="N675" s="469"/>
      <c r="O675" s="469"/>
      <c r="P675" s="469"/>
      <c r="Q675" s="469"/>
      <c r="R675" s="469"/>
      <c r="S675" s="469"/>
      <c r="T675" s="469"/>
      <c r="U675" s="469"/>
      <c r="V675" s="469"/>
      <c r="W675" s="469"/>
      <c r="X675" s="469"/>
      <c r="Y675" s="469"/>
      <c r="Z675" s="469"/>
      <c r="AA675" s="469"/>
      <c r="AB675" s="469"/>
      <c r="AC675" s="469"/>
    </row>
    <row r="676">
      <c r="A676" s="205"/>
      <c r="D676" s="457" t="s">
        <v>76</v>
      </c>
      <c r="E676" s="457">
        <v>2.0</v>
      </c>
      <c r="F676" s="478"/>
      <c r="G676" s="478"/>
      <c r="H676" s="458" t="s">
        <v>77</v>
      </c>
      <c r="I676" s="459" t="s">
        <v>65</v>
      </c>
      <c r="J676" s="469"/>
      <c r="K676" s="469"/>
      <c r="L676" s="469"/>
      <c r="M676" s="469"/>
      <c r="N676" s="469"/>
      <c r="O676" s="469"/>
      <c r="P676" s="469"/>
      <c r="Q676" s="469"/>
      <c r="R676" s="469"/>
      <c r="S676" s="469"/>
      <c r="T676" s="469"/>
      <c r="U676" s="469"/>
      <c r="V676" s="469"/>
      <c r="W676" s="469"/>
      <c r="X676" s="469"/>
      <c r="Y676" s="469"/>
      <c r="Z676" s="469"/>
      <c r="AA676" s="469"/>
      <c r="AB676" s="469"/>
      <c r="AC676" s="469"/>
    </row>
    <row r="677">
      <c r="A677" s="217"/>
      <c r="B677" s="218"/>
      <c r="C677" s="218"/>
      <c r="D677" s="553" t="s">
        <v>22</v>
      </c>
      <c r="E677" s="553">
        <v>2.0</v>
      </c>
      <c r="F677" s="554"/>
      <c r="G677" s="554"/>
      <c r="H677" s="555" t="s">
        <v>307</v>
      </c>
      <c r="I677" s="556" t="s">
        <v>23</v>
      </c>
      <c r="J677" s="469"/>
      <c r="K677" s="469"/>
      <c r="L677" s="469"/>
      <c r="M677" s="469"/>
      <c r="N677" s="469"/>
      <c r="O677" s="469"/>
      <c r="P677" s="469"/>
      <c r="Q677" s="469"/>
      <c r="R677" s="469"/>
      <c r="S677" s="469"/>
      <c r="T677" s="469"/>
      <c r="U677" s="469"/>
      <c r="V677" s="469"/>
      <c r="W677" s="469"/>
      <c r="X677" s="469"/>
      <c r="Y677" s="469"/>
      <c r="Z677" s="469"/>
      <c r="AA677" s="469"/>
      <c r="AB677" s="469"/>
      <c r="AC677" s="469"/>
    </row>
    <row r="678">
      <c r="A678" s="195" t="s">
        <v>596</v>
      </c>
      <c r="B678" s="277" t="s">
        <v>597</v>
      </c>
      <c r="C678" s="197">
        <f>sum(E678:E680)</f>
        <v>8</v>
      </c>
      <c r="D678" s="238" t="s">
        <v>143</v>
      </c>
      <c r="E678" s="238">
        <v>5.0</v>
      </c>
      <c r="F678" s="280"/>
      <c r="G678" s="280"/>
      <c r="H678" s="241" t="s">
        <v>145</v>
      </c>
      <c r="I678" s="324" t="s">
        <v>144</v>
      </c>
      <c r="K678" s="204"/>
      <c r="L678" s="204"/>
    </row>
    <row r="679">
      <c r="A679" s="205"/>
      <c r="D679" s="209" t="s">
        <v>284</v>
      </c>
      <c r="E679" s="209">
        <v>1.0</v>
      </c>
      <c r="F679" s="215"/>
      <c r="G679" s="216"/>
      <c r="H679" s="212" t="s">
        <v>115</v>
      </c>
      <c r="I679" s="213" t="s">
        <v>105</v>
      </c>
      <c r="K679" s="204"/>
      <c r="L679" s="204"/>
    </row>
    <row r="680">
      <c r="A680" s="205"/>
      <c r="D680" s="209" t="s">
        <v>17</v>
      </c>
      <c r="E680" s="209">
        <v>2.0</v>
      </c>
      <c r="F680" s="210"/>
      <c r="G680" s="211"/>
      <c r="H680" s="354" t="s">
        <v>321</v>
      </c>
      <c r="I680" s="213" t="s">
        <v>7</v>
      </c>
      <c r="K680" s="204"/>
      <c r="L680" s="204"/>
    </row>
    <row r="681">
      <c r="A681" s="254" t="s">
        <v>598</v>
      </c>
      <c r="B681" s="277" t="s">
        <v>294</v>
      </c>
      <c r="C681" s="197">
        <f>sum(E681:AC683)</f>
        <v>8</v>
      </c>
      <c r="D681" s="238" t="s">
        <v>284</v>
      </c>
      <c r="E681" s="238">
        <v>1.0</v>
      </c>
      <c r="F681" s="280"/>
      <c r="G681" s="280"/>
      <c r="H681" s="241" t="s">
        <v>115</v>
      </c>
      <c r="I681" s="242" t="s">
        <v>105</v>
      </c>
      <c r="K681" s="204"/>
      <c r="L681" s="204"/>
    </row>
    <row r="682">
      <c r="A682" s="205"/>
      <c r="D682" s="209" t="s">
        <v>143</v>
      </c>
      <c r="E682" s="209">
        <v>5.0</v>
      </c>
      <c r="F682" s="227"/>
      <c r="G682" s="227"/>
      <c r="H682" s="212" t="s">
        <v>145</v>
      </c>
      <c r="I682" s="228" t="s">
        <v>144</v>
      </c>
      <c r="K682" s="204"/>
      <c r="L682" s="204"/>
    </row>
    <row r="683">
      <c r="A683" s="217"/>
      <c r="B683" s="218"/>
      <c r="C683" s="218"/>
      <c r="D683" s="219" t="s">
        <v>166</v>
      </c>
      <c r="E683" s="219">
        <v>2.0</v>
      </c>
      <c r="F683" s="252"/>
      <c r="G683" s="252"/>
      <c r="H683" s="222" t="s">
        <v>167</v>
      </c>
      <c r="I683" s="213" t="s">
        <v>163</v>
      </c>
      <c r="K683" s="204"/>
      <c r="L683" s="204"/>
    </row>
    <row r="684">
      <c r="A684" s="236" t="s">
        <v>599</v>
      </c>
      <c r="B684" s="237" t="s">
        <v>530</v>
      </c>
      <c r="C684" s="197">
        <f>sum(E684:E686)</f>
        <v>8</v>
      </c>
      <c r="D684" s="238" t="s">
        <v>143</v>
      </c>
      <c r="E684" s="238">
        <v>5.0</v>
      </c>
      <c r="F684" s="280"/>
      <c r="G684" s="280"/>
      <c r="H684" s="241" t="s">
        <v>145</v>
      </c>
      <c r="I684" s="324" t="s">
        <v>144</v>
      </c>
      <c r="K684" s="204"/>
      <c r="L684" s="204"/>
    </row>
    <row r="685">
      <c r="A685" s="205"/>
      <c r="D685" s="209" t="s">
        <v>284</v>
      </c>
      <c r="E685" s="209">
        <v>1.0</v>
      </c>
      <c r="F685" s="215"/>
      <c r="G685" s="215"/>
      <c r="H685" s="212" t="s">
        <v>115</v>
      </c>
      <c r="I685" s="213" t="s">
        <v>105</v>
      </c>
      <c r="K685" s="204"/>
      <c r="L685" s="204"/>
    </row>
    <row r="686">
      <c r="A686" s="217"/>
      <c r="B686" s="218"/>
      <c r="C686" s="218"/>
      <c r="D686" s="219" t="s">
        <v>162</v>
      </c>
      <c r="E686" s="219">
        <v>2.0</v>
      </c>
      <c r="F686" s="313"/>
      <c r="G686" s="263"/>
      <c r="H686" s="222" t="s">
        <v>164</v>
      </c>
      <c r="I686" s="223" t="s">
        <v>163</v>
      </c>
      <c r="K686" s="204"/>
      <c r="L686" s="204"/>
    </row>
    <row r="687">
      <c r="A687" s="557" t="s">
        <v>600</v>
      </c>
      <c r="B687" s="237" t="s">
        <v>601</v>
      </c>
      <c r="C687" s="197">
        <f>sum(E687:E689)</f>
        <v>8</v>
      </c>
      <c r="D687" s="238" t="s">
        <v>143</v>
      </c>
      <c r="E687" s="238">
        <v>5.0</v>
      </c>
      <c r="F687" s="280"/>
      <c r="G687" s="280"/>
      <c r="H687" s="241" t="s">
        <v>145</v>
      </c>
      <c r="I687" s="324" t="s">
        <v>144</v>
      </c>
      <c r="K687" s="204"/>
      <c r="L687" s="204"/>
    </row>
    <row r="688">
      <c r="A688" s="558"/>
      <c r="D688" s="227" t="s">
        <v>156</v>
      </c>
      <c r="E688" s="227">
        <v>2.0</v>
      </c>
      <c r="F688" s="233"/>
      <c r="G688" s="233"/>
      <c r="H688" s="234" t="s">
        <v>157</v>
      </c>
      <c r="I688" s="228" t="s">
        <v>144</v>
      </c>
      <c r="K688" s="204"/>
      <c r="L688" s="204"/>
    </row>
    <row r="689">
      <c r="A689" s="559"/>
      <c r="B689" s="218"/>
      <c r="C689" s="218"/>
      <c r="D689" s="219" t="s">
        <v>284</v>
      </c>
      <c r="E689" s="219">
        <v>1.0</v>
      </c>
      <c r="F689" s="220"/>
      <c r="G689" s="221"/>
      <c r="H689" s="222" t="s">
        <v>115</v>
      </c>
      <c r="I689" s="223" t="s">
        <v>105</v>
      </c>
      <c r="K689" s="204"/>
      <c r="L689" s="204"/>
    </row>
    <row r="690">
      <c r="A690" s="311" t="s">
        <v>602</v>
      </c>
      <c r="B690" s="196" t="s">
        <v>272</v>
      </c>
      <c r="C690" s="197">
        <f>sum(E690:E693)</f>
        <v>8</v>
      </c>
      <c r="D690" s="238" t="s">
        <v>143</v>
      </c>
      <c r="E690" s="238">
        <v>5.0</v>
      </c>
      <c r="F690" s="280"/>
      <c r="G690" s="280"/>
      <c r="H690" s="241" t="s">
        <v>145</v>
      </c>
      <c r="I690" s="324" t="s">
        <v>144</v>
      </c>
      <c r="K690" s="204"/>
      <c r="L690" s="204"/>
    </row>
    <row r="691">
      <c r="A691" s="205"/>
      <c r="D691" s="209" t="s">
        <v>117</v>
      </c>
      <c r="E691" s="209">
        <v>1.0</v>
      </c>
      <c r="F691" s="211"/>
      <c r="G691" s="211"/>
      <c r="H691" s="212" t="s">
        <v>322</v>
      </c>
      <c r="I691" s="213" t="s">
        <v>105</v>
      </c>
      <c r="K691" s="204"/>
      <c r="L691" s="204"/>
    </row>
    <row r="692">
      <c r="A692" s="205"/>
      <c r="D692" s="209" t="s">
        <v>284</v>
      </c>
      <c r="E692" s="209">
        <v>1.0</v>
      </c>
      <c r="F692" s="215"/>
      <c r="G692" s="216"/>
      <c r="H692" s="212" t="s">
        <v>115</v>
      </c>
      <c r="I692" s="213" t="s">
        <v>105</v>
      </c>
      <c r="K692" s="204"/>
      <c r="L692" s="204"/>
    </row>
    <row r="693">
      <c r="A693" s="217"/>
      <c r="B693" s="218"/>
      <c r="C693" s="218"/>
      <c r="D693" s="308" t="s">
        <v>123</v>
      </c>
      <c r="E693" s="308">
        <v>1.0</v>
      </c>
      <c r="F693" s="80"/>
      <c r="G693" s="86"/>
      <c r="H693" s="309" t="s">
        <v>124</v>
      </c>
      <c r="I693" s="213" t="s">
        <v>105</v>
      </c>
      <c r="K693" s="204"/>
      <c r="L693" s="204"/>
    </row>
    <row r="694">
      <c r="A694" s="254" t="s">
        <v>603</v>
      </c>
      <c r="B694" s="277" t="s">
        <v>604</v>
      </c>
      <c r="C694" s="197">
        <f>sum(E694:AC697)</f>
        <v>8</v>
      </c>
      <c r="D694" s="238" t="s">
        <v>284</v>
      </c>
      <c r="E694" s="238">
        <v>1.0</v>
      </c>
      <c r="F694" s="239"/>
      <c r="G694" s="240"/>
      <c r="H694" s="241" t="s">
        <v>115</v>
      </c>
      <c r="I694" s="242" t="s">
        <v>105</v>
      </c>
      <c r="K694" s="204"/>
      <c r="L694" s="204"/>
    </row>
    <row r="695">
      <c r="A695" s="205"/>
      <c r="D695" s="209" t="s">
        <v>175</v>
      </c>
      <c r="E695" s="209">
        <v>4.0</v>
      </c>
      <c r="F695" s="211"/>
      <c r="G695" s="211"/>
      <c r="H695" s="212" t="s">
        <v>289</v>
      </c>
      <c r="I695" s="213" t="s">
        <v>176</v>
      </c>
      <c r="K695" s="204"/>
      <c r="L695" s="204"/>
    </row>
    <row r="696">
      <c r="A696" s="205"/>
      <c r="D696" s="283" t="s">
        <v>39</v>
      </c>
      <c r="E696" s="283">
        <v>1.0</v>
      </c>
      <c r="F696" s="30"/>
      <c r="G696" s="32"/>
      <c r="H696" s="284" t="s">
        <v>40</v>
      </c>
      <c r="I696" s="285" t="s">
        <v>30</v>
      </c>
      <c r="K696" s="204"/>
      <c r="L696" s="204"/>
    </row>
    <row r="697">
      <c r="A697" s="217"/>
      <c r="B697" s="218"/>
      <c r="C697" s="218"/>
      <c r="D697" s="219" t="s">
        <v>605</v>
      </c>
      <c r="E697" s="219">
        <v>2.0</v>
      </c>
      <c r="F697" s="263"/>
      <c r="G697" s="264"/>
      <c r="H697" s="222" t="s">
        <v>606</v>
      </c>
      <c r="I697" s="223" t="s">
        <v>105</v>
      </c>
      <c r="K697" s="204"/>
      <c r="L697" s="204"/>
    </row>
    <row r="698" ht="19.5" customHeight="1">
      <c r="A698" s="560" t="s">
        <v>607</v>
      </c>
      <c r="B698" s="561" t="s">
        <v>608</v>
      </c>
      <c r="C698" s="562">
        <f>sum(E698:E702)</f>
        <v>8</v>
      </c>
      <c r="D698" s="563" t="s">
        <v>162</v>
      </c>
      <c r="E698" s="563">
        <v>2.0</v>
      </c>
      <c r="F698" s="564"/>
      <c r="G698" s="565"/>
      <c r="H698" s="566" t="s">
        <v>164</v>
      </c>
      <c r="I698" s="567" t="s">
        <v>163</v>
      </c>
      <c r="K698" s="204"/>
      <c r="L698" s="204"/>
    </row>
    <row r="699" ht="19.5" customHeight="1">
      <c r="A699" s="205"/>
      <c r="D699" s="333" t="s">
        <v>120</v>
      </c>
      <c r="E699" s="333">
        <v>1.0</v>
      </c>
      <c r="F699" s="358"/>
      <c r="G699" s="358"/>
      <c r="H699" s="336" t="s">
        <v>327</v>
      </c>
      <c r="I699" s="337" t="s">
        <v>105</v>
      </c>
      <c r="K699" s="204"/>
      <c r="L699" s="204"/>
    </row>
    <row r="700" ht="19.5" customHeight="1">
      <c r="A700" s="205"/>
      <c r="D700" s="333" t="s">
        <v>284</v>
      </c>
      <c r="E700" s="333">
        <v>1.0</v>
      </c>
      <c r="F700" s="334"/>
      <c r="G700" s="335"/>
      <c r="H700" s="336" t="s">
        <v>115</v>
      </c>
      <c r="I700" s="337" t="s">
        <v>105</v>
      </c>
      <c r="K700" s="204"/>
      <c r="L700" s="204"/>
    </row>
    <row r="701" ht="19.5" customHeight="1">
      <c r="A701" s="205"/>
      <c r="D701" s="333" t="s">
        <v>290</v>
      </c>
      <c r="E701" s="333">
        <v>2.0</v>
      </c>
      <c r="F701" s="334"/>
      <c r="G701" s="335"/>
      <c r="H701" s="336" t="s">
        <v>283</v>
      </c>
      <c r="I701" s="337" t="s">
        <v>65</v>
      </c>
      <c r="K701" s="204"/>
      <c r="L701" s="204"/>
    </row>
    <row r="702" ht="19.5" customHeight="1">
      <c r="A702" s="205"/>
      <c r="D702" s="515" t="s">
        <v>108</v>
      </c>
      <c r="E702" s="515">
        <v>2.0</v>
      </c>
      <c r="F702" s="516"/>
      <c r="G702" s="517"/>
      <c r="H702" s="518" t="s">
        <v>109</v>
      </c>
      <c r="I702" s="519" t="s">
        <v>105</v>
      </c>
      <c r="K702" s="204"/>
      <c r="L702" s="204"/>
    </row>
    <row r="703" ht="17.25" customHeight="1">
      <c r="A703" s="195" t="s">
        <v>609</v>
      </c>
      <c r="B703" s="237" t="s">
        <v>610</v>
      </c>
      <c r="C703" s="267">
        <f>sum(E703:E707)</f>
        <v>8</v>
      </c>
      <c r="D703" s="238" t="s">
        <v>147</v>
      </c>
      <c r="E703" s="238">
        <v>3.0</v>
      </c>
      <c r="F703" s="280"/>
      <c r="G703" s="280"/>
      <c r="H703" s="241" t="s">
        <v>145</v>
      </c>
      <c r="I703" s="324" t="s">
        <v>144</v>
      </c>
      <c r="K703" s="204"/>
      <c r="L703" s="204"/>
    </row>
    <row r="704" ht="17.25" customHeight="1">
      <c r="A704" s="205"/>
      <c r="D704" s="209" t="s">
        <v>284</v>
      </c>
      <c r="E704" s="209">
        <v>1.0</v>
      </c>
      <c r="F704" s="215"/>
      <c r="G704" s="216"/>
      <c r="H704" s="212" t="s">
        <v>115</v>
      </c>
      <c r="I704" s="213" t="s">
        <v>105</v>
      </c>
      <c r="K704" s="204"/>
      <c r="L704" s="204"/>
    </row>
    <row r="705" ht="17.25" customHeight="1">
      <c r="A705" s="205"/>
      <c r="D705" s="308" t="s">
        <v>123</v>
      </c>
      <c r="E705" s="308">
        <v>1.0</v>
      </c>
      <c r="F705" s="80"/>
      <c r="G705" s="86"/>
      <c r="H705" s="309" t="s">
        <v>124</v>
      </c>
      <c r="I705" s="213" t="s">
        <v>105</v>
      </c>
      <c r="K705" s="204"/>
      <c r="L705" s="204"/>
    </row>
    <row r="706" ht="17.25" customHeight="1">
      <c r="A706" s="205"/>
      <c r="D706" s="209" t="s">
        <v>162</v>
      </c>
      <c r="E706" s="209">
        <v>2.0</v>
      </c>
      <c r="F706" s="243"/>
      <c r="G706" s="211"/>
      <c r="H706" s="212" t="s">
        <v>164</v>
      </c>
      <c r="I706" s="213" t="s">
        <v>163</v>
      </c>
      <c r="K706" s="204"/>
      <c r="L706" s="204"/>
    </row>
    <row r="707" ht="17.25" customHeight="1">
      <c r="A707" s="217"/>
      <c r="B707" s="218"/>
      <c r="C707" s="218"/>
      <c r="D707" s="219" t="s">
        <v>120</v>
      </c>
      <c r="E707" s="219">
        <v>1.0</v>
      </c>
      <c r="F707" s="258"/>
      <c r="G707" s="258"/>
      <c r="H707" s="222" t="s">
        <v>327</v>
      </c>
      <c r="I707" s="223" t="s">
        <v>105</v>
      </c>
      <c r="K707" s="204"/>
      <c r="L707" s="204"/>
    </row>
    <row r="708">
      <c r="A708" s="236" t="s">
        <v>611</v>
      </c>
      <c r="B708" s="237" t="s">
        <v>612</v>
      </c>
      <c r="C708" s="267">
        <f>sum(E708:E710)</f>
        <v>8</v>
      </c>
      <c r="D708" s="238" t="s">
        <v>79</v>
      </c>
      <c r="E708" s="238">
        <v>2.0</v>
      </c>
      <c r="F708" s="255"/>
      <c r="G708" s="255"/>
      <c r="H708" s="241" t="s">
        <v>80</v>
      </c>
      <c r="I708" s="242" t="s">
        <v>65</v>
      </c>
      <c r="K708" s="204"/>
      <c r="L708" s="204"/>
    </row>
    <row r="709">
      <c r="A709" s="205"/>
      <c r="D709" s="209" t="s">
        <v>284</v>
      </c>
      <c r="E709" s="209">
        <v>1.0</v>
      </c>
      <c r="F709" s="215"/>
      <c r="G709" s="216"/>
      <c r="H709" s="212" t="s">
        <v>115</v>
      </c>
      <c r="I709" s="213" t="s">
        <v>105</v>
      </c>
      <c r="K709" s="204"/>
      <c r="L709" s="204"/>
    </row>
    <row r="710">
      <c r="A710" s="217"/>
      <c r="B710" s="218"/>
      <c r="C710" s="218"/>
      <c r="D710" s="219" t="s">
        <v>143</v>
      </c>
      <c r="E710" s="219">
        <v>5.0</v>
      </c>
      <c r="F710" s="252"/>
      <c r="G710" s="252"/>
      <c r="H710" s="222" t="s">
        <v>145</v>
      </c>
      <c r="I710" s="253" t="s">
        <v>144</v>
      </c>
      <c r="K710" s="204"/>
      <c r="L710" s="204"/>
    </row>
    <row r="711">
      <c r="A711" s="236" t="s">
        <v>613</v>
      </c>
      <c r="B711" s="237" t="s">
        <v>614</v>
      </c>
      <c r="C711" s="267">
        <f>sum(E711:E713)</f>
        <v>8</v>
      </c>
      <c r="D711" s="238" t="s">
        <v>79</v>
      </c>
      <c r="E711" s="238">
        <v>2.0</v>
      </c>
      <c r="F711" s="255"/>
      <c r="G711" s="255"/>
      <c r="H711" s="241" t="s">
        <v>80</v>
      </c>
      <c r="I711" s="242" t="s">
        <v>65</v>
      </c>
      <c r="K711" s="204"/>
      <c r="L711" s="204"/>
    </row>
    <row r="712">
      <c r="A712" s="205"/>
      <c r="D712" s="209" t="s">
        <v>284</v>
      </c>
      <c r="E712" s="209">
        <v>1.0</v>
      </c>
      <c r="F712" s="215"/>
      <c r="G712" s="216"/>
      <c r="H712" s="212" t="s">
        <v>115</v>
      </c>
      <c r="I712" s="213" t="s">
        <v>105</v>
      </c>
      <c r="K712" s="204"/>
      <c r="L712" s="204"/>
    </row>
    <row r="713">
      <c r="A713" s="217"/>
      <c r="B713" s="218"/>
      <c r="C713" s="218"/>
      <c r="D713" s="219" t="s">
        <v>143</v>
      </c>
      <c r="E713" s="219">
        <v>5.0</v>
      </c>
      <c r="F713" s="252"/>
      <c r="G713" s="252"/>
      <c r="H713" s="222" t="s">
        <v>145</v>
      </c>
      <c r="I713" s="253" t="s">
        <v>144</v>
      </c>
      <c r="K713" s="204"/>
      <c r="L713" s="204"/>
    </row>
    <row r="714">
      <c r="A714" s="195" t="s">
        <v>615</v>
      </c>
      <c r="B714" s="290" t="s">
        <v>616</v>
      </c>
      <c r="C714" s="267">
        <f>sum(E714:E717)</f>
        <v>8</v>
      </c>
      <c r="D714" s="280" t="s">
        <v>61</v>
      </c>
      <c r="E714" s="280">
        <v>1.0</v>
      </c>
      <c r="F714" s="281"/>
      <c r="G714" s="281"/>
      <c r="H714" s="282" t="s">
        <v>62</v>
      </c>
      <c r="I714" s="242" t="s">
        <v>43</v>
      </c>
      <c r="K714" s="204"/>
      <c r="L714" s="204"/>
    </row>
    <row r="715">
      <c r="A715" s="205"/>
      <c r="D715" s="209" t="s">
        <v>290</v>
      </c>
      <c r="E715" s="209">
        <v>2.0</v>
      </c>
      <c r="F715" s="215"/>
      <c r="G715" s="216"/>
      <c r="H715" s="212" t="s">
        <v>283</v>
      </c>
      <c r="I715" s="213" t="s">
        <v>65</v>
      </c>
      <c r="K715" s="204"/>
      <c r="L715" s="204"/>
    </row>
    <row r="716">
      <c r="A716" s="205"/>
      <c r="D716" s="209" t="s">
        <v>147</v>
      </c>
      <c r="E716" s="209">
        <v>3.0</v>
      </c>
      <c r="F716" s="227"/>
      <c r="G716" s="227"/>
      <c r="H716" s="212" t="s">
        <v>145</v>
      </c>
      <c r="I716" s="228" t="s">
        <v>144</v>
      </c>
      <c r="K716" s="204"/>
      <c r="L716" s="204"/>
    </row>
    <row r="717">
      <c r="A717" s="217"/>
      <c r="B717" s="218"/>
      <c r="C717" s="218"/>
      <c r="D717" s="219" t="s">
        <v>162</v>
      </c>
      <c r="E717" s="219">
        <v>2.0</v>
      </c>
      <c r="F717" s="313"/>
      <c r="G717" s="264"/>
      <c r="H717" s="222" t="s">
        <v>164</v>
      </c>
      <c r="I717" s="223" t="s">
        <v>163</v>
      </c>
      <c r="K717" s="204"/>
      <c r="L717" s="204"/>
    </row>
    <row r="718">
      <c r="A718" s="236" t="s">
        <v>617</v>
      </c>
      <c r="B718" s="237" t="s">
        <v>530</v>
      </c>
      <c r="C718" s="197">
        <f>sum(E718:E722)</f>
        <v>8</v>
      </c>
      <c r="D718" s="238" t="s">
        <v>162</v>
      </c>
      <c r="E718" s="238">
        <v>2.0</v>
      </c>
      <c r="F718" s="321"/>
      <c r="G718" s="255"/>
      <c r="H718" s="241" t="s">
        <v>164</v>
      </c>
      <c r="I718" s="242" t="s">
        <v>163</v>
      </c>
      <c r="K718" s="204"/>
      <c r="L718" s="204"/>
    </row>
    <row r="719">
      <c r="A719" s="205"/>
      <c r="D719" s="209" t="s">
        <v>159</v>
      </c>
      <c r="E719" s="209">
        <v>1.0</v>
      </c>
      <c r="F719" s="227"/>
      <c r="G719" s="227"/>
      <c r="H719" s="212" t="s">
        <v>160</v>
      </c>
      <c r="I719" s="228" t="s">
        <v>144</v>
      </c>
      <c r="K719" s="204"/>
      <c r="L719" s="204"/>
    </row>
    <row r="720">
      <c r="A720" s="205"/>
      <c r="D720" s="209" t="s">
        <v>11</v>
      </c>
      <c r="E720" s="209">
        <v>2.0</v>
      </c>
      <c r="F720" s="210"/>
      <c r="G720" s="211"/>
      <c r="H720" s="212" t="s">
        <v>348</v>
      </c>
      <c r="I720" s="213" t="s">
        <v>7</v>
      </c>
      <c r="K720" s="204"/>
      <c r="L720" s="204"/>
    </row>
    <row r="721">
      <c r="A721" s="205"/>
      <c r="D721" s="227" t="s">
        <v>97</v>
      </c>
      <c r="E721" s="227">
        <v>2.0</v>
      </c>
      <c r="F721" s="233"/>
      <c r="G721" s="233"/>
      <c r="H721" s="234" t="s">
        <v>99</v>
      </c>
      <c r="I721" s="213" t="s">
        <v>98</v>
      </c>
      <c r="K721" s="204"/>
      <c r="L721" s="204"/>
    </row>
    <row r="722">
      <c r="A722" s="217"/>
      <c r="B722" s="218"/>
      <c r="C722" s="218"/>
      <c r="D722" s="219" t="s">
        <v>58</v>
      </c>
      <c r="E722" s="219">
        <v>1.0</v>
      </c>
      <c r="F722" s="219"/>
      <c r="G722" s="219"/>
      <c r="H722" s="222" t="s">
        <v>59</v>
      </c>
      <c r="I722" s="213" t="s">
        <v>43</v>
      </c>
      <c r="K722" s="204"/>
      <c r="L722" s="204"/>
    </row>
    <row r="723">
      <c r="A723" s="236" t="s">
        <v>618</v>
      </c>
      <c r="B723" s="237" t="s">
        <v>387</v>
      </c>
      <c r="C723" s="197">
        <f>sum(E723:E727)</f>
        <v>8</v>
      </c>
      <c r="D723" s="487" t="s">
        <v>79</v>
      </c>
      <c r="E723" s="487">
        <v>2.0</v>
      </c>
      <c r="F723" s="48"/>
      <c r="G723" s="50"/>
      <c r="H723" s="488" t="s">
        <v>80</v>
      </c>
      <c r="I723" s="489" t="s">
        <v>65</v>
      </c>
      <c r="K723" s="204"/>
      <c r="L723" s="204"/>
    </row>
    <row r="724">
      <c r="A724" s="205"/>
      <c r="D724" s="271" t="s">
        <v>97</v>
      </c>
      <c r="E724" s="271">
        <v>2.0</v>
      </c>
      <c r="F724" s="272"/>
      <c r="G724" s="273"/>
      <c r="H724" s="274" t="s">
        <v>99</v>
      </c>
      <c r="I724" s="275" t="s">
        <v>98</v>
      </c>
      <c r="K724" s="204"/>
      <c r="L724" s="204"/>
    </row>
    <row r="725">
      <c r="A725" s="205"/>
      <c r="D725" s="568" t="s">
        <v>159</v>
      </c>
      <c r="E725" s="568">
        <v>1.0</v>
      </c>
      <c r="F725" s="100"/>
      <c r="G725" s="305"/>
      <c r="H725" s="306" t="s">
        <v>160</v>
      </c>
      <c r="I725" s="228" t="s">
        <v>144</v>
      </c>
      <c r="K725" s="204"/>
      <c r="L725" s="204"/>
    </row>
    <row r="726">
      <c r="A726" s="205"/>
      <c r="D726" s="528" t="s">
        <v>166</v>
      </c>
      <c r="E726" s="528">
        <v>2.0</v>
      </c>
      <c r="F726" s="115"/>
      <c r="G726" s="116"/>
      <c r="H726" s="529" t="s">
        <v>167</v>
      </c>
      <c r="I726" s="569" t="s">
        <v>163</v>
      </c>
      <c r="K726" s="204"/>
      <c r="L726" s="204"/>
    </row>
    <row r="727">
      <c r="A727" s="217"/>
      <c r="B727" s="218"/>
      <c r="C727" s="218"/>
      <c r="D727" s="361" t="s">
        <v>126</v>
      </c>
      <c r="E727" s="361">
        <v>1.0</v>
      </c>
      <c r="F727" s="362"/>
      <c r="G727" s="363"/>
      <c r="H727" s="364" t="s">
        <v>127</v>
      </c>
      <c r="I727" s="365" t="s">
        <v>105</v>
      </c>
      <c r="K727" s="204"/>
      <c r="L727" s="204"/>
    </row>
    <row r="728">
      <c r="A728" s="236" t="s">
        <v>619</v>
      </c>
      <c r="B728" s="237" t="s">
        <v>620</v>
      </c>
      <c r="C728" s="197">
        <f>sum(E728:E734)</f>
        <v>8</v>
      </c>
      <c r="D728" s="570" t="s">
        <v>26</v>
      </c>
      <c r="E728" s="570">
        <v>1.0</v>
      </c>
      <c r="F728" s="571"/>
      <c r="G728" s="572"/>
      <c r="H728" s="573" t="s">
        <v>27</v>
      </c>
      <c r="I728" s="574" t="s">
        <v>23</v>
      </c>
      <c r="K728" s="204"/>
      <c r="L728" s="204"/>
    </row>
    <row r="729">
      <c r="A729" s="205"/>
      <c r="D729" s="209" t="s">
        <v>58</v>
      </c>
      <c r="E729" s="209">
        <v>1.0</v>
      </c>
      <c r="F729" s="209"/>
      <c r="G729" s="209"/>
      <c r="H729" s="212" t="s">
        <v>59</v>
      </c>
      <c r="I729" s="213" t="s">
        <v>43</v>
      </c>
      <c r="K729" s="204"/>
      <c r="L729" s="204"/>
    </row>
    <row r="730">
      <c r="A730" s="205"/>
      <c r="D730" s="575" t="s">
        <v>94</v>
      </c>
      <c r="E730" s="251">
        <v>1.0</v>
      </c>
      <c r="F730" s="53"/>
      <c r="G730" s="60"/>
      <c r="H730" s="576" t="s">
        <v>95</v>
      </c>
      <c r="I730" s="250" t="s">
        <v>65</v>
      </c>
      <c r="K730" s="204"/>
      <c r="L730" s="204"/>
    </row>
    <row r="731">
      <c r="A731" s="205"/>
      <c r="D731" s="227" t="s">
        <v>156</v>
      </c>
      <c r="E731" s="227">
        <v>2.0</v>
      </c>
      <c r="F731" s="233"/>
      <c r="G731" s="233"/>
      <c r="H731" s="234" t="s">
        <v>157</v>
      </c>
      <c r="I731" s="228" t="s">
        <v>144</v>
      </c>
      <c r="K731" s="204"/>
      <c r="L731" s="204"/>
    </row>
    <row r="732">
      <c r="A732" s="205"/>
      <c r="D732" s="209" t="s">
        <v>117</v>
      </c>
      <c r="E732" s="209">
        <v>1.0</v>
      </c>
      <c r="F732" s="211"/>
      <c r="G732" s="211"/>
      <c r="H732" s="212" t="s">
        <v>322</v>
      </c>
      <c r="I732" s="213" t="s">
        <v>105</v>
      </c>
      <c r="K732" s="204"/>
      <c r="L732" s="204"/>
    </row>
    <row r="733">
      <c r="A733" s="205"/>
      <c r="D733" s="209" t="s">
        <v>126</v>
      </c>
      <c r="E733" s="209">
        <v>1.0</v>
      </c>
      <c r="F733" s="347"/>
      <c r="G733" s="348"/>
      <c r="H733" s="212" t="s">
        <v>127</v>
      </c>
      <c r="I733" s="213" t="s">
        <v>105</v>
      </c>
      <c r="K733" s="204"/>
      <c r="L733" s="204"/>
    </row>
    <row r="734">
      <c r="A734" s="217"/>
      <c r="B734" s="218"/>
      <c r="C734" s="218"/>
      <c r="D734" s="361" t="s">
        <v>137</v>
      </c>
      <c r="E734" s="361">
        <v>1.0</v>
      </c>
      <c r="F734" s="362"/>
      <c r="G734" s="363"/>
      <c r="H734" s="364" t="s">
        <v>138</v>
      </c>
      <c r="I734" s="365" t="s">
        <v>105</v>
      </c>
      <c r="K734" s="204"/>
      <c r="L734" s="204"/>
    </row>
    <row r="735">
      <c r="A735" s="195" t="s">
        <v>621</v>
      </c>
      <c r="B735" s="237" t="s">
        <v>622</v>
      </c>
      <c r="C735" s="197">
        <f>sum(E735:E739)</f>
        <v>8</v>
      </c>
      <c r="D735" s="280" t="s">
        <v>61</v>
      </c>
      <c r="E735" s="280">
        <v>1.0</v>
      </c>
      <c r="F735" s="281"/>
      <c r="G735" s="281"/>
      <c r="H735" s="282" t="s">
        <v>62</v>
      </c>
      <c r="I735" s="242" t="s">
        <v>43</v>
      </c>
      <c r="K735" s="204"/>
      <c r="L735" s="204"/>
    </row>
    <row r="736">
      <c r="A736" s="205"/>
      <c r="D736" s="308" t="s">
        <v>123</v>
      </c>
      <c r="E736" s="308">
        <v>1.0</v>
      </c>
      <c r="F736" s="80"/>
      <c r="G736" s="86"/>
      <c r="H736" s="309" t="s">
        <v>124</v>
      </c>
      <c r="I736" s="577" t="s">
        <v>105</v>
      </c>
      <c r="J736" s="4"/>
      <c r="K736" s="204"/>
      <c r="L736" s="204"/>
    </row>
    <row r="737">
      <c r="A737" s="205"/>
      <c r="D737" s="209" t="s">
        <v>147</v>
      </c>
      <c r="E737" s="209">
        <v>3.0</v>
      </c>
      <c r="F737" s="227"/>
      <c r="G737" s="227"/>
      <c r="H737" s="212" t="s">
        <v>145</v>
      </c>
      <c r="I737" s="228" t="s">
        <v>144</v>
      </c>
      <c r="K737" s="204"/>
      <c r="L737" s="204"/>
    </row>
    <row r="738">
      <c r="A738" s="205"/>
      <c r="D738" s="209" t="s">
        <v>162</v>
      </c>
      <c r="E738" s="209">
        <v>2.0</v>
      </c>
      <c r="F738" s="243"/>
      <c r="G738" s="211"/>
      <c r="H738" s="212" t="s">
        <v>164</v>
      </c>
      <c r="I738" s="213" t="s">
        <v>163</v>
      </c>
      <c r="K738" s="204"/>
      <c r="L738" s="204"/>
    </row>
    <row r="739">
      <c r="A739" s="217"/>
      <c r="B739" s="218"/>
      <c r="C739" s="218"/>
      <c r="D739" s="209" t="s">
        <v>185</v>
      </c>
      <c r="E739" s="325">
        <v>1.0</v>
      </c>
      <c r="F739" s="3"/>
      <c r="G739" s="326"/>
      <c r="H739" s="327" t="s">
        <v>187</v>
      </c>
      <c r="I739" s="235" t="s">
        <v>186</v>
      </c>
      <c r="K739" s="204"/>
      <c r="L739" s="204"/>
    </row>
    <row r="740">
      <c r="A740" s="359" t="s">
        <v>623</v>
      </c>
      <c r="B740" s="196" t="s">
        <v>624</v>
      </c>
      <c r="C740" s="197">
        <f>sum(E740:E742)</f>
        <v>8</v>
      </c>
      <c r="D740" s="238" t="s">
        <v>64</v>
      </c>
      <c r="E740" s="238">
        <v>3.0</v>
      </c>
      <c r="F740" s="239"/>
      <c r="G740" s="240"/>
      <c r="H740" s="241" t="s">
        <v>283</v>
      </c>
      <c r="I740" s="242" t="s">
        <v>65</v>
      </c>
      <c r="K740" s="204"/>
      <c r="L740" s="204"/>
    </row>
    <row r="741">
      <c r="A741" s="205"/>
      <c r="D741" s="271" t="s">
        <v>101</v>
      </c>
      <c r="E741" s="271">
        <v>2.0</v>
      </c>
      <c r="F741" s="272"/>
      <c r="G741" s="273"/>
      <c r="H741" s="274" t="s">
        <v>102</v>
      </c>
      <c r="I741" s="275" t="s">
        <v>98</v>
      </c>
      <c r="K741" s="204"/>
      <c r="L741" s="204"/>
    </row>
    <row r="742">
      <c r="A742" s="217"/>
      <c r="B742" s="218"/>
      <c r="C742" s="218"/>
      <c r="D742" s="401" t="s">
        <v>179</v>
      </c>
      <c r="E742" s="401">
        <v>3.0</v>
      </c>
      <c r="F742" s="402"/>
      <c r="G742" s="403"/>
      <c r="H742" s="404" t="s">
        <v>180</v>
      </c>
      <c r="I742" s="405" t="s">
        <v>176</v>
      </c>
      <c r="K742" s="204"/>
      <c r="L742" s="204"/>
    </row>
    <row r="743">
      <c r="A743" s="359" t="s">
        <v>625</v>
      </c>
      <c r="B743" s="237" t="s">
        <v>626</v>
      </c>
      <c r="C743" s="267">
        <f>sum(E743:E746)</f>
        <v>8</v>
      </c>
      <c r="D743" s="238" t="s">
        <v>290</v>
      </c>
      <c r="E743" s="238">
        <v>2.0</v>
      </c>
      <c r="F743" s="239"/>
      <c r="G743" s="240"/>
      <c r="H743" s="241" t="s">
        <v>283</v>
      </c>
      <c r="I743" s="242" t="s">
        <v>65</v>
      </c>
      <c r="K743" s="204"/>
      <c r="L743" s="204"/>
    </row>
    <row r="744">
      <c r="A744" s="205"/>
      <c r="D744" s="248" t="s">
        <v>79</v>
      </c>
      <c r="E744" s="248">
        <v>2.0</v>
      </c>
      <c r="F744" s="53"/>
      <c r="G744" s="55"/>
      <c r="H744" s="249" t="s">
        <v>80</v>
      </c>
      <c r="I744" s="250" t="s">
        <v>65</v>
      </c>
      <c r="K744" s="204"/>
      <c r="L744" s="204"/>
    </row>
    <row r="745">
      <c r="A745" s="205"/>
      <c r="D745" s="227" t="s">
        <v>97</v>
      </c>
      <c r="E745" s="227">
        <v>2.0</v>
      </c>
      <c r="F745" s="233"/>
      <c r="G745" s="233"/>
      <c r="H745" s="234" t="s">
        <v>99</v>
      </c>
      <c r="I745" s="213" t="s">
        <v>98</v>
      </c>
      <c r="K745" s="204"/>
      <c r="L745" s="204"/>
    </row>
    <row r="746">
      <c r="A746" s="217"/>
      <c r="B746" s="218"/>
      <c r="C746" s="218"/>
      <c r="D746" s="219" t="s">
        <v>162</v>
      </c>
      <c r="E746" s="219">
        <v>2.0</v>
      </c>
      <c r="F746" s="313"/>
      <c r="G746" s="264"/>
      <c r="H746" s="222" t="s">
        <v>164</v>
      </c>
      <c r="I746" s="223" t="s">
        <v>163</v>
      </c>
      <c r="K746" s="204"/>
      <c r="L746" s="204"/>
    </row>
    <row r="747">
      <c r="A747" s="578" t="s">
        <v>627</v>
      </c>
      <c r="B747" s="447" t="s">
        <v>554</v>
      </c>
      <c r="C747" s="579">
        <f>sum(E747:E752)</f>
        <v>8</v>
      </c>
      <c r="D747" s="580" t="s">
        <v>22</v>
      </c>
      <c r="E747" s="581">
        <v>1.0</v>
      </c>
      <c r="F747" s="582"/>
      <c r="G747" s="582"/>
      <c r="H747" s="583" t="s">
        <v>307</v>
      </c>
      <c r="I747" s="584" t="s">
        <v>23</v>
      </c>
      <c r="J747" s="233"/>
      <c r="K747" s="233"/>
      <c r="L747" s="233"/>
      <c r="M747" s="233"/>
      <c r="N747" s="233"/>
      <c r="O747" s="233"/>
      <c r="P747" s="233"/>
      <c r="Q747" s="233"/>
      <c r="R747" s="233"/>
      <c r="S747" s="233"/>
      <c r="T747" s="233"/>
      <c r="U747" s="233"/>
      <c r="V747" s="233"/>
      <c r="W747" s="233"/>
      <c r="X747" s="233"/>
      <c r="Y747" s="233"/>
      <c r="Z747" s="233"/>
      <c r="AA747" s="233"/>
      <c r="AB747" s="233"/>
      <c r="AC747" s="233"/>
    </row>
    <row r="748">
      <c r="A748" s="205"/>
      <c r="D748" s="304" t="s">
        <v>150</v>
      </c>
      <c r="E748" s="304">
        <v>2.0</v>
      </c>
      <c r="F748" s="305"/>
      <c r="G748" s="305"/>
      <c r="H748" s="306" t="s">
        <v>151</v>
      </c>
      <c r="I748" s="307" t="s">
        <v>144</v>
      </c>
      <c r="J748" s="233"/>
      <c r="K748" s="233"/>
      <c r="L748" s="233"/>
      <c r="M748" s="233"/>
      <c r="N748" s="233"/>
      <c r="O748" s="233"/>
      <c r="P748" s="233"/>
      <c r="Q748" s="233"/>
      <c r="R748" s="233"/>
      <c r="S748" s="233"/>
      <c r="T748" s="233"/>
      <c r="U748" s="233"/>
      <c r="V748" s="233"/>
      <c r="W748" s="233"/>
      <c r="X748" s="233"/>
      <c r="Y748" s="233"/>
      <c r="Z748" s="233"/>
      <c r="AA748" s="233"/>
      <c r="AB748" s="233"/>
      <c r="AC748" s="233"/>
    </row>
    <row r="749">
      <c r="A749" s="205"/>
      <c r="D749" s="585" t="s">
        <v>628</v>
      </c>
      <c r="E749" s="585">
        <v>2.0</v>
      </c>
      <c r="F749" s="454"/>
      <c r="G749" s="454"/>
      <c r="H749" s="586" t="s">
        <v>629</v>
      </c>
      <c r="I749" s="587" t="s">
        <v>163</v>
      </c>
      <c r="J749" s="233"/>
      <c r="K749" s="233"/>
      <c r="L749" s="233"/>
      <c r="M749" s="233"/>
      <c r="N749" s="233"/>
      <c r="O749" s="233"/>
      <c r="P749" s="233"/>
      <c r="Q749" s="233"/>
      <c r="R749" s="233"/>
      <c r="S749" s="233"/>
      <c r="T749" s="233"/>
      <c r="U749" s="233"/>
      <c r="V749" s="233"/>
      <c r="W749" s="233"/>
      <c r="X749" s="233"/>
      <c r="Y749" s="233"/>
      <c r="Z749" s="233"/>
      <c r="AA749" s="233"/>
      <c r="AB749" s="233"/>
      <c r="AC749" s="233"/>
    </row>
    <row r="750">
      <c r="A750" s="205"/>
      <c r="D750" s="588" t="s">
        <v>185</v>
      </c>
      <c r="E750" s="589">
        <v>1.0</v>
      </c>
      <c r="F750" s="590"/>
      <c r="G750" s="590"/>
      <c r="H750" s="591" t="s">
        <v>187</v>
      </c>
      <c r="I750" s="592" t="s">
        <v>186</v>
      </c>
      <c r="J750" s="233"/>
      <c r="K750" s="233"/>
      <c r="L750" s="233"/>
      <c r="M750" s="233"/>
      <c r="N750" s="233"/>
      <c r="O750" s="233"/>
      <c r="P750" s="233"/>
      <c r="Q750" s="233"/>
      <c r="R750" s="233"/>
      <c r="S750" s="233"/>
      <c r="T750" s="233"/>
      <c r="U750" s="233"/>
      <c r="V750" s="233"/>
      <c r="W750" s="233"/>
      <c r="X750" s="233"/>
      <c r="Y750" s="233"/>
      <c r="Z750" s="233"/>
      <c r="AA750" s="233"/>
      <c r="AB750" s="233"/>
      <c r="AC750" s="233"/>
    </row>
    <row r="751">
      <c r="A751" s="205"/>
      <c r="D751" s="593" t="s">
        <v>123</v>
      </c>
      <c r="E751" s="593">
        <v>1.0</v>
      </c>
      <c r="F751" s="594"/>
      <c r="G751" s="594"/>
      <c r="H751" s="595" t="s">
        <v>124</v>
      </c>
      <c r="I751" s="596" t="s">
        <v>105</v>
      </c>
      <c r="J751" s="233"/>
      <c r="K751" s="233"/>
      <c r="L751" s="233"/>
      <c r="M751" s="233"/>
      <c r="N751" s="233"/>
      <c r="O751" s="233"/>
      <c r="P751" s="233"/>
      <c r="Q751" s="233"/>
      <c r="R751" s="233"/>
      <c r="S751" s="233"/>
      <c r="T751" s="233"/>
      <c r="U751" s="233"/>
      <c r="V751" s="233"/>
      <c r="W751" s="233"/>
      <c r="X751" s="233"/>
      <c r="Y751" s="233"/>
      <c r="Z751" s="233"/>
      <c r="AA751" s="233"/>
      <c r="AB751" s="233"/>
      <c r="AC751" s="233"/>
    </row>
    <row r="752">
      <c r="A752" s="217"/>
      <c r="B752" s="218"/>
      <c r="C752" s="218"/>
      <c r="D752" s="597" t="s">
        <v>126</v>
      </c>
      <c r="E752" s="597">
        <v>1.0</v>
      </c>
      <c r="F752" s="363"/>
      <c r="G752" s="363"/>
      <c r="H752" s="364" t="s">
        <v>127</v>
      </c>
      <c r="I752" s="598" t="s">
        <v>105</v>
      </c>
      <c r="J752" s="233"/>
      <c r="K752" s="233"/>
      <c r="L752" s="233"/>
      <c r="M752" s="233"/>
      <c r="N752" s="233"/>
      <c r="O752" s="233"/>
      <c r="P752" s="233"/>
      <c r="Q752" s="233"/>
      <c r="R752" s="233"/>
      <c r="S752" s="233"/>
      <c r="T752" s="233"/>
      <c r="U752" s="233"/>
      <c r="V752" s="233"/>
      <c r="W752" s="233"/>
      <c r="X752" s="233"/>
      <c r="Y752" s="233"/>
      <c r="Z752" s="233"/>
      <c r="AA752" s="233"/>
      <c r="AB752" s="233"/>
      <c r="AC752" s="233"/>
    </row>
    <row r="753">
      <c r="A753" s="224" t="s">
        <v>630</v>
      </c>
      <c r="B753" s="225" t="s">
        <v>631</v>
      </c>
      <c r="C753" s="276">
        <f>sum(E753:E756)</f>
        <v>8</v>
      </c>
      <c r="D753" s="209" t="s">
        <v>330</v>
      </c>
      <c r="E753" s="209">
        <v>2.0</v>
      </c>
      <c r="F753" s="210"/>
      <c r="G753" s="211"/>
      <c r="H753" s="212" t="s">
        <v>331</v>
      </c>
      <c r="I753" s="213" t="s">
        <v>7</v>
      </c>
      <c r="K753" s="204"/>
      <c r="L753" s="204"/>
    </row>
    <row r="754">
      <c r="A754" s="205"/>
      <c r="D754" s="209" t="s">
        <v>55</v>
      </c>
      <c r="E754" s="209">
        <v>1.0</v>
      </c>
      <c r="F754" s="210"/>
      <c r="G754" s="211"/>
      <c r="H754" s="212" t="s">
        <v>56</v>
      </c>
      <c r="I754" s="213" t="s">
        <v>43</v>
      </c>
      <c r="K754" s="204"/>
      <c r="L754" s="204"/>
    </row>
    <row r="755" ht="18.75" customHeight="1">
      <c r="A755" s="205"/>
      <c r="D755" s="209" t="s">
        <v>162</v>
      </c>
      <c r="E755" s="209">
        <v>2.0</v>
      </c>
      <c r="F755" s="243"/>
      <c r="G755" s="211"/>
      <c r="H755" s="212" t="s">
        <v>164</v>
      </c>
      <c r="I755" s="213" t="s">
        <v>163</v>
      </c>
      <c r="K755" s="204"/>
      <c r="L755" s="204"/>
    </row>
    <row r="756">
      <c r="A756" s="217"/>
      <c r="B756" s="218"/>
      <c r="C756" s="218"/>
      <c r="D756" s="219" t="s">
        <v>405</v>
      </c>
      <c r="E756" s="219">
        <v>3.0</v>
      </c>
      <c r="F756" s="263"/>
      <c r="G756" s="264"/>
      <c r="H756" s="222" t="s">
        <v>31</v>
      </c>
      <c r="I756" s="430" t="s">
        <v>30</v>
      </c>
      <c r="K756" s="204"/>
      <c r="L756" s="204"/>
    </row>
    <row r="757">
      <c r="A757" s="311" t="s">
        <v>632</v>
      </c>
      <c r="B757" s="312" t="s">
        <v>633</v>
      </c>
      <c r="C757" s="276">
        <f>sum(E757:E759)</f>
        <v>8</v>
      </c>
      <c r="D757" s="209" t="s">
        <v>162</v>
      </c>
      <c r="E757" s="209">
        <v>2.0</v>
      </c>
      <c r="F757" s="243"/>
      <c r="G757" s="211"/>
      <c r="H757" s="212" t="s">
        <v>164</v>
      </c>
      <c r="I757" s="213" t="s">
        <v>163</v>
      </c>
      <c r="K757" s="204"/>
      <c r="L757" s="204"/>
    </row>
    <row r="758">
      <c r="A758" s="205"/>
      <c r="D758" s="209" t="s">
        <v>330</v>
      </c>
      <c r="E758" s="209">
        <v>2.0</v>
      </c>
      <c r="F758" s="210"/>
      <c r="G758" s="211"/>
      <c r="H758" s="212" t="s">
        <v>331</v>
      </c>
      <c r="I758" s="213" t="s">
        <v>7</v>
      </c>
      <c r="K758" s="204"/>
      <c r="L758" s="204"/>
    </row>
    <row r="759">
      <c r="A759" s="217"/>
      <c r="B759" s="218"/>
      <c r="C759" s="218"/>
      <c r="D759" s="219" t="s">
        <v>175</v>
      </c>
      <c r="E759" s="219">
        <v>4.0</v>
      </c>
      <c r="F759" s="264"/>
      <c r="G759" s="264"/>
      <c r="H759" s="222" t="s">
        <v>289</v>
      </c>
      <c r="I759" s="213" t="s">
        <v>176</v>
      </c>
      <c r="K759" s="204"/>
      <c r="L759" s="204"/>
    </row>
    <row r="760">
      <c r="A760" s="236" t="s">
        <v>634</v>
      </c>
      <c r="B760" s="237" t="s">
        <v>635</v>
      </c>
      <c r="C760" s="267">
        <f>sum(E760:E765)</f>
        <v>8</v>
      </c>
      <c r="D760" s="418" t="s">
        <v>39</v>
      </c>
      <c r="E760" s="418">
        <v>1.0</v>
      </c>
      <c r="F760" s="419"/>
      <c r="G760" s="420"/>
      <c r="H760" s="421" t="s">
        <v>40</v>
      </c>
      <c r="I760" s="374" t="s">
        <v>30</v>
      </c>
      <c r="K760" s="204"/>
      <c r="L760" s="204"/>
    </row>
    <row r="761">
      <c r="A761" s="205"/>
      <c r="D761" s="209" t="s">
        <v>55</v>
      </c>
      <c r="E761" s="209">
        <v>1.0</v>
      </c>
      <c r="F761" s="210"/>
      <c r="G761" s="211"/>
      <c r="H761" s="212" t="s">
        <v>56</v>
      </c>
      <c r="I761" s="213" t="s">
        <v>43</v>
      </c>
      <c r="K761" s="204"/>
      <c r="L761" s="204"/>
    </row>
    <row r="762">
      <c r="A762" s="205"/>
      <c r="D762" s="209" t="s">
        <v>64</v>
      </c>
      <c r="E762" s="209">
        <v>3.0</v>
      </c>
      <c r="F762" s="210"/>
      <c r="G762" s="211"/>
      <c r="H762" s="212" t="s">
        <v>283</v>
      </c>
      <c r="I762" s="213" t="s">
        <v>65</v>
      </c>
      <c r="K762" s="204"/>
      <c r="L762" s="204"/>
    </row>
    <row r="763">
      <c r="A763" s="205"/>
      <c r="I763" s="279"/>
      <c r="K763" s="204"/>
      <c r="L763" s="204"/>
    </row>
    <row r="764">
      <c r="A764" s="205"/>
      <c r="D764" s="209" t="s">
        <v>166</v>
      </c>
      <c r="E764" s="209">
        <v>2.0</v>
      </c>
      <c r="F764" s="227"/>
      <c r="G764" s="227"/>
      <c r="H764" s="212" t="s">
        <v>167</v>
      </c>
      <c r="I764" s="213" t="s">
        <v>163</v>
      </c>
      <c r="K764" s="204"/>
      <c r="L764" s="204"/>
    </row>
    <row r="765">
      <c r="A765" s="217"/>
      <c r="B765" s="218"/>
      <c r="C765" s="218"/>
      <c r="D765" s="409" t="s">
        <v>111</v>
      </c>
      <c r="E765" s="409">
        <v>1.0</v>
      </c>
      <c r="F765" s="80"/>
      <c r="G765" s="78"/>
      <c r="H765" s="410" t="s">
        <v>112</v>
      </c>
      <c r="I765" s="411" t="s">
        <v>105</v>
      </c>
      <c r="K765" s="204"/>
      <c r="L765" s="204"/>
    </row>
    <row r="766">
      <c r="A766" s="359" t="s">
        <v>636</v>
      </c>
      <c r="B766" s="196" t="s">
        <v>608</v>
      </c>
      <c r="C766" s="267">
        <f>sum(E766:E770)</f>
        <v>8</v>
      </c>
      <c r="D766" s="238" t="s">
        <v>162</v>
      </c>
      <c r="E766" s="238">
        <v>2.0</v>
      </c>
      <c r="F766" s="321"/>
      <c r="G766" s="255"/>
      <c r="H766" s="241" t="s">
        <v>164</v>
      </c>
      <c r="I766" s="242" t="s">
        <v>163</v>
      </c>
      <c r="K766" s="204"/>
      <c r="L766" s="204"/>
    </row>
    <row r="767">
      <c r="A767" s="205"/>
      <c r="D767" s="209" t="s">
        <v>55</v>
      </c>
      <c r="E767" s="209">
        <v>1.0</v>
      </c>
      <c r="F767" s="210"/>
      <c r="G767" s="211"/>
      <c r="H767" s="212" t="s">
        <v>56</v>
      </c>
      <c r="I767" s="213" t="s">
        <v>43</v>
      </c>
      <c r="K767" s="204"/>
      <c r="L767" s="204"/>
    </row>
    <row r="768">
      <c r="A768" s="205"/>
      <c r="D768" s="209" t="s">
        <v>22</v>
      </c>
      <c r="E768" s="209">
        <v>2.0</v>
      </c>
      <c r="F768" s="243"/>
      <c r="G768" s="211"/>
      <c r="H768" s="212" t="s">
        <v>307</v>
      </c>
      <c r="I768" s="213" t="s">
        <v>23</v>
      </c>
      <c r="K768" s="204"/>
      <c r="L768" s="204"/>
    </row>
    <row r="769">
      <c r="A769" s="205"/>
      <c r="D769" s="209" t="s">
        <v>284</v>
      </c>
      <c r="E769" s="209">
        <v>1.0</v>
      </c>
      <c r="F769" s="215"/>
      <c r="G769" s="216"/>
      <c r="H769" s="212" t="s">
        <v>115</v>
      </c>
      <c r="I769" s="213" t="s">
        <v>105</v>
      </c>
      <c r="K769" s="204"/>
      <c r="L769" s="204"/>
    </row>
    <row r="770">
      <c r="A770" s="217"/>
      <c r="B770" s="218"/>
      <c r="C770" s="218"/>
      <c r="D770" s="287" t="s">
        <v>150</v>
      </c>
      <c r="E770" s="287">
        <v>2.0</v>
      </c>
      <c r="F770" s="288"/>
      <c r="G770" s="288"/>
      <c r="H770" s="291" t="s">
        <v>151</v>
      </c>
      <c r="I770" s="292" t="s">
        <v>144</v>
      </c>
      <c r="K770" s="204"/>
      <c r="L770" s="204"/>
    </row>
    <row r="771">
      <c r="A771" s="224" t="s">
        <v>637</v>
      </c>
      <c r="B771" s="225" t="s">
        <v>608</v>
      </c>
      <c r="C771" s="226">
        <f>sum(E771:E774)</f>
        <v>8</v>
      </c>
      <c r="D771" s="308" t="s">
        <v>137</v>
      </c>
      <c r="E771" s="308">
        <v>1.0</v>
      </c>
      <c r="F771" s="80"/>
      <c r="G771" s="86"/>
      <c r="H771" s="309" t="s">
        <v>138</v>
      </c>
      <c r="I771" s="303" t="s">
        <v>105</v>
      </c>
      <c r="K771" s="204"/>
      <c r="L771" s="204"/>
    </row>
    <row r="772">
      <c r="A772" s="205"/>
      <c r="D772" s="209" t="s">
        <v>162</v>
      </c>
      <c r="E772" s="209">
        <v>2.0</v>
      </c>
      <c r="F772" s="243"/>
      <c r="G772" s="211"/>
      <c r="H772" s="212" t="s">
        <v>164</v>
      </c>
      <c r="I772" s="213" t="s">
        <v>163</v>
      </c>
      <c r="K772" s="204"/>
      <c r="L772" s="204"/>
    </row>
    <row r="773">
      <c r="A773" s="205"/>
      <c r="D773" s="209" t="s">
        <v>64</v>
      </c>
      <c r="E773" s="209">
        <v>3.0</v>
      </c>
      <c r="F773" s="215"/>
      <c r="G773" s="216"/>
      <c r="H773" s="212" t="s">
        <v>283</v>
      </c>
      <c r="I773" s="213" t="s">
        <v>65</v>
      </c>
      <c r="K773" s="204"/>
      <c r="L773" s="204"/>
    </row>
    <row r="774">
      <c r="A774" s="217"/>
      <c r="B774" s="218"/>
      <c r="C774" s="218"/>
      <c r="D774" s="599" t="s">
        <v>6</v>
      </c>
      <c r="E774" s="599">
        <v>2.0</v>
      </c>
      <c r="F774" s="399"/>
      <c r="G774" s="600"/>
      <c r="H774" s="601" t="s">
        <v>8</v>
      </c>
      <c r="I774" s="602" t="s">
        <v>7</v>
      </c>
      <c r="K774" s="204"/>
      <c r="L774" s="204"/>
    </row>
    <row r="775">
      <c r="A775" s="195" t="s">
        <v>638</v>
      </c>
      <c r="B775" s="196" t="s">
        <v>639</v>
      </c>
      <c r="C775" s="267">
        <f>sum(E775:E779)</f>
        <v>8</v>
      </c>
      <c r="D775" s="280" t="s">
        <v>120</v>
      </c>
      <c r="E775" s="280">
        <v>1.0</v>
      </c>
      <c r="F775" s="495"/>
      <c r="G775" s="281"/>
      <c r="H775" s="282" t="s">
        <v>121</v>
      </c>
      <c r="I775" s="526" t="s">
        <v>105</v>
      </c>
      <c r="K775" s="204"/>
      <c r="L775" s="204"/>
    </row>
    <row r="776">
      <c r="A776" s="205"/>
      <c r="D776" s="209" t="s">
        <v>22</v>
      </c>
      <c r="E776" s="209">
        <v>2.0</v>
      </c>
      <c r="F776" s="243"/>
      <c r="G776" s="211"/>
      <c r="H776" s="212" t="s">
        <v>307</v>
      </c>
      <c r="I776" s="213" t="s">
        <v>23</v>
      </c>
      <c r="K776" s="204"/>
      <c r="L776" s="204"/>
    </row>
    <row r="777">
      <c r="A777" s="205"/>
      <c r="D777" s="308" t="s">
        <v>123</v>
      </c>
      <c r="E777" s="308">
        <v>1.0</v>
      </c>
      <c r="F777" s="80"/>
      <c r="G777" s="86"/>
      <c r="H777" s="309" t="s">
        <v>124</v>
      </c>
      <c r="I777" s="213" t="s">
        <v>105</v>
      </c>
      <c r="K777" s="204"/>
      <c r="L777" s="204"/>
    </row>
    <row r="778">
      <c r="A778" s="205"/>
      <c r="D778" s="209" t="s">
        <v>162</v>
      </c>
      <c r="E778" s="209">
        <v>2.0</v>
      </c>
      <c r="F778" s="243"/>
      <c r="G778" s="211"/>
      <c r="H778" s="212" t="s">
        <v>164</v>
      </c>
      <c r="I778" s="213" t="s">
        <v>163</v>
      </c>
      <c r="K778" s="204"/>
      <c r="L778" s="204"/>
    </row>
    <row r="779">
      <c r="A779" s="217"/>
      <c r="B779" s="218"/>
      <c r="C779" s="218"/>
      <c r="D779" s="536" t="s">
        <v>70</v>
      </c>
      <c r="E779" s="536">
        <v>2.0</v>
      </c>
      <c r="F779" s="537"/>
      <c r="G779" s="538"/>
      <c r="H779" s="539" t="s">
        <v>71</v>
      </c>
      <c r="I779" s="540" t="s">
        <v>65</v>
      </c>
      <c r="K779" s="204"/>
      <c r="L779" s="204"/>
    </row>
    <row r="780">
      <c r="A780" s="236" t="s">
        <v>640</v>
      </c>
      <c r="B780" s="237" t="s">
        <v>641</v>
      </c>
      <c r="C780" s="267">
        <f>sum(E780:E784)</f>
        <v>8</v>
      </c>
      <c r="D780" s="280" t="s">
        <v>88</v>
      </c>
      <c r="E780" s="280">
        <v>1.0</v>
      </c>
      <c r="F780" s="495"/>
      <c r="G780" s="281"/>
      <c r="H780" s="282" t="s">
        <v>89</v>
      </c>
      <c r="I780" s="526" t="s">
        <v>65</v>
      </c>
      <c r="K780" s="204"/>
      <c r="L780" s="204"/>
    </row>
    <row r="781">
      <c r="A781" s="205"/>
      <c r="D781" s="227" t="s">
        <v>97</v>
      </c>
      <c r="E781" s="227">
        <v>2.0</v>
      </c>
      <c r="F781" s="233"/>
      <c r="G781" s="233"/>
      <c r="H781" s="234" t="s">
        <v>99</v>
      </c>
      <c r="I781" s="213" t="s">
        <v>98</v>
      </c>
      <c r="K781" s="204"/>
      <c r="L781" s="204"/>
    </row>
    <row r="782">
      <c r="A782" s="205"/>
      <c r="D782" s="209" t="s">
        <v>159</v>
      </c>
      <c r="E782" s="209">
        <v>1.0</v>
      </c>
      <c r="F782" s="227"/>
      <c r="G782" s="227"/>
      <c r="H782" s="212" t="s">
        <v>160</v>
      </c>
      <c r="I782" s="228" t="s">
        <v>144</v>
      </c>
      <c r="K782" s="204"/>
      <c r="L782" s="204"/>
    </row>
    <row r="783">
      <c r="A783" s="205"/>
      <c r="D783" s="209" t="s">
        <v>162</v>
      </c>
      <c r="E783" s="209">
        <v>2.0</v>
      </c>
      <c r="F783" s="243"/>
      <c r="G783" s="211"/>
      <c r="H783" s="212" t="s">
        <v>164</v>
      </c>
      <c r="I783" s="213" t="s">
        <v>163</v>
      </c>
      <c r="K783" s="204"/>
      <c r="L783" s="204"/>
    </row>
    <row r="784">
      <c r="A784" s="217"/>
      <c r="B784" s="218"/>
      <c r="C784" s="218"/>
      <c r="D784" s="603" t="s">
        <v>108</v>
      </c>
      <c r="E784" s="603">
        <v>2.0</v>
      </c>
      <c r="F784" s="604"/>
      <c r="G784" s="605"/>
      <c r="H784" s="606" t="s">
        <v>109</v>
      </c>
      <c r="I784" s="519" t="s">
        <v>105</v>
      </c>
      <c r="K784" s="204"/>
      <c r="L784" s="204"/>
    </row>
    <row r="785">
      <c r="A785" s="236" t="s">
        <v>642</v>
      </c>
      <c r="B785" s="237" t="s">
        <v>407</v>
      </c>
      <c r="C785" s="267">
        <f>sum(E785:E787)</f>
        <v>8</v>
      </c>
      <c r="D785" s="238" t="s">
        <v>405</v>
      </c>
      <c r="E785" s="238">
        <v>3.0</v>
      </c>
      <c r="F785" s="278"/>
      <c r="G785" s="255"/>
      <c r="H785" s="241" t="s">
        <v>31</v>
      </c>
      <c r="I785" s="374" t="s">
        <v>30</v>
      </c>
      <c r="K785" s="204"/>
      <c r="L785" s="204"/>
    </row>
    <row r="786">
      <c r="A786" s="205"/>
      <c r="D786" s="209" t="s">
        <v>175</v>
      </c>
      <c r="E786" s="209">
        <v>4.0</v>
      </c>
      <c r="F786" s="211"/>
      <c r="G786" s="211"/>
      <c r="H786" s="212" t="s">
        <v>289</v>
      </c>
      <c r="I786" s="213" t="s">
        <v>176</v>
      </c>
      <c r="K786" s="204"/>
      <c r="L786" s="204"/>
    </row>
    <row r="787">
      <c r="A787" s="217"/>
      <c r="B787" s="218"/>
      <c r="C787" s="218"/>
      <c r="D787" s="219" t="s">
        <v>117</v>
      </c>
      <c r="E787" s="219">
        <v>1.0</v>
      </c>
      <c r="F787" s="264"/>
      <c r="G787" s="264"/>
      <c r="H787" s="222" t="s">
        <v>322</v>
      </c>
      <c r="I787" s="223" t="s">
        <v>105</v>
      </c>
      <c r="K787" s="204"/>
      <c r="L787" s="204"/>
    </row>
    <row r="788">
      <c r="A788" s="236" t="s">
        <v>643</v>
      </c>
      <c r="B788" s="237" t="s">
        <v>644</v>
      </c>
      <c r="C788" s="267">
        <f>sum(E788:E791)</f>
        <v>8</v>
      </c>
      <c r="D788" s="238" t="s">
        <v>175</v>
      </c>
      <c r="E788" s="238">
        <v>3.0</v>
      </c>
      <c r="F788" s="255"/>
      <c r="G788" s="255"/>
      <c r="H788" s="241" t="s">
        <v>289</v>
      </c>
      <c r="I788" s="242" t="s">
        <v>176</v>
      </c>
      <c r="K788" s="204"/>
      <c r="L788" s="204"/>
    </row>
    <row r="789">
      <c r="A789" s="205"/>
      <c r="D789" s="209" t="s">
        <v>162</v>
      </c>
      <c r="E789" s="209">
        <v>2.0</v>
      </c>
      <c r="F789" s="243"/>
      <c r="G789" s="211"/>
      <c r="H789" s="212" t="s">
        <v>164</v>
      </c>
      <c r="I789" s="213" t="s">
        <v>163</v>
      </c>
      <c r="K789" s="204"/>
      <c r="L789" s="204"/>
    </row>
    <row r="790">
      <c r="A790" s="205"/>
      <c r="D790" s="227" t="s">
        <v>61</v>
      </c>
      <c r="E790" s="227">
        <v>1.0</v>
      </c>
      <c r="F790" s="233"/>
      <c r="G790" s="233"/>
      <c r="H790" s="234" t="s">
        <v>62</v>
      </c>
      <c r="I790" s="213" t="s">
        <v>43</v>
      </c>
      <c r="K790" s="204"/>
      <c r="L790" s="204"/>
    </row>
    <row r="791">
      <c r="A791" s="217"/>
      <c r="B791" s="218"/>
      <c r="C791" s="218"/>
      <c r="D791" s="219" t="s">
        <v>290</v>
      </c>
      <c r="E791" s="219">
        <v>2.0</v>
      </c>
      <c r="F791" s="220"/>
      <c r="G791" s="221"/>
      <c r="H791" s="222" t="s">
        <v>283</v>
      </c>
      <c r="I791" s="223" t="s">
        <v>65</v>
      </c>
      <c r="K791" s="204"/>
      <c r="L791" s="204"/>
    </row>
    <row r="792">
      <c r="A792" s="236" t="s">
        <v>645</v>
      </c>
      <c r="B792" s="237" t="s">
        <v>646</v>
      </c>
      <c r="C792" s="267">
        <f>sum(E792:E796)</f>
        <v>8</v>
      </c>
      <c r="D792" s="527" t="s">
        <v>85</v>
      </c>
      <c r="E792" s="527">
        <v>1.0</v>
      </c>
      <c r="F792" s="48"/>
      <c r="G792" s="50"/>
      <c r="H792" s="488" t="s">
        <v>86</v>
      </c>
      <c r="I792" s="270" t="s">
        <v>65</v>
      </c>
      <c r="K792" s="204"/>
      <c r="L792" s="204"/>
    </row>
    <row r="793">
      <c r="A793" s="205"/>
      <c r="D793" s="607" t="s">
        <v>42</v>
      </c>
      <c r="E793" s="607">
        <v>2.0</v>
      </c>
      <c r="F793" s="608"/>
      <c r="G793" s="607"/>
      <c r="H793" s="609" t="s">
        <v>44</v>
      </c>
      <c r="I793" s="332" t="s">
        <v>43</v>
      </c>
      <c r="K793" s="204"/>
      <c r="L793" s="204"/>
    </row>
    <row r="794">
      <c r="A794" s="205"/>
      <c r="D794" s="209" t="s">
        <v>153</v>
      </c>
      <c r="E794" s="209">
        <v>2.0</v>
      </c>
      <c r="F794" s="243"/>
      <c r="G794" s="211"/>
      <c r="H794" s="212" t="s">
        <v>154</v>
      </c>
      <c r="I794" s="228" t="s">
        <v>144</v>
      </c>
      <c r="K794" s="204"/>
      <c r="L794" s="204"/>
    </row>
    <row r="795">
      <c r="A795" s="205"/>
      <c r="D795" s="528" t="s">
        <v>169</v>
      </c>
      <c r="E795" s="528">
        <v>1.0</v>
      </c>
      <c r="F795" s="115"/>
      <c r="G795" s="116"/>
      <c r="H795" s="529" t="s">
        <v>170</v>
      </c>
      <c r="I795" s="530" t="s">
        <v>163</v>
      </c>
      <c r="K795" s="204"/>
      <c r="L795" s="204"/>
    </row>
    <row r="796">
      <c r="A796" s="217"/>
      <c r="B796" s="218"/>
      <c r="C796" s="218"/>
      <c r="D796" s="287" t="s">
        <v>150</v>
      </c>
      <c r="E796" s="287">
        <v>2.0</v>
      </c>
      <c r="F796" s="288"/>
      <c r="G796" s="288"/>
      <c r="H796" s="291" t="s">
        <v>151</v>
      </c>
      <c r="I796" s="292" t="s">
        <v>144</v>
      </c>
      <c r="K796" s="204"/>
      <c r="L796" s="204"/>
    </row>
    <row r="797">
      <c r="A797" s="236" t="s">
        <v>647</v>
      </c>
      <c r="B797" s="237" t="s">
        <v>431</v>
      </c>
      <c r="C797" s="267">
        <f>sum(E797:E802)</f>
        <v>8</v>
      </c>
      <c r="D797" s="238" t="s">
        <v>22</v>
      </c>
      <c r="E797" s="238">
        <v>2.0</v>
      </c>
      <c r="F797" s="321"/>
      <c r="G797" s="255"/>
      <c r="H797" s="241" t="s">
        <v>307</v>
      </c>
      <c r="I797" s="242" t="s">
        <v>23</v>
      </c>
      <c r="K797" s="204"/>
      <c r="L797" s="204"/>
    </row>
    <row r="798">
      <c r="A798" s="205"/>
      <c r="D798" s="283" t="s">
        <v>33</v>
      </c>
      <c r="E798" s="283">
        <v>1.0</v>
      </c>
      <c r="F798" s="30"/>
      <c r="G798" s="32"/>
      <c r="H798" s="284" t="s">
        <v>34</v>
      </c>
      <c r="I798" s="610" t="s">
        <v>30</v>
      </c>
      <c r="K798" s="204"/>
      <c r="L798" s="204"/>
    </row>
    <row r="799">
      <c r="A799" s="205"/>
      <c r="D799" s="227" t="s">
        <v>97</v>
      </c>
      <c r="E799" s="227">
        <v>2.0</v>
      </c>
      <c r="F799" s="233"/>
      <c r="G799" s="233"/>
      <c r="H799" s="234" t="s">
        <v>99</v>
      </c>
      <c r="I799" s="213" t="s">
        <v>98</v>
      </c>
      <c r="K799" s="204"/>
      <c r="L799" s="204"/>
    </row>
    <row r="800">
      <c r="A800" s="205"/>
      <c r="D800" s="209" t="s">
        <v>120</v>
      </c>
      <c r="E800" s="209">
        <v>1.0</v>
      </c>
      <c r="F800" s="310"/>
      <c r="G800" s="310"/>
      <c r="H800" s="212" t="s">
        <v>327</v>
      </c>
      <c r="I800" s="213" t="s">
        <v>105</v>
      </c>
      <c r="K800" s="204"/>
      <c r="L800" s="204"/>
    </row>
    <row r="801">
      <c r="A801" s="205"/>
      <c r="D801" s="209" t="s">
        <v>134</v>
      </c>
      <c r="E801" s="209">
        <v>1.0</v>
      </c>
      <c r="F801" s="210"/>
      <c r="G801" s="211"/>
      <c r="H801" s="212" t="s">
        <v>135</v>
      </c>
      <c r="I801" s="213" t="s">
        <v>105</v>
      </c>
      <c r="K801" s="204"/>
      <c r="L801" s="204"/>
    </row>
    <row r="802">
      <c r="A802" s="217"/>
      <c r="B802" s="218"/>
      <c r="C802" s="218"/>
      <c r="D802" s="391" t="s">
        <v>189</v>
      </c>
      <c r="E802" s="391">
        <v>1.0</v>
      </c>
      <c r="F802" s="399"/>
      <c r="G802" s="400"/>
      <c r="H802" s="394" t="s">
        <v>190</v>
      </c>
      <c r="I802" s="395" t="s">
        <v>186</v>
      </c>
      <c r="K802" s="204"/>
      <c r="L802" s="204"/>
    </row>
    <row r="803">
      <c r="A803" s="236" t="s">
        <v>648</v>
      </c>
      <c r="B803" s="237" t="s">
        <v>649</v>
      </c>
      <c r="C803" s="267">
        <f>sum(E803:E809)</f>
        <v>8</v>
      </c>
      <c r="D803" s="238" t="s">
        <v>22</v>
      </c>
      <c r="E803" s="238">
        <v>2.0</v>
      </c>
      <c r="F803" s="317"/>
      <c r="G803" s="318"/>
      <c r="H803" s="241" t="s">
        <v>307</v>
      </c>
      <c r="I803" s="242" t="s">
        <v>23</v>
      </c>
      <c r="K803" s="204"/>
      <c r="L803" s="204"/>
    </row>
    <row r="804">
      <c r="A804" s="205"/>
      <c r="D804" s="380" t="s">
        <v>26</v>
      </c>
      <c r="E804" s="380">
        <v>1.0</v>
      </c>
      <c r="F804" s="381"/>
      <c r="G804" s="382"/>
      <c r="H804" s="383" t="s">
        <v>27</v>
      </c>
      <c r="I804" s="384" t="s">
        <v>23</v>
      </c>
      <c r="K804" s="204"/>
      <c r="L804" s="204"/>
    </row>
    <row r="805">
      <c r="A805" s="205"/>
      <c r="D805" s="209" t="s">
        <v>162</v>
      </c>
      <c r="E805" s="209">
        <v>2.0</v>
      </c>
      <c r="F805" s="243"/>
      <c r="G805" s="210"/>
      <c r="H805" s="212" t="s">
        <v>164</v>
      </c>
      <c r="I805" s="213" t="s">
        <v>163</v>
      </c>
      <c r="K805" s="204"/>
      <c r="L805" s="204"/>
    </row>
    <row r="806">
      <c r="A806" s="205"/>
      <c r="D806" s="209" t="s">
        <v>140</v>
      </c>
      <c r="E806" s="209">
        <v>1.0</v>
      </c>
      <c r="F806" s="310"/>
      <c r="G806" s="310"/>
      <c r="H806" s="212" t="s">
        <v>141</v>
      </c>
      <c r="I806" s="213" t="s">
        <v>105</v>
      </c>
      <c r="K806" s="204"/>
      <c r="L806" s="204"/>
    </row>
    <row r="807">
      <c r="A807" s="205"/>
      <c r="D807" s="209" t="s">
        <v>117</v>
      </c>
      <c r="E807" s="209">
        <v>1.0</v>
      </c>
      <c r="F807" s="211"/>
      <c r="G807" s="211"/>
      <c r="H807" s="212" t="s">
        <v>322</v>
      </c>
      <c r="I807" s="213" t="s">
        <v>105</v>
      </c>
      <c r="K807" s="204"/>
      <c r="L807" s="204"/>
    </row>
    <row r="808">
      <c r="A808" s="205"/>
      <c r="D808" s="209" t="s">
        <v>120</v>
      </c>
      <c r="E808" s="209">
        <v>1.0</v>
      </c>
      <c r="F808" s="310"/>
      <c r="G808" s="310"/>
      <c r="H808" s="212" t="s">
        <v>327</v>
      </c>
      <c r="I808" s="213" t="s">
        <v>105</v>
      </c>
      <c r="K808" s="204"/>
      <c r="L808" s="204"/>
    </row>
    <row r="809">
      <c r="A809" s="217"/>
      <c r="B809" s="218"/>
      <c r="C809" s="218"/>
      <c r="D809" s="611" t="s">
        <v>94</v>
      </c>
      <c r="E809" s="612">
        <v>0.0</v>
      </c>
      <c r="F809" s="613"/>
      <c r="G809" s="613"/>
      <c r="H809" s="614" t="s">
        <v>95</v>
      </c>
      <c r="I809" s="615" t="s">
        <v>65</v>
      </c>
      <c r="K809" s="204"/>
      <c r="L809" s="204"/>
    </row>
    <row r="810">
      <c r="A810" s="236" t="s">
        <v>650</v>
      </c>
      <c r="B810" s="237" t="s">
        <v>474</v>
      </c>
      <c r="C810" s="267">
        <f>sum(E810:E813)</f>
        <v>8</v>
      </c>
      <c r="D810" s="238" t="s">
        <v>290</v>
      </c>
      <c r="E810" s="238">
        <v>2.0</v>
      </c>
      <c r="F810" s="239"/>
      <c r="G810" s="240"/>
      <c r="H810" s="241" t="s">
        <v>283</v>
      </c>
      <c r="I810" s="242" t="s">
        <v>65</v>
      </c>
      <c r="K810" s="204"/>
      <c r="L810" s="204"/>
    </row>
    <row r="811">
      <c r="A811" s="205"/>
      <c r="D811" s="209" t="s">
        <v>175</v>
      </c>
      <c r="E811" s="209">
        <v>3.0</v>
      </c>
      <c r="F811" s="211"/>
      <c r="G811" s="211"/>
      <c r="H811" s="212" t="s">
        <v>289</v>
      </c>
      <c r="I811" s="213" t="s">
        <v>176</v>
      </c>
      <c r="K811" s="204"/>
      <c r="L811" s="204"/>
    </row>
    <row r="812">
      <c r="A812" s="205"/>
      <c r="D812" s="227" t="s">
        <v>156</v>
      </c>
      <c r="E812" s="227">
        <v>2.0</v>
      </c>
      <c r="F812" s="233"/>
      <c r="G812" s="233"/>
      <c r="H812" s="234" t="s">
        <v>157</v>
      </c>
      <c r="I812" s="228" t="s">
        <v>144</v>
      </c>
      <c r="K812" s="204"/>
      <c r="L812" s="204"/>
    </row>
    <row r="813">
      <c r="A813" s="217"/>
      <c r="B813" s="218"/>
      <c r="C813" s="218"/>
      <c r="D813" s="209" t="s">
        <v>284</v>
      </c>
      <c r="E813" s="209">
        <v>1.0</v>
      </c>
      <c r="F813" s="215"/>
      <c r="G813" s="216"/>
      <c r="H813" s="212" t="s">
        <v>115</v>
      </c>
      <c r="I813" s="213" t="s">
        <v>105</v>
      </c>
      <c r="K813" s="204"/>
      <c r="L813" s="204"/>
    </row>
    <row r="814">
      <c r="A814" s="236" t="s">
        <v>651</v>
      </c>
      <c r="B814" s="237" t="s">
        <v>652</v>
      </c>
      <c r="C814" s="267">
        <f>sum(E814:E817)</f>
        <v>8</v>
      </c>
      <c r="D814" s="238" t="s">
        <v>162</v>
      </c>
      <c r="E814" s="238">
        <v>2.0</v>
      </c>
      <c r="F814" s="321"/>
      <c r="G814" s="255"/>
      <c r="H814" s="241" t="s">
        <v>164</v>
      </c>
      <c r="I814" s="242" t="s">
        <v>163</v>
      </c>
    </row>
    <row r="815">
      <c r="A815" s="205"/>
      <c r="D815" s="209" t="s">
        <v>284</v>
      </c>
      <c r="E815" s="209">
        <v>1.0</v>
      </c>
      <c r="F815" s="616"/>
      <c r="G815" s="617"/>
      <c r="H815" s="360" t="s">
        <v>115</v>
      </c>
      <c r="I815" s="213" t="s">
        <v>105</v>
      </c>
    </row>
    <row r="816">
      <c r="A816" s="205"/>
      <c r="D816" s="227" t="s">
        <v>97</v>
      </c>
      <c r="E816" s="227">
        <v>2.0</v>
      </c>
      <c r="F816" s="233"/>
      <c r="G816" s="233"/>
      <c r="H816" s="234" t="s">
        <v>99</v>
      </c>
      <c r="I816" s="213" t="s">
        <v>98</v>
      </c>
    </row>
    <row r="817">
      <c r="A817" s="217"/>
      <c r="B817" s="218"/>
      <c r="C817" s="218"/>
      <c r="D817" s="219" t="s">
        <v>175</v>
      </c>
      <c r="E817" s="219">
        <v>3.0</v>
      </c>
      <c r="F817" s="264"/>
      <c r="G817" s="264"/>
      <c r="H817" s="222" t="s">
        <v>289</v>
      </c>
      <c r="I817" s="223" t="s">
        <v>176</v>
      </c>
    </row>
    <row r="818">
      <c r="A818" s="311" t="s">
        <v>653</v>
      </c>
      <c r="B818" s="312" t="s">
        <v>654</v>
      </c>
      <c r="C818" s="226">
        <f>sum(E818:E821)</f>
        <v>8</v>
      </c>
      <c r="D818" s="227" t="s">
        <v>97</v>
      </c>
      <c r="E818" s="227">
        <v>2.0</v>
      </c>
      <c r="F818" s="233"/>
      <c r="G818" s="233"/>
      <c r="H818" s="234" t="s">
        <v>99</v>
      </c>
      <c r="I818" s="213" t="s">
        <v>98</v>
      </c>
    </row>
    <row r="819">
      <c r="A819" s="205"/>
      <c r="D819" s="209" t="s">
        <v>162</v>
      </c>
      <c r="E819" s="209">
        <v>2.0</v>
      </c>
      <c r="F819" s="243"/>
      <c r="G819" s="211"/>
      <c r="H819" s="212" t="s">
        <v>164</v>
      </c>
      <c r="I819" s="213" t="s">
        <v>163</v>
      </c>
    </row>
    <row r="820">
      <c r="A820" s="205"/>
      <c r="D820" s="209" t="s">
        <v>49</v>
      </c>
      <c r="E820" s="209">
        <v>2.0</v>
      </c>
      <c r="F820" s="210"/>
      <c r="G820" s="211"/>
      <c r="H820" s="212" t="s">
        <v>50</v>
      </c>
      <c r="I820" s="213" t="s">
        <v>43</v>
      </c>
    </row>
    <row r="821">
      <c r="A821" s="217"/>
      <c r="B821" s="218"/>
      <c r="C821" s="218"/>
      <c r="D821" s="219" t="s">
        <v>19</v>
      </c>
      <c r="E821" s="219">
        <v>2.0</v>
      </c>
      <c r="F821" s="263"/>
      <c r="G821" s="264"/>
      <c r="H821" s="222" t="s">
        <v>20</v>
      </c>
      <c r="I821" s="223" t="s">
        <v>7</v>
      </c>
    </row>
    <row r="822">
      <c r="A822" s="236" t="s">
        <v>655</v>
      </c>
      <c r="B822" s="412" t="s">
        <v>656</v>
      </c>
      <c r="C822" s="267">
        <f>sum(E822:E825)</f>
        <v>8</v>
      </c>
      <c r="D822" s="238" t="s">
        <v>147</v>
      </c>
      <c r="E822" s="238">
        <v>3.0</v>
      </c>
      <c r="F822" s="280"/>
      <c r="G822" s="280"/>
      <c r="H822" s="241" t="s">
        <v>145</v>
      </c>
      <c r="I822" s="324" t="s">
        <v>144</v>
      </c>
    </row>
    <row r="823">
      <c r="A823" s="205"/>
      <c r="D823" s="304" t="s">
        <v>150</v>
      </c>
      <c r="E823" s="304">
        <v>2.0</v>
      </c>
      <c r="F823" s="305"/>
      <c r="G823" s="305"/>
      <c r="H823" s="306" t="s">
        <v>151</v>
      </c>
      <c r="I823" s="307" t="s">
        <v>144</v>
      </c>
    </row>
    <row r="824">
      <c r="A824" s="205"/>
      <c r="D824" s="209" t="s">
        <v>104</v>
      </c>
      <c r="E824" s="209">
        <v>2.0</v>
      </c>
      <c r="F824" s="310"/>
      <c r="G824" s="310"/>
      <c r="H824" s="212" t="s">
        <v>106</v>
      </c>
      <c r="I824" s="213" t="s">
        <v>105</v>
      </c>
    </row>
    <row r="825">
      <c r="A825" s="217"/>
      <c r="B825" s="218"/>
      <c r="C825" s="218"/>
      <c r="D825" s="618" t="s">
        <v>129</v>
      </c>
      <c r="E825" s="618">
        <v>1.0</v>
      </c>
      <c r="F825" s="362"/>
      <c r="G825" s="619"/>
      <c r="H825" s="620" t="s">
        <v>130</v>
      </c>
      <c r="I825" s="365" t="s">
        <v>105</v>
      </c>
    </row>
    <row r="826">
      <c r="A826" s="236" t="s">
        <v>657</v>
      </c>
      <c r="B826" s="412" t="s">
        <v>658</v>
      </c>
      <c r="C826" s="267">
        <f>sum(E826:E830)</f>
        <v>8</v>
      </c>
      <c r="D826" s="280" t="s">
        <v>97</v>
      </c>
      <c r="E826" s="280">
        <v>2.0</v>
      </c>
      <c r="F826" s="281"/>
      <c r="G826" s="281"/>
      <c r="H826" s="282" t="s">
        <v>99</v>
      </c>
      <c r="I826" s="242" t="s">
        <v>98</v>
      </c>
    </row>
    <row r="827">
      <c r="A827" s="205"/>
      <c r="D827" s="283" t="s">
        <v>39</v>
      </c>
      <c r="E827" s="283">
        <v>1.0</v>
      </c>
      <c r="F827" s="30"/>
      <c r="G827" s="32"/>
      <c r="H827" s="284" t="s">
        <v>40</v>
      </c>
      <c r="I827" s="285" t="s">
        <v>30</v>
      </c>
    </row>
    <row r="828">
      <c r="A828" s="205"/>
      <c r="D828" s="251" t="s">
        <v>76</v>
      </c>
      <c r="E828" s="251">
        <v>2.0</v>
      </c>
      <c r="F828" s="53"/>
      <c r="G828" s="54"/>
      <c r="H828" s="256" t="s">
        <v>77</v>
      </c>
      <c r="I828" s="257" t="s">
        <v>65</v>
      </c>
    </row>
    <row r="829">
      <c r="A829" s="205"/>
      <c r="D829" s="209" t="s">
        <v>11</v>
      </c>
      <c r="E829" s="209">
        <v>2.0</v>
      </c>
      <c r="F829" s="310"/>
      <c r="G829" s="310"/>
      <c r="H829" s="212" t="s">
        <v>348</v>
      </c>
      <c r="I829" s="213" t="s">
        <v>7</v>
      </c>
    </row>
    <row r="830">
      <c r="A830" s="217"/>
      <c r="B830" s="218"/>
      <c r="C830" s="218"/>
      <c r="D830" s="219" t="s">
        <v>58</v>
      </c>
      <c r="E830" s="219">
        <v>1.0</v>
      </c>
      <c r="F830" s="219"/>
      <c r="G830" s="219"/>
      <c r="H830" s="222" t="s">
        <v>59</v>
      </c>
      <c r="I830" s="223" t="s">
        <v>43</v>
      </c>
    </row>
    <row r="831">
      <c r="A831" s="236" t="s">
        <v>467</v>
      </c>
      <c r="B831" s="412" t="s">
        <v>568</v>
      </c>
      <c r="C831" s="267">
        <f>sum(E831:E835)</f>
        <v>8</v>
      </c>
      <c r="D831" s="436" t="s">
        <v>6</v>
      </c>
      <c r="E831" s="436">
        <v>2.0</v>
      </c>
      <c r="F831" s="437"/>
      <c r="G831" s="438"/>
      <c r="H831" s="439" t="s">
        <v>8</v>
      </c>
      <c r="I831" s="440" t="s">
        <v>7</v>
      </c>
    </row>
    <row r="832">
      <c r="A832" s="205"/>
      <c r="D832" s="209" t="s">
        <v>58</v>
      </c>
      <c r="E832" s="209">
        <v>1.0</v>
      </c>
      <c r="F832" s="209"/>
      <c r="G832" s="209"/>
      <c r="H832" s="212" t="s">
        <v>59</v>
      </c>
      <c r="I832" s="213" t="s">
        <v>43</v>
      </c>
    </row>
    <row r="833">
      <c r="A833" s="205"/>
      <c r="D833" s="248" t="s">
        <v>70</v>
      </c>
      <c r="E833" s="248">
        <v>2.0</v>
      </c>
      <c r="F833" s="53"/>
      <c r="G833" s="55"/>
      <c r="H833" s="249" t="s">
        <v>71</v>
      </c>
      <c r="I833" s="250" t="s">
        <v>65</v>
      </c>
    </row>
    <row r="834">
      <c r="A834" s="205"/>
      <c r="D834" s="244" t="s">
        <v>189</v>
      </c>
      <c r="E834" s="244">
        <v>1.0</v>
      </c>
      <c r="F834" s="11"/>
      <c r="G834" s="245"/>
      <c r="H834" s="246" t="s">
        <v>190</v>
      </c>
      <c r="I834" s="247" t="s">
        <v>186</v>
      </c>
    </row>
    <row r="835">
      <c r="A835" s="217"/>
      <c r="B835" s="218"/>
      <c r="C835" s="218"/>
      <c r="D835" s="219" t="s">
        <v>104</v>
      </c>
      <c r="E835" s="219">
        <v>2.0</v>
      </c>
      <c r="F835" s="258"/>
      <c r="G835" s="258"/>
      <c r="H835" s="222" t="s">
        <v>106</v>
      </c>
      <c r="I835" s="223" t="s">
        <v>105</v>
      </c>
    </row>
    <row r="836">
      <c r="A836" s="236" t="s">
        <v>659</v>
      </c>
      <c r="B836" s="237" t="s">
        <v>660</v>
      </c>
      <c r="C836" s="267">
        <f>sum(E836:E840)</f>
        <v>8</v>
      </c>
      <c r="D836" s="238" t="s">
        <v>22</v>
      </c>
      <c r="E836" s="238">
        <v>2.0</v>
      </c>
      <c r="F836" s="321"/>
      <c r="G836" s="255"/>
      <c r="H836" s="241" t="s">
        <v>307</v>
      </c>
      <c r="I836" s="242" t="s">
        <v>23</v>
      </c>
      <c r="K836" s="204"/>
      <c r="L836" s="204"/>
    </row>
    <row r="837">
      <c r="A837" s="205"/>
      <c r="D837" s="607" t="s">
        <v>42</v>
      </c>
      <c r="E837" s="607">
        <v>2.0</v>
      </c>
      <c r="F837" s="608"/>
      <c r="G837" s="607"/>
      <c r="H837" s="609" t="s">
        <v>44</v>
      </c>
      <c r="I837" s="332" t="s">
        <v>43</v>
      </c>
      <c r="K837" s="204"/>
      <c r="L837" s="204"/>
    </row>
    <row r="838">
      <c r="A838" s="205"/>
      <c r="D838" s="525" t="s">
        <v>85</v>
      </c>
      <c r="E838" s="525">
        <v>1.0</v>
      </c>
      <c r="F838" s="53"/>
      <c r="G838" s="55"/>
      <c r="H838" s="249" t="s">
        <v>86</v>
      </c>
      <c r="I838" s="257" t="s">
        <v>65</v>
      </c>
      <c r="K838" s="204"/>
      <c r="L838" s="204"/>
    </row>
    <row r="839">
      <c r="A839" s="205"/>
      <c r="D839" s="209" t="s">
        <v>290</v>
      </c>
      <c r="E839" s="209">
        <v>2.0</v>
      </c>
      <c r="F839" s="215"/>
      <c r="G839" s="216"/>
      <c r="H839" s="212" t="s">
        <v>283</v>
      </c>
      <c r="I839" s="213" t="s">
        <v>65</v>
      </c>
      <c r="K839" s="204"/>
      <c r="L839" s="204"/>
    </row>
    <row r="840">
      <c r="A840" s="217"/>
      <c r="B840" s="218"/>
      <c r="C840" s="218"/>
      <c r="D840" s="361" t="s">
        <v>137</v>
      </c>
      <c r="E840" s="361">
        <v>1.0</v>
      </c>
      <c r="F840" s="362"/>
      <c r="G840" s="363"/>
      <c r="H840" s="364" t="s">
        <v>138</v>
      </c>
      <c r="I840" s="365" t="s">
        <v>105</v>
      </c>
      <c r="K840" s="204"/>
      <c r="L840" s="204"/>
    </row>
    <row r="841">
      <c r="A841" s="254" t="s">
        <v>661</v>
      </c>
      <c r="B841" s="412" t="s">
        <v>662</v>
      </c>
      <c r="C841" s="267">
        <f>sum(E841:E843)</f>
        <v>8</v>
      </c>
      <c r="D841" s="238" t="s">
        <v>162</v>
      </c>
      <c r="E841" s="238">
        <v>2.0</v>
      </c>
      <c r="F841" s="321"/>
      <c r="G841" s="255"/>
      <c r="H841" s="241" t="s">
        <v>164</v>
      </c>
      <c r="I841" s="242" t="s">
        <v>163</v>
      </c>
    </row>
    <row r="842">
      <c r="A842" s="205"/>
      <c r="D842" s="209" t="s">
        <v>147</v>
      </c>
      <c r="E842" s="209">
        <v>3.0</v>
      </c>
      <c r="F842" s="227"/>
      <c r="G842" s="227"/>
      <c r="H842" s="212" t="s">
        <v>145</v>
      </c>
      <c r="I842" s="228" t="s">
        <v>144</v>
      </c>
    </row>
    <row r="843">
      <c r="A843" s="217"/>
      <c r="B843" s="218"/>
      <c r="C843" s="218"/>
      <c r="D843" s="219" t="s">
        <v>175</v>
      </c>
      <c r="E843" s="219">
        <v>3.0</v>
      </c>
      <c r="F843" s="264"/>
      <c r="G843" s="264"/>
      <c r="H843" s="222" t="s">
        <v>289</v>
      </c>
      <c r="I843" s="223" t="s">
        <v>176</v>
      </c>
    </row>
    <row r="844">
      <c r="A844" s="621" t="s">
        <v>663</v>
      </c>
      <c r="B844" s="622" t="s">
        <v>664</v>
      </c>
      <c r="C844" s="623">
        <f>sum(E844)</f>
        <v>8</v>
      </c>
      <c r="D844" s="624" t="s">
        <v>665</v>
      </c>
      <c r="E844" s="624">
        <v>8.0</v>
      </c>
      <c r="F844" s="625"/>
      <c r="G844" s="626"/>
      <c r="H844" s="627" t="s">
        <v>666</v>
      </c>
      <c r="I844" s="628" t="s">
        <v>105</v>
      </c>
    </row>
    <row r="845">
      <c r="A845" s="195" t="s">
        <v>667</v>
      </c>
      <c r="B845" s="196" t="s">
        <v>668</v>
      </c>
      <c r="C845" s="267">
        <f>sum(E845:E848)</f>
        <v>8</v>
      </c>
      <c r="D845" s="238" t="s">
        <v>22</v>
      </c>
      <c r="E845" s="238">
        <v>2.0</v>
      </c>
      <c r="F845" s="317"/>
      <c r="G845" s="318"/>
      <c r="H845" s="241" t="s">
        <v>307</v>
      </c>
      <c r="I845" s="242" t="s">
        <v>23</v>
      </c>
    </row>
    <row r="846">
      <c r="A846" s="205"/>
      <c r="D846" s="209" t="s">
        <v>58</v>
      </c>
      <c r="E846" s="209">
        <v>1.0</v>
      </c>
      <c r="F846" s="209"/>
      <c r="G846" s="209"/>
      <c r="H846" s="212" t="s">
        <v>59</v>
      </c>
      <c r="I846" s="213" t="s">
        <v>43</v>
      </c>
    </row>
    <row r="847">
      <c r="A847" s="205"/>
      <c r="D847" s="209" t="s">
        <v>175</v>
      </c>
      <c r="E847" s="209">
        <v>3.0</v>
      </c>
      <c r="F847" s="211"/>
      <c r="G847" s="211"/>
      <c r="H847" s="212" t="s">
        <v>289</v>
      </c>
      <c r="I847" s="213" t="s">
        <v>176</v>
      </c>
    </row>
    <row r="848">
      <c r="A848" s="217"/>
      <c r="B848" s="218"/>
      <c r="C848" s="218"/>
      <c r="D848" s="219" t="s">
        <v>162</v>
      </c>
      <c r="E848" s="219">
        <v>2.0</v>
      </c>
      <c r="F848" s="313"/>
      <c r="G848" s="263"/>
      <c r="H848" s="222" t="s">
        <v>164</v>
      </c>
      <c r="I848" s="223" t="s">
        <v>163</v>
      </c>
    </row>
    <row r="849">
      <c r="A849" s="446" t="s">
        <v>669</v>
      </c>
      <c r="B849" s="447" t="s">
        <v>411</v>
      </c>
      <c r="C849" s="579">
        <f>sum(E849:E851)</f>
        <v>8</v>
      </c>
      <c r="D849" s="449" t="s">
        <v>143</v>
      </c>
      <c r="E849" s="449">
        <v>5.0</v>
      </c>
      <c r="F849" s="450"/>
      <c r="G849" s="450"/>
      <c r="H849" s="451" t="s">
        <v>145</v>
      </c>
      <c r="I849" s="452" t="s">
        <v>144</v>
      </c>
      <c r="J849" s="233"/>
      <c r="K849" s="233"/>
      <c r="L849" s="233"/>
      <c r="M849" s="233"/>
      <c r="N849" s="233"/>
      <c r="O849" s="233"/>
      <c r="P849" s="233"/>
      <c r="Q849" s="233"/>
      <c r="R849" s="233"/>
      <c r="S849" s="233"/>
      <c r="T849" s="233"/>
      <c r="U849" s="233"/>
      <c r="V849" s="233"/>
      <c r="W849" s="233"/>
      <c r="X849" s="233"/>
      <c r="Y849" s="233"/>
      <c r="Z849" s="233"/>
      <c r="AA849" s="233"/>
      <c r="AB849" s="233"/>
      <c r="AC849" s="233"/>
    </row>
    <row r="850">
      <c r="A850" s="205"/>
      <c r="D850" s="453" t="s">
        <v>162</v>
      </c>
      <c r="E850" s="453">
        <v>2.0</v>
      </c>
      <c r="F850" s="454"/>
      <c r="G850" s="454"/>
      <c r="H850" s="455" t="s">
        <v>164</v>
      </c>
      <c r="I850" s="456" t="s">
        <v>163</v>
      </c>
      <c r="J850" s="233"/>
      <c r="K850" s="233"/>
      <c r="L850" s="233"/>
      <c r="M850" s="233"/>
      <c r="N850" s="233"/>
      <c r="O850" s="233"/>
      <c r="P850" s="233"/>
      <c r="Q850" s="233"/>
      <c r="R850" s="233"/>
      <c r="S850" s="233"/>
      <c r="T850" s="233"/>
      <c r="U850" s="233"/>
      <c r="V850" s="233"/>
      <c r="W850" s="233"/>
      <c r="X850" s="233"/>
      <c r="Y850" s="233"/>
      <c r="Z850" s="233"/>
      <c r="AA850" s="233"/>
      <c r="AB850" s="233"/>
      <c r="AC850" s="233"/>
    </row>
    <row r="851">
      <c r="A851" s="217"/>
      <c r="B851" s="218"/>
      <c r="C851" s="218"/>
      <c r="D851" s="460" t="s">
        <v>284</v>
      </c>
      <c r="E851" s="460">
        <v>1.0</v>
      </c>
      <c r="F851" s="461"/>
      <c r="G851" s="461"/>
      <c r="H851" s="462" t="s">
        <v>115</v>
      </c>
      <c r="I851" s="463" t="s">
        <v>105</v>
      </c>
      <c r="J851" s="233"/>
      <c r="K851" s="233"/>
      <c r="L851" s="233"/>
      <c r="M851" s="233"/>
      <c r="N851" s="233"/>
      <c r="O851" s="233"/>
      <c r="P851" s="233"/>
      <c r="Q851" s="233"/>
      <c r="R851" s="233"/>
      <c r="S851" s="233"/>
      <c r="T851" s="233"/>
      <c r="U851" s="233"/>
      <c r="V851" s="233"/>
      <c r="W851" s="233"/>
      <c r="X851" s="233"/>
      <c r="Y851" s="233"/>
      <c r="Z851" s="233"/>
      <c r="AA851" s="233"/>
      <c r="AB851" s="233"/>
      <c r="AC851" s="233"/>
    </row>
    <row r="852">
      <c r="A852" s="446" t="s">
        <v>670</v>
      </c>
      <c r="B852" s="447" t="s">
        <v>671</v>
      </c>
      <c r="C852" s="579">
        <f>sum(E852:E855)</f>
        <v>8</v>
      </c>
      <c r="D852" s="629" t="s">
        <v>17</v>
      </c>
      <c r="E852" s="629">
        <v>2.0</v>
      </c>
      <c r="F852" s="630"/>
      <c r="G852" s="630"/>
      <c r="H852" s="631" t="s">
        <v>321</v>
      </c>
      <c r="I852" s="632" t="s">
        <v>7</v>
      </c>
      <c r="J852" s="469"/>
      <c r="K852" s="469"/>
      <c r="L852" s="469"/>
      <c r="M852" s="469"/>
      <c r="N852" s="469"/>
      <c r="O852" s="469"/>
      <c r="P852" s="469"/>
      <c r="Q852" s="469"/>
      <c r="R852" s="469"/>
      <c r="S852" s="469"/>
      <c r="T852" s="469"/>
      <c r="U852" s="469"/>
      <c r="V852" s="469"/>
      <c r="W852" s="469"/>
      <c r="X852" s="469"/>
      <c r="Y852" s="469"/>
      <c r="Z852" s="469"/>
      <c r="AA852" s="469"/>
      <c r="AB852" s="469"/>
      <c r="AC852" s="469"/>
    </row>
    <row r="853">
      <c r="A853" s="205"/>
      <c r="D853" s="474" t="s">
        <v>49</v>
      </c>
      <c r="E853" s="474">
        <v>2.0</v>
      </c>
      <c r="F853" s="475"/>
      <c r="G853" s="475"/>
      <c r="H853" s="476" t="s">
        <v>50</v>
      </c>
      <c r="I853" s="633" t="s">
        <v>43</v>
      </c>
      <c r="J853" s="469"/>
      <c r="K853" s="469"/>
      <c r="L853" s="469"/>
      <c r="M853" s="469"/>
      <c r="N853" s="469"/>
      <c r="O853" s="469"/>
      <c r="P853" s="469"/>
      <c r="Q853" s="469"/>
      <c r="R853" s="469"/>
      <c r="S853" s="469"/>
      <c r="T853" s="469"/>
      <c r="U853" s="469"/>
      <c r="V853" s="469"/>
      <c r="W853" s="469"/>
      <c r="X853" s="469"/>
      <c r="Y853" s="469"/>
      <c r="Z853" s="469"/>
      <c r="AA853" s="469"/>
      <c r="AB853" s="469"/>
      <c r="AC853" s="469"/>
    </row>
    <row r="854">
      <c r="A854" s="205"/>
      <c r="D854" s="229" t="s">
        <v>175</v>
      </c>
      <c r="E854" s="229">
        <v>3.0</v>
      </c>
      <c r="F854" s="634"/>
      <c r="G854" s="634"/>
      <c r="H854" s="231" t="s">
        <v>289</v>
      </c>
      <c r="I854" s="635" t="s">
        <v>176</v>
      </c>
      <c r="J854" s="469"/>
      <c r="K854" s="469"/>
      <c r="L854" s="469"/>
      <c r="M854" s="469"/>
      <c r="N854" s="469"/>
      <c r="O854" s="469"/>
      <c r="P854" s="469"/>
      <c r="Q854" s="469"/>
      <c r="R854" s="469"/>
      <c r="S854" s="469"/>
      <c r="T854" s="469"/>
      <c r="U854" s="469"/>
      <c r="V854" s="469"/>
      <c r="W854" s="469"/>
      <c r="X854" s="469"/>
      <c r="Y854" s="469"/>
      <c r="Z854" s="469"/>
      <c r="AA854" s="469"/>
      <c r="AB854" s="469"/>
      <c r="AC854" s="469"/>
    </row>
    <row r="855">
      <c r="A855" s="217"/>
      <c r="B855" s="218"/>
      <c r="C855" s="218"/>
      <c r="D855" s="460" t="s">
        <v>120</v>
      </c>
      <c r="E855" s="460">
        <v>1.0</v>
      </c>
      <c r="F855" s="550"/>
      <c r="G855" s="550"/>
      <c r="H855" s="462" t="s">
        <v>327</v>
      </c>
      <c r="I855" s="463" t="s">
        <v>105</v>
      </c>
      <c r="J855" s="469"/>
      <c r="K855" s="469"/>
      <c r="L855" s="469"/>
      <c r="M855" s="469"/>
      <c r="N855" s="469"/>
      <c r="O855" s="469"/>
      <c r="P855" s="469"/>
      <c r="Q855" s="469"/>
      <c r="R855" s="469"/>
      <c r="S855" s="469"/>
      <c r="T855" s="469"/>
      <c r="U855" s="469"/>
      <c r="V855" s="469"/>
      <c r="W855" s="469"/>
      <c r="X855" s="469"/>
      <c r="Y855" s="469"/>
      <c r="Z855" s="469"/>
      <c r="AA855" s="469"/>
      <c r="AB855" s="469"/>
      <c r="AC855" s="469"/>
    </row>
    <row r="856">
      <c r="A856" s="446" t="s">
        <v>672</v>
      </c>
      <c r="B856" s="447" t="s">
        <v>644</v>
      </c>
      <c r="C856" s="579">
        <f>sum(E856:E859)</f>
        <v>8</v>
      </c>
      <c r="D856" s="636" t="s">
        <v>175</v>
      </c>
      <c r="E856" s="636">
        <v>3.0</v>
      </c>
      <c r="F856" s="637"/>
      <c r="G856" s="637"/>
      <c r="H856" s="638" t="s">
        <v>289</v>
      </c>
      <c r="I856" s="639" t="s">
        <v>176</v>
      </c>
      <c r="J856" s="469"/>
      <c r="K856" s="469"/>
      <c r="L856" s="469"/>
      <c r="M856" s="469"/>
      <c r="N856" s="469"/>
      <c r="O856" s="469"/>
      <c r="P856" s="469"/>
      <c r="Q856" s="469"/>
      <c r="R856" s="469"/>
      <c r="S856" s="469"/>
      <c r="T856" s="469"/>
      <c r="U856" s="469"/>
      <c r="V856" s="469"/>
      <c r="W856" s="469"/>
      <c r="X856" s="469"/>
      <c r="Y856" s="469"/>
      <c r="Z856" s="469"/>
      <c r="AA856" s="469"/>
      <c r="AB856" s="469"/>
      <c r="AC856" s="469"/>
    </row>
    <row r="857">
      <c r="A857" s="205"/>
      <c r="D857" s="453" t="s">
        <v>162</v>
      </c>
      <c r="E857" s="453">
        <v>2.0</v>
      </c>
      <c r="F857" s="640"/>
      <c r="G857" s="640"/>
      <c r="H857" s="455" t="s">
        <v>164</v>
      </c>
      <c r="I857" s="456" t="s">
        <v>163</v>
      </c>
      <c r="J857" s="469"/>
      <c r="K857" s="469"/>
      <c r="L857" s="469"/>
      <c r="M857" s="469"/>
      <c r="N857" s="469"/>
      <c r="O857" s="469"/>
      <c r="P857" s="469"/>
      <c r="Q857" s="469"/>
      <c r="R857" s="469"/>
      <c r="S857" s="469"/>
      <c r="T857" s="469"/>
      <c r="U857" s="469"/>
      <c r="V857" s="469"/>
      <c r="W857" s="469"/>
      <c r="X857" s="469"/>
      <c r="Y857" s="469"/>
      <c r="Z857" s="469"/>
      <c r="AA857" s="469"/>
      <c r="AB857" s="469"/>
      <c r="AC857" s="469"/>
    </row>
    <row r="858">
      <c r="A858" s="205"/>
      <c r="D858" s="474" t="s">
        <v>61</v>
      </c>
      <c r="E858" s="474">
        <v>1.0</v>
      </c>
      <c r="F858" s="475"/>
      <c r="G858" s="475"/>
      <c r="H858" s="476" t="s">
        <v>62</v>
      </c>
      <c r="I858" s="633" t="s">
        <v>43</v>
      </c>
      <c r="J858" s="469"/>
      <c r="K858" s="469"/>
      <c r="L858" s="469"/>
      <c r="M858" s="469"/>
      <c r="N858" s="469"/>
      <c r="O858" s="469"/>
      <c r="P858" s="469"/>
      <c r="Q858" s="469"/>
      <c r="R858" s="469"/>
      <c r="S858" s="469"/>
      <c r="T858" s="469"/>
      <c r="U858" s="469"/>
      <c r="V858" s="469"/>
      <c r="W858" s="469"/>
      <c r="X858" s="469"/>
      <c r="Y858" s="469"/>
      <c r="Z858" s="469"/>
      <c r="AA858" s="469"/>
      <c r="AB858" s="469"/>
      <c r="AC858" s="469"/>
    </row>
    <row r="859">
      <c r="A859" s="217"/>
      <c r="B859" s="218"/>
      <c r="C859" s="218"/>
      <c r="D859" s="641" t="s">
        <v>101</v>
      </c>
      <c r="E859" s="641">
        <v>2.0</v>
      </c>
      <c r="F859" s="642"/>
      <c r="G859" s="642"/>
      <c r="H859" s="643" t="s">
        <v>102</v>
      </c>
      <c r="I859" s="644" t="s">
        <v>98</v>
      </c>
      <c r="J859" s="469"/>
      <c r="K859" s="469"/>
      <c r="L859" s="469"/>
      <c r="M859" s="469"/>
      <c r="N859" s="469"/>
      <c r="O859" s="469"/>
      <c r="P859" s="469"/>
      <c r="Q859" s="469"/>
      <c r="R859" s="469"/>
      <c r="S859" s="469"/>
      <c r="T859" s="469"/>
      <c r="U859" s="469"/>
      <c r="V859" s="469"/>
      <c r="W859" s="469"/>
      <c r="X859" s="469"/>
      <c r="Y859" s="469"/>
      <c r="Z859" s="469"/>
      <c r="AA859" s="469"/>
      <c r="AB859" s="469"/>
      <c r="AC859" s="469"/>
    </row>
    <row r="860">
      <c r="A860" s="464" t="s">
        <v>673</v>
      </c>
      <c r="B860" s="447" t="s">
        <v>674</v>
      </c>
      <c r="C860" s="579">
        <f>sum(E860:E864)</f>
        <v>8</v>
      </c>
      <c r="D860" s="629" t="s">
        <v>330</v>
      </c>
      <c r="E860" s="629">
        <v>2.0</v>
      </c>
      <c r="F860" s="630"/>
      <c r="G860" s="630"/>
      <c r="H860" s="645" t="s">
        <v>331</v>
      </c>
      <c r="I860" s="632" t="s">
        <v>7</v>
      </c>
      <c r="J860" s="469"/>
      <c r="K860" s="469"/>
      <c r="L860" s="469"/>
      <c r="M860" s="469"/>
      <c r="N860" s="469"/>
      <c r="O860" s="469"/>
      <c r="P860" s="469"/>
      <c r="Q860" s="469"/>
      <c r="R860" s="469"/>
      <c r="S860" s="469"/>
      <c r="T860" s="469"/>
      <c r="U860" s="469"/>
      <c r="V860" s="469"/>
      <c r="W860" s="469"/>
      <c r="X860" s="469"/>
      <c r="Y860" s="469"/>
      <c r="Z860" s="469"/>
      <c r="AA860" s="469"/>
      <c r="AB860" s="469"/>
      <c r="AC860" s="469"/>
    </row>
    <row r="861">
      <c r="A861" s="205"/>
      <c r="D861" s="646" t="s">
        <v>22</v>
      </c>
      <c r="E861" s="646">
        <v>2.0</v>
      </c>
      <c r="F861" s="647"/>
      <c r="G861" s="647"/>
      <c r="H861" s="648" t="s">
        <v>307</v>
      </c>
      <c r="I861" s="649" t="s">
        <v>23</v>
      </c>
      <c r="J861" s="469"/>
      <c r="K861" s="469"/>
      <c r="L861" s="469"/>
      <c r="M861" s="469"/>
      <c r="N861" s="469"/>
      <c r="O861" s="469"/>
      <c r="P861" s="469"/>
      <c r="Q861" s="469"/>
      <c r="R861" s="469"/>
      <c r="S861" s="469"/>
      <c r="T861" s="469"/>
      <c r="U861" s="469"/>
      <c r="V861" s="469"/>
      <c r="W861" s="469"/>
      <c r="X861" s="469"/>
      <c r="Y861" s="469"/>
      <c r="Z861" s="469"/>
      <c r="AA861" s="469"/>
      <c r="AB861" s="469"/>
      <c r="AC861" s="469"/>
    </row>
    <row r="862">
      <c r="A862" s="205"/>
      <c r="D862" s="457" t="s">
        <v>85</v>
      </c>
      <c r="E862" s="457">
        <v>1.0</v>
      </c>
      <c r="F862" s="478"/>
      <c r="G862" s="478"/>
      <c r="H862" s="458" t="s">
        <v>86</v>
      </c>
      <c r="I862" s="459" t="s">
        <v>65</v>
      </c>
      <c r="J862" s="469"/>
      <c r="K862" s="469"/>
      <c r="L862" s="469"/>
      <c r="M862" s="469"/>
      <c r="N862" s="469"/>
      <c r="O862" s="469"/>
      <c r="P862" s="469"/>
      <c r="Q862" s="469"/>
      <c r="R862" s="469"/>
      <c r="S862" s="469"/>
      <c r="T862" s="469"/>
      <c r="U862" s="469"/>
      <c r="V862" s="469"/>
      <c r="W862" s="469"/>
      <c r="X862" s="469"/>
      <c r="Y862" s="469"/>
      <c r="Z862" s="469"/>
      <c r="AA862" s="469"/>
      <c r="AB862" s="469"/>
      <c r="AC862" s="469"/>
    </row>
    <row r="863">
      <c r="A863" s="205"/>
      <c r="D863" s="546" t="s">
        <v>284</v>
      </c>
      <c r="E863" s="546">
        <v>1.0</v>
      </c>
      <c r="F863" s="547"/>
      <c r="G863" s="547"/>
      <c r="H863" s="548" t="s">
        <v>115</v>
      </c>
      <c r="I863" s="549" t="s">
        <v>105</v>
      </c>
      <c r="J863" s="469"/>
      <c r="K863" s="469"/>
      <c r="L863" s="469"/>
      <c r="M863" s="469"/>
      <c r="N863" s="469"/>
      <c r="O863" s="469"/>
      <c r="P863" s="469"/>
      <c r="Q863" s="469"/>
      <c r="R863" s="469"/>
      <c r="S863" s="469"/>
      <c r="T863" s="469"/>
      <c r="U863" s="469"/>
      <c r="V863" s="469"/>
      <c r="W863" s="469"/>
      <c r="X863" s="469"/>
      <c r="Y863" s="469"/>
      <c r="Z863" s="469"/>
      <c r="AA863" s="469"/>
      <c r="AB863" s="469"/>
      <c r="AC863" s="469"/>
    </row>
    <row r="864">
      <c r="A864" s="217"/>
      <c r="B864" s="218"/>
      <c r="C864" s="218"/>
      <c r="D864" s="650" t="s">
        <v>162</v>
      </c>
      <c r="E864" s="650">
        <v>2.0</v>
      </c>
      <c r="F864" s="651"/>
      <c r="G864" s="651"/>
      <c r="H864" s="652" t="s">
        <v>164</v>
      </c>
      <c r="I864" s="653" t="s">
        <v>163</v>
      </c>
      <c r="J864" s="469"/>
      <c r="K864" s="469"/>
      <c r="L864" s="469"/>
      <c r="M864" s="469"/>
      <c r="N864" s="469"/>
      <c r="O864" s="469"/>
      <c r="P864" s="469"/>
      <c r="Q864" s="469"/>
      <c r="R864" s="469"/>
      <c r="S864" s="469"/>
      <c r="T864" s="469"/>
      <c r="U864" s="469"/>
      <c r="V864" s="469"/>
      <c r="W864" s="469"/>
      <c r="X864" s="469"/>
      <c r="Y864" s="469"/>
      <c r="Z864" s="469"/>
      <c r="AA864" s="469"/>
      <c r="AB864" s="469"/>
      <c r="AC864" s="469"/>
    </row>
    <row r="865">
      <c r="A865" s="446" t="s">
        <v>675</v>
      </c>
      <c r="B865" s="447" t="s">
        <v>676</v>
      </c>
      <c r="C865" s="579">
        <f>sum(E865:E870)</f>
        <v>8</v>
      </c>
      <c r="D865" s="654" t="s">
        <v>290</v>
      </c>
      <c r="E865" s="654">
        <v>2.0</v>
      </c>
      <c r="F865" s="655"/>
      <c r="G865" s="655"/>
      <c r="H865" s="656" t="s">
        <v>283</v>
      </c>
      <c r="I865" s="657" t="s">
        <v>65</v>
      </c>
      <c r="J865" s="469"/>
      <c r="K865" s="469"/>
      <c r="L865" s="469"/>
      <c r="M865" s="469"/>
      <c r="N865" s="469"/>
      <c r="O865" s="469"/>
      <c r="P865" s="469"/>
      <c r="Q865" s="469"/>
      <c r="R865" s="469"/>
      <c r="S865" s="469"/>
      <c r="T865" s="469"/>
      <c r="U865" s="469"/>
      <c r="V865" s="469"/>
      <c r="W865" s="469"/>
      <c r="X865" s="469"/>
      <c r="Y865" s="469"/>
      <c r="Z865" s="469"/>
      <c r="AA865" s="469"/>
      <c r="AB865" s="469"/>
      <c r="AC865" s="469"/>
    </row>
    <row r="866">
      <c r="A866" s="205"/>
      <c r="D866" s="453" t="s">
        <v>162</v>
      </c>
      <c r="E866" s="453">
        <v>2.0</v>
      </c>
      <c r="F866" s="640"/>
      <c r="G866" s="640"/>
      <c r="H866" s="658" t="s">
        <v>164</v>
      </c>
      <c r="I866" s="659" t="s">
        <v>163</v>
      </c>
      <c r="J866" s="469"/>
      <c r="K866" s="469"/>
      <c r="L866" s="469"/>
      <c r="M866" s="469"/>
      <c r="N866" s="469"/>
      <c r="O866" s="469"/>
      <c r="P866" s="469"/>
      <c r="Q866" s="469"/>
      <c r="R866" s="469"/>
      <c r="S866" s="469"/>
      <c r="T866" s="469"/>
      <c r="U866" s="469"/>
      <c r="V866" s="469"/>
      <c r="W866" s="469"/>
      <c r="X866" s="469"/>
      <c r="Y866" s="469"/>
      <c r="Z866" s="469"/>
      <c r="AA866" s="469"/>
      <c r="AB866" s="469"/>
      <c r="AC866" s="469"/>
    </row>
    <row r="867">
      <c r="A867" s="205"/>
      <c r="D867" s="660" t="s">
        <v>189</v>
      </c>
      <c r="E867" s="660">
        <v>1.0</v>
      </c>
      <c r="F867" s="661"/>
      <c r="G867" s="661"/>
      <c r="H867" s="662" t="s">
        <v>190</v>
      </c>
      <c r="I867" s="663" t="s">
        <v>186</v>
      </c>
      <c r="J867" s="469"/>
      <c r="K867" s="469"/>
      <c r="L867" s="469"/>
      <c r="M867" s="469"/>
      <c r="N867" s="469"/>
      <c r="O867" s="469"/>
      <c r="P867" s="469"/>
      <c r="Q867" s="469"/>
      <c r="R867" s="469"/>
      <c r="S867" s="469"/>
      <c r="T867" s="469"/>
      <c r="U867" s="469"/>
      <c r="V867" s="469"/>
      <c r="W867" s="469"/>
      <c r="X867" s="469"/>
      <c r="Y867" s="469"/>
      <c r="Z867" s="469"/>
      <c r="AA867" s="469"/>
      <c r="AB867" s="469"/>
      <c r="AC867" s="469"/>
    </row>
    <row r="868">
      <c r="A868" s="205"/>
      <c r="D868" s="546" t="s">
        <v>140</v>
      </c>
      <c r="E868" s="546">
        <v>1.0</v>
      </c>
      <c r="F868" s="547"/>
      <c r="G868" s="547"/>
      <c r="H868" s="664" t="s">
        <v>141</v>
      </c>
      <c r="I868" s="665" t="s">
        <v>105</v>
      </c>
      <c r="J868" s="469"/>
      <c r="K868" s="469"/>
      <c r="L868" s="469"/>
      <c r="M868" s="469"/>
      <c r="N868" s="469"/>
      <c r="O868" s="469"/>
      <c r="P868" s="469"/>
      <c r="Q868" s="469"/>
      <c r="R868" s="469"/>
      <c r="S868" s="469"/>
      <c r="T868" s="469"/>
      <c r="U868" s="469"/>
      <c r="V868" s="469"/>
      <c r="W868" s="469"/>
      <c r="X868" s="469"/>
      <c r="Y868" s="469"/>
      <c r="Z868" s="469"/>
      <c r="AA868" s="469"/>
      <c r="AB868" s="469"/>
      <c r="AC868" s="469"/>
    </row>
    <row r="869">
      <c r="A869" s="205"/>
      <c r="D869" s="546" t="s">
        <v>134</v>
      </c>
      <c r="E869" s="546">
        <v>1.0</v>
      </c>
      <c r="F869" s="547"/>
      <c r="G869" s="547"/>
      <c r="H869" s="664" t="s">
        <v>135</v>
      </c>
      <c r="I869" s="665" t="s">
        <v>105</v>
      </c>
      <c r="J869" s="469"/>
      <c r="K869" s="469"/>
      <c r="L869" s="469"/>
      <c r="M869" s="469"/>
      <c r="N869" s="469"/>
      <c r="O869" s="469"/>
      <c r="P869" s="469"/>
      <c r="Q869" s="469"/>
      <c r="R869" s="469"/>
      <c r="S869" s="469"/>
      <c r="T869" s="469"/>
      <c r="U869" s="469"/>
      <c r="V869" s="469"/>
      <c r="W869" s="469"/>
      <c r="X869" s="469"/>
      <c r="Y869" s="469"/>
      <c r="Z869" s="469"/>
      <c r="AA869" s="469"/>
      <c r="AB869" s="469"/>
      <c r="AC869" s="469"/>
    </row>
    <row r="870">
      <c r="A870" s="217"/>
      <c r="B870" s="218"/>
      <c r="C870" s="218"/>
      <c r="D870" s="460" t="s">
        <v>117</v>
      </c>
      <c r="E870" s="460">
        <v>1.0</v>
      </c>
      <c r="F870" s="550"/>
      <c r="G870" s="550"/>
      <c r="H870" s="666" t="s">
        <v>322</v>
      </c>
      <c r="I870" s="667" t="s">
        <v>105</v>
      </c>
      <c r="J870" s="469"/>
      <c r="K870" s="469"/>
      <c r="L870" s="469"/>
      <c r="M870" s="469"/>
      <c r="N870" s="469"/>
      <c r="O870" s="469"/>
      <c r="P870" s="469"/>
      <c r="Q870" s="469"/>
      <c r="R870" s="469"/>
      <c r="S870" s="469"/>
      <c r="T870" s="469"/>
      <c r="U870" s="469"/>
      <c r="V870" s="469"/>
      <c r="W870" s="469"/>
      <c r="X870" s="469"/>
      <c r="Y870" s="469"/>
      <c r="Z870" s="469"/>
      <c r="AA870" s="469"/>
      <c r="AB870" s="469"/>
      <c r="AC870" s="469"/>
    </row>
    <row r="871">
      <c r="A871" s="668" t="s">
        <v>677</v>
      </c>
      <c r="B871" s="225" t="s">
        <v>678</v>
      </c>
      <c r="C871" s="276">
        <f>sum(E871:E873)</f>
        <v>7</v>
      </c>
      <c r="D871" s="209" t="s">
        <v>143</v>
      </c>
      <c r="E871" s="209">
        <v>5.0</v>
      </c>
      <c r="F871" s="227"/>
      <c r="G871" s="227"/>
      <c r="H871" s="212" t="s">
        <v>145</v>
      </c>
      <c r="I871" s="228" t="s">
        <v>144</v>
      </c>
      <c r="K871" s="204"/>
      <c r="L871" s="204"/>
    </row>
    <row r="872">
      <c r="A872" s="205"/>
      <c r="D872" s="209" t="s">
        <v>284</v>
      </c>
      <c r="E872" s="209">
        <v>1.0</v>
      </c>
      <c r="F872" s="215"/>
      <c r="G872" s="216"/>
      <c r="H872" s="212" t="s">
        <v>115</v>
      </c>
      <c r="I872" s="213" t="s">
        <v>105</v>
      </c>
      <c r="K872" s="204"/>
      <c r="L872" s="204"/>
    </row>
    <row r="873">
      <c r="A873" s="217"/>
      <c r="B873" s="218"/>
      <c r="C873" s="218"/>
      <c r="D873" s="219" t="s">
        <v>117</v>
      </c>
      <c r="E873" s="219">
        <v>1.0</v>
      </c>
      <c r="F873" s="264"/>
      <c r="G873" s="264"/>
      <c r="H873" s="222" t="s">
        <v>322</v>
      </c>
      <c r="I873" s="213" t="s">
        <v>105</v>
      </c>
      <c r="K873" s="204"/>
      <c r="L873" s="204"/>
    </row>
    <row r="874">
      <c r="A874" s="236" t="s">
        <v>679</v>
      </c>
      <c r="B874" s="237" t="s">
        <v>680</v>
      </c>
      <c r="C874" s="267">
        <f>sum(E874:E876)</f>
        <v>7</v>
      </c>
      <c r="D874" s="238" t="s">
        <v>143</v>
      </c>
      <c r="E874" s="238">
        <v>5.0</v>
      </c>
      <c r="F874" s="280"/>
      <c r="G874" s="280"/>
      <c r="H874" s="241" t="s">
        <v>145</v>
      </c>
      <c r="I874" s="324" t="s">
        <v>144</v>
      </c>
      <c r="K874" s="204"/>
      <c r="L874" s="204"/>
    </row>
    <row r="875">
      <c r="A875" s="205"/>
      <c r="D875" s="227" t="s">
        <v>120</v>
      </c>
      <c r="E875" s="227">
        <v>1.0</v>
      </c>
      <c r="F875" s="3"/>
      <c r="G875" s="233"/>
      <c r="H875" s="234" t="s">
        <v>121</v>
      </c>
      <c r="I875" s="235" t="s">
        <v>105</v>
      </c>
      <c r="K875" s="204"/>
      <c r="L875" s="204"/>
    </row>
    <row r="876">
      <c r="A876" s="217"/>
      <c r="B876" s="218"/>
      <c r="C876" s="218"/>
      <c r="D876" s="219" t="s">
        <v>284</v>
      </c>
      <c r="E876" s="219">
        <v>1.0</v>
      </c>
      <c r="F876" s="220"/>
      <c r="G876" s="221"/>
      <c r="H876" s="222" t="s">
        <v>115</v>
      </c>
      <c r="I876" s="223" t="s">
        <v>105</v>
      </c>
      <c r="K876" s="204"/>
      <c r="L876" s="204"/>
    </row>
    <row r="877">
      <c r="A877" s="669" t="s">
        <v>681</v>
      </c>
      <c r="B877" s="670" t="s">
        <v>682</v>
      </c>
      <c r="C877" s="267">
        <f>sum(E877:E879)</f>
        <v>7</v>
      </c>
      <c r="D877" s="238" t="s">
        <v>143</v>
      </c>
      <c r="E877" s="238">
        <v>5.0</v>
      </c>
      <c r="F877" s="280"/>
      <c r="G877" s="280"/>
      <c r="H877" s="241" t="s">
        <v>145</v>
      </c>
      <c r="I877" s="324" t="s">
        <v>144</v>
      </c>
      <c r="K877" s="204"/>
      <c r="L877" s="204"/>
    </row>
    <row r="878">
      <c r="A878" s="205"/>
      <c r="D878" s="209" t="s">
        <v>284</v>
      </c>
      <c r="E878" s="209">
        <v>1.0</v>
      </c>
      <c r="F878" s="215"/>
      <c r="G878" s="216"/>
      <c r="H878" s="212" t="s">
        <v>115</v>
      </c>
      <c r="I878" s="213" t="s">
        <v>105</v>
      </c>
      <c r="K878" s="204"/>
      <c r="L878" s="204"/>
    </row>
    <row r="879">
      <c r="A879" s="217"/>
      <c r="B879" s="218"/>
      <c r="C879" s="218"/>
      <c r="D879" s="219" t="s">
        <v>134</v>
      </c>
      <c r="E879" s="219">
        <v>1.0</v>
      </c>
      <c r="F879" s="263"/>
      <c r="G879" s="264"/>
      <c r="H879" s="222" t="s">
        <v>135</v>
      </c>
      <c r="I879" s="223" t="s">
        <v>105</v>
      </c>
      <c r="K879" s="204"/>
      <c r="L879" s="204"/>
    </row>
    <row r="880">
      <c r="A880" s="236" t="s">
        <v>683</v>
      </c>
      <c r="B880" s="237" t="s">
        <v>684</v>
      </c>
      <c r="C880" s="267">
        <f>sum(E880:E882)</f>
        <v>7</v>
      </c>
      <c r="D880" s="238" t="s">
        <v>284</v>
      </c>
      <c r="E880" s="238">
        <v>1.0</v>
      </c>
      <c r="F880" s="239"/>
      <c r="G880" s="240"/>
      <c r="H880" s="241" t="s">
        <v>115</v>
      </c>
      <c r="I880" s="242" t="s">
        <v>105</v>
      </c>
      <c r="K880" s="204"/>
      <c r="L880" s="204"/>
    </row>
    <row r="881">
      <c r="A881" s="205"/>
      <c r="D881" s="209" t="s">
        <v>143</v>
      </c>
      <c r="E881" s="209">
        <v>5.0</v>
      </c>
      <c r="F881" s="227"/>
      <c r="G881" s="227"/>
      <c r="H881" s="212" t="s">
        <v>145</v>
      </c>
      <c r="I881" s="228" t="s">
        <v>144</v>
      </c>
      <c r="K881" s="204"/>
      <c r="L881" s="204"/>
    </row>
    <row r="882">
      <c r="A882" s="217"/>
      <c r="B882" s="218"/>
      <c r="C882" s="218"/>
      <c r="D882" s="219" t="s">
        <v>55</v>
      </c>
      <c r="E882" s="219">
        <v>1.0</v>
      </c>
      <c r="F882" s="263"/>
      <c r="G882" s="264"/>
      <c r="H882" s="222" t="s">
        <v>56</v>
      </c>
      <c r="I882" s="223" t="s">
        <v>43</v>
      </c>
      <c r="K882" s="204"/>
      <c r="L882" s="204"/>
    </row>
    <row r="883">
      <c r="A883" s="236" t="s">
        <v>685</v>
      </c>
      <c r="B883" s="237" t="s">
        <v>686</v>
      </c>
      <c r="C883" s="197">
        <f>sum(E883:E886)</f>
        <v>7</v>
      </c>
      <c r="D883" s="238" t="s">
        <v>79</v>
      </c>
      <c r="E883" s="238">
        <v>2.0</v>
      </c>
      <c r="F883" s="671" t="s">
        <v>687</v>
      </c>
      <c r="G883" s="294"/>
      <c r="H883" s="241" t="s">
        <v>80</v>
      </c>
      <c r="I883" s="213" t="s">
        <v>65</v>
      </c>
      <c r="K883" s="204"/>
      <c r="L883" s="204"/>
    </row>
    <row r="884">
      <c r="A884" s="205"/>
      <c r="D884" s="209" t="s">
        <v>49</v>
      </c>
      <c r="E884" s="209">
        <v>2.0</v>
      </c>
      <c r="H884" s="212" t="s">
        <v>50</v>
      </c>
      <c r="I884" s="213" t="s">
        <v>43</v>
      </c>
      <c r="K884" s="204"/>
      <c r="L884" s="204"/>
    </row>
    <row r="885">
      <c r="A885" s="205"/>
      <c r="D885" s="209" t="s">
        <v>166</v>
      </c>
      <c r="E885" s="209">
        <v>2.0</v>
      </c>
      <c r="H885" s="212" t="s">
        <v>167</v>
      </c>
      <c r="I885" s="213" t="s">
        <v>163</v>
      </c>
      <c r="K885" s="204"/>
      <c r="L885" s="204"/>
    </row>
    <row r="886">
      <c r="A886" s="205"/>
      <c r="C886" s="218"/>
      <c r="D886" s="219" t="s">
        <v>172</v>
      </c>
      <c r="E886" s="219">
        <v>1.0</v>
      </c>
      <c r="F886" s="218"/>
      <c r="G886" s="218"/>
      <c r="H886" s="222" t="s">
        <v>421</v>
      </c>
      <c r="I886" s="223" t="s">
        <v>163</v>
      </c>
      <c r="K886" s="204"/>
      <c r="L886" s="204"/>
    </row>
    <row r="887">
      <c r="A887" s="205"/>
      <c r="C887" s="276">
        <f>sum(E887:E889)</f>
        <v>4</v>
      </c>
      <c r="D887" s="238" t="s">
        <v>134</v>
      </c>
      <c r="E887" s="238">
        <v>1.0</v>
      </c>
      <c r="F887" s="671" t="s">
        <v>688</v>
      </c>
      <c r="G887" s="294"/>
      <c r="H887" s="241" t="s">
        <v>135</v>
      </c>
      <c r="I887" s="242" t="s">
        <v>105</v>
      </c>
      <c r="K887" s="204"/>
      <c r="L887" s="204"/>
    </row>
    <row r="888">
      <c r="A888" s="205"/>
      <c r="D888" s="209" t="s">
        <v>22</v>
      </c>
      <c r="E888" s="209">
        <v>2.0</v>
      </c>
      <c r="H888" s="212" t="s">
        <v>307</v>
      </c>
      <c r="I888" s="213" t="s">
        <v>23</v>
      </c>
      <c r="K888" s="204"/>
      <c r="L888" s="204"/>
    </row>
    <row r="889">
      <c r="A889" s="217"/>
      <c r="B889" s="218"/>
      <c r="C889" s="218"/>
      <c r="D889" s="219" t="s">
        <v>117</v>
      </c>
      <c r="E889" s="219">
        <v>1.0</v>
      </c>
      <c r="F889" s="218"/>
      <c r="G889" s="218"/>
      <c r="H889" s="222" t="s">
        <v>322</v>
      </c>
      <c r="I889" s="223" t="s">
        <v>105</v>
      </c>
      <c r="K889" s="204"/>
      <c r="L889" s="204"/>
    </row>
    <row r="890">
      <c r="A890" s="236" t="s">
        <v>689</v>
      </c>
      <c r="B890" s="237" t="s">
        <v>690</v>
      </c>
      <c r="C890" s="267">
        <f>sum(E890:E892)</f>
        <v>7</v>
      </c>
      <c r="D890" s="238" t="s">
        <v>143</v>
      </c>
      <c r="E890" s="238">
        <v>5.0</v>
      </c>
      <c r="F890" s="280"/>
      <c r="G890" s="280"/>
      <c r="H890" s="241" t="s">
        <v>145</v>
      </c>
      <c r="I890" s="324" t="s">
        <v>144</v>
      </c>
      <c r="K890" s="204"/>
      <c r="L890" s="204"/>
    </row>
    <row r="891">
      <c r="A891" s="205"/>
      <c r="D891" s="308" t="s">
        <v>137</v>
      </c>
      <c r="E891" s="308">
        <v>1.0</v>
      </c>
      <c r="F891" s="80"/>
      <c r="G891" s="86"/>
      <c r="H891" s="309" t="s">
        <v>138</v>
      </c>
      <c r="I891" s="303" t="s">
        <v>105</v>
      </c>
      <c r="K891" s="204"/>
      <c r="L891" s="204"/>
    </row>
    <row r="892">
      <c r="A892" s="217"/>
      <c r="B892" s="218"/>
      <c r="C892" s="218"/>
      <c r="D892" s="219" t="s">
        <v>284</v>
      </c>
      <c r="E892" s="219">
        <v>1.0</v>
      </c>
      <c r="F892" s="220"/>
      <c r="G892" s="221"/>
      <c r="H892" s="222" t="s">
        <v>115</v>
      </c>
      <c r="I892" s="223" t="s">
        <v>105</v>
      </c>
      <c r="K892" s="204"/>
      <c r="L892" s="204"/>
    </row>
    <row r="893">
      <c r="A893" s="236" t="s">
        <v>691</v>
      </c>
      <c r="B893" s="237" t="s">
        <v>568</v>
      </c>
      <c r="C893" s="267">
        <f>sum(E893:E898)</f>
        <v>7</v>
      </c>
      <c r="D893" s="672" t="s">
        <v>91</v>
      </c>
      <c r="E893" s="672">
        <v>1.0</v>
      </c>
      <c r="F893" s="673"/>
      <c r="G893" s="674"/>
      <c r="H893" s="675" t="s">
        <v>92</v>
      </c>
      <c r="I893" s="489" t="s">
        <v>65</v>
      </c>
      <c r="K893" s="204"/>
      <c r="L893" s="204"/>
    </row>
    <row r="894">
      <c r="A894" s="205"/>
      <c r="D894" s="209" t="s">
        <v>153</v>
      </c>
      <c r="E894" s="209">
        <v>2.0</v>
      </c>
      <c r="F894" s="243"/>
      <c r="G894" s="211"/>
      <c r="H894" s="212" t="s">
        <v>154</v>
      </c>
      <c r="I894" s="228" t="s">
        <v>144</v>
      </c>
      <c r="K894" s="204"/>
      <c r="L894" s="204"/>
    </row>
    <row r="895">
      <c r="A895" s="205"/>
      <c r="D895" s="209" t="s">
        <v>172</v>
      </c>
      <c r="E895" s="209">
        <v>1.0</v>
      </c>
      <c r="F895" s="210"/>
      <c r="G895" s="211"/>
      <c r="H895" s="212" t="s">
        <v>421</v>
      </c>
      <c r="I895" s="213" t="s">
        <v>163</v>
      </c>
      <c r="K895" s="204"/>
      <c r="L895" s="204"/>
    </row>
    <row r="896">
      <c r="A896" s="205"/>
      <c r="D896" s="301" t="s">
        <v>129</v>
      </c>
      <c r="E896" s="301">
        <v>1.0</v>
      </c>
      <c r="F896" s="80"/>
      <c r="G896" s="81"/>
      <c r="H896" s="302" t="s">
        <v>130</v>
      </c>
      <c r="I896" s="303" t="s">
        <v>105</v>
      </c>
      <c r="K896" s="204"/>
      <c r="L896" s="204"/>
    </row>
    <row r="897">
      <c r="A897" s="205"/>
      <c r="D897" s="209" t="s">
        <v>284</v>
      </c>
      <c r="E897" s="209">
        <v>1.0</v>
      </c>
      <c r="F897" s="215"/>
      <c r="G897" s="216"/>
      <c r="H897" s="212" t="s">
        <v>115</v>
      </c>
      <c r="I897" s="213" t="s">
        <v>105</v>
      </c>
      <c r="K897" s="204"/>
      <c r="L897" s="204"/>
    </row>
    <row r="898">
      <c r="A898" s="217"/>
      <c r="B898" s="218"/>
      <c r="C898" s="218"/>
      <c r="D898" s="252" t="s">
        <v>120</v>
      </c>
      <c r="E898" s="252">
        <v>1.0</v>
      </c>
      <c r="F898" s="342"/>
      <c r="G898" s="319"/>
      <c r="H898" s="320" t="s">
        <v>121</v>
      </c>
      <c r="I898" s="343" t="s">
        <v>105</v>
      </c>
      <c r="K898" s="204"/>
      <c r="L898" s="204"/>
    </row>
    <row r="899">
      <c r="A899" s="311" t="s">
        <v>692</v>
      </c>
      <c r="B899" s="423" t="s">
        <v>693</v>
      </c>
      <c r="C899" s="276">
        <f>sum(E899:E901)</f>
        <v>7</v>
      </c>
      <c r="D899" s="209" t="s">
        <v>330</v>
      </c>
      <c r="E899" s="209">
        <v>2.0</v>
      </c>
      <c r="F899" s="210"/>
      <c r="G899" s="211"/>
      <c r="H899" s="212" t="s">
        <v>331</v>
      </c>
      <c r="I899" s="242" t="s">
        <v>7</v>
      </c>
      <c r="K899" s="204"/>
      <c r="L899" s="204"/>
    </row>
    <row r="900">
      <c r="A900" s="205"/>
      <c r="D900" s="227" t="s">
        <v>156</v>
      </c>
      <c r="E900" s="227">
        <v>2.0</v>
      </c>
      <c r="F900" s="233"/>
      <c r="G900" s="233"/>
      <c r="H900" s="234" t="s">
        <v>157</v>
      </c>
      <c r="I900" s="228" t="s">
        <v>144</v>
      </c>
      <c r="K900" s="204"/>
      <c r="L900" s="204"/>
    </row>
    <row r="901">
      <c r="A901" s="217"/>
      <c r="B901" s="218"/>
      <c r="C901" s="218"/>
      <c r="D901" s="219" t="s">
        <v>64</v>
      </c>
      <c r="E901" s="219">
        <v>3.0</v>
      </c>
      <c r="F901" s="220"/>
      <c r="G901" s="221"/>
      <c r="H901" s="222" t="s">
        <v>283</v>
      </c>
      <c r="I901" s="223" t="s">
        <v>65</v>
      </c>
      <c r="K901" s="204"/>
      <c r="L901" s="204"/>
    </row>
    <row r="902">
      <c r="A902" s="676" t="s">
        <v>694</v>
      </c>
      <c r="B902" s="423" t="s">
        <v>695</v>
      </c>
      <c r="C902" s="276">
        <f>sum(E902:E904)</f>
        <v>7</v>
      </c>
      <c r="D902" s="209" t="s">
        <v>147</v>
      </c>
      <c r="E902" s="209">
        <v>3.0</v>
      </c>
      <c r="F902" s="227"/>
      <c r="G902" s="227"/>
      <c r="H902" s="212" t="s">
        <v>145</v>
      </c>
      <c r="I902" s="324" t="s">
        <v>144</v>
      </c>
      <c r="K902" s="204"/>
      <c r="L902" s="204"/>
    </row>
    <row r="903">
      <c r="A903" s="205"/>
      <c r="D903" s="209" t="s">
        <v>162</v>
      </c>
      <c r="E903" s="209">
        <v>2.0</v>
      </c>
      <c r="F903" s="243"/>
      <c r="G903" s="211"/>
      <c r="H903" s="212" t="s">
        <v>164</v>
      </c>
      <c r="I903" s="213" t="s">
        <v>163</v>
      </c>
      <c r="K903" s="204"/>
      <c r="L903" s="204"/>
    </row>
    <row r="904">
      <c r="A904" s="217"/>
      <c r="B904" s="218"/>
      <c r="C904" s="218"/>
      <c r="D904" s="219" t="s">
        <v>19</v>
      </c>
      <c r="E904" s="219">
        <v>2.0</v>
      </c>
      <c r="F904" s="263"/>
      <c r="G904" s="264"/>
      <c r="H904" s="222" t="s">
        <v>20</v>
      </c>
      <c r="I904" s="213" t="s">
        <v>7</v>
      </c>
      <c r="K904" s="204"/>
      <c r="L904" s="204"/>
    </row>
    <row r="905">
      <c r="A905" s="677" t="s">
        <v>696</v>
      </c>
      <c r="B905" s="678" t="s">
        <v>697</v>
      </c>
      <c r="C905" s="276">
        <f>sum(E905:E907)</f>
        <v>7</v>
      </c>
      <c r="D905" s="209" t="s">
        <v>162</v>
      </c>
      <c r="E905" s="209">
        <v>2.0</v>
      </c>
      <c r="F905" s="243"/>
      <c r="G905" s="211"/>
      <c r="H905" s="212" t="s">
        <v>164</v>
      </c>
      <c r="I905" s="213" t="s">
        <v>163</v>
      </c>
      <c r="K905" s="204"/>
      <c r="L905" s="204"/>
    </row>
    <row r="906">
      <c r="A906" s="205"/>
      <c r="D906" s="209" t="s">
        <v>166</v>
      </c>
      <c r="E906" s="209">
        <v>2.0</v>
      </c>
      <c r="F906" s="210"/>
      <c r="G906" s="211"/>
      <c r="H906" s="212" t="s">
        <v>167</v>
      </c>
      <c r="I906" s="213" t="s">
        <v>163</v>
      </c>
      <c r="K906" s="204"/>
      <c r="L906" s="204"/>
    </row>
    <row r="907">
      <c r="A907" s="217"/>
      <c r="B907" s="218"/>
      <c r="C907" s="218"/>
      <c r="D907" s="219" t="s">
        <v>64</v>
      </c>
      <c r="E907" s="219">
        <v>3.0</v>
      </c>
      <c r="F907" s="679" t="s">
        <v>369</v>
      </c>
      <c r="G907" s="221"/>
      <c r="H907" s="222" t="s">
        <v>283</v>
      </c>
      <c r="I907" s="223" t="s">
        <v>65</v>
      </c>
      <c r="K907" s="204"/>
      <c r="L907" s="204"/>
    </row>
    <row r="908">
      <c r="A908" s="224" t="s">
        <v>698</v>
      </c>
      <c r="B908" s="225" t="s">
        <v>699</v>
      </c>
      <c r="C908" s="276">
        <f>sum(E908:E911)</f>
        <v>7</v>
      </c>
      <c r="D908" s="209" t="s">
        <v>14</v>
      </c>
      <c r="E908" s="209">
        <v>2.0</v>
      </c>
      <c r="F908" s="211"/>
      <c r="G908" s="3"/>
      <c r="H908" s="212" t="s">
        <v>16</v>
      </c>
      <c r="I908" s="242" t="s">
        <v>7</v>
      </c>
      <c r="K908" s="204"/>
      <c r="L908" s="204"/>
    </row>
    <row r="909">
      <c r="A909" s="205"/>
      <c r="D909" s="209" t="s">
        <v>159</v>
      </c>
      <c r="E909" s="209">
        <v>1.0</v>
      </c>
      <c r="F909" s="227"/>
      <c r="G909" s="227"/>
      <c r="H909" s="212" t="s">
        <v>160</v>
      </c>
      <c r="I909" s="228" t="s">
        <v>144</v>
      </c>
      <c r="K909" s="204"/>
      <c r="L909" s="204"/>
    </row>
    <row r="910">
      <c r="A910" s="205"/>
      <c r="D910" s="209" t="s">
        <v>64</v>
      </c>
      <c r="E910" s="209">
        <v>3.0</v>
      </c>
      <c r="F910" s="210"/>
      <c r="G910" s="210"/>
      <c r="H910" s="212" t="s">
        <v>283</v>
      </c>
      <c r="I910" s="213" t="s">
        <v>65</v>
      </c>
      <c r="K910" s="204"/>
      <c r="L910" s="204"/>
    </row>
    <row r="911">
      <c r="A911" s="217"/>
      <c r="B911" s="218"/>
      <c r="C911" s="218"/>
      <c r="D911" s="219" t="s">
        <v>117</v>
      </c>
      <c r="E911" s="219">
        <v>1.0</v>
      </c>
      <c r="F911" s="264"/>
      <c r="G911" s="264"/>
      <c r="H911" s="222" t="s">
        <v>322</v>
      </c>
      <c r="I911" s="223" t="s">
        <v>105</v>
      </c>
      <c r="K911" s="204"/>
      <c r="L911" s="204"/>
    </row>
    <row r="912">
      <c r="A912" s="236" t="s">
        <v>700</v>
      </c>
      <c r="B912" s="237" t="s">
        <v>701</v>
      </c>
      <c r="C912" s="197">
        <f>sum(E912:E917)</f>
        <v>7</v>
      </c>
      <c r="D912" s="238" t="s">
        <v>185</v>
      </c>
      <c r="E912" s="680">
        <v>1.0</v>
      </c>
      <c r="F912" s="495"/>
      <c r="G912" s="681"/>
      <c r="H912" s="682" t="s">
        <v>187</v>
      </c>
      <c r="I912" s="526" t="s">
        <v>186</v>
      </c>
      <c r="K912" s="204"/>
      <c r="L912" s="204"/>
    </row>
    <row r="913">
      <c r="A913" s="205"/>
      <c r="D913" s="227" t="s">
        <v>88</v>
      </c>
      <c r="E913" s="227">
        <v>1.0</v>
      </c>
      <c r="F913" s="3"/>
      <c r="G913" s="233"/>
      <c r="H913" s="234" t="s">
        <v>89</v>
      </c>
      <c r="I913" s="235" t="s">
        <v>65</v>
      </c>
      <c r="K913" s="204"/>
      <c r="L913" s="204"/>
    </row>
    <row r="914">
      <c r="A914" s="205"/>
      <c r="D914" s="227" t="s">
        <v>120</v>
      </c>
      <c r="E914" s="227">
        <v>1.0</v>
      </c>
      <c r="F914" s="3"/>
      <c r="G914" s="233"/>
      <c r="H914" s="234" t="s">
        <v>121</v>
      </c>
      <c r="I914" s="235" t="s">
        <v>105</v>
      </c>
      <c r="K914" s="204"/>
      <c r="L914" s="204"/>
    </row>
    <row r="915">
      <c r="A915" s="205"/>
      <c r="D915" s="227" t="s">
        <v>117</v>
      </c>
      <c r="E915" s="227">
        <v>1.0</v>
      </c>
      <c r="F915" s="3"/>
      <c r="G915" s="233"/>
      <c r="H915" s="360" t="s">
        <v>118</v>
      </c>
      <c r="I915" s="235" t="s">
        <v>105</v>
      </c>
      <c r="K915" s="204"/>
      <c r="L915" s="204"/>
    </row>
    <row r="916">
      <c r="A916" s="205"/>
      <c r="D916" s="227" t="s">
        <v>140</v>
      </c>
      <c r="E916" s="227">
        <v>1.0</v>
      </c>
      <c r="F916" s="3"/>
      <c r="G916" s="233"/>
      <c r="H916" s="234" t="s">
        <v>141</v>
      </c>
      <c r="I916" s="235" t="s">
        <v>105</v>
      </c>
      <c r="K916" s="204"/>
      <c r="L916" s="204"/>
    </row>
    <row r="917">
      <c r="A917" s="217"/>
      <c r="B917" s="218"/>
      <c r="C917" s="218"/>
      <c r="D917" s="396" t="s">
        <v>162</v>
      </c>
      <c r="E917" s="396">
        <v>2.0</v>
      </c>
      <c r="F917" s="342"/>
      <c r="G917" s="397"/>
      <c r="H917" s="398" t="s">
        <v>164</v>
      </c>
      <c r="I917" s="343" t="s">
        <v>163</v>
      </c>
      <c r="K917" s="204"/>
      <c r="L917" s="204"/>
    </row>
    <row r="918">
      <c r="A918" s="236" t="s">
        <v>702</v>
      </c>
      <c r="B918" s="237" t="s">
        <v>703</v>
      </c>
      <c r="C918" s="197">
        <f>sum(E918:E921)</f>
        <v>7</v>
      </c>
      <c r="D918" s="683" t="s">
        <v>137</v>
      </c>
      <c r="E918" s="683">
        <v>1.0</v>
      </c>
      <c r="F918" s="442"/>
      <c r="G918" s="684"/>
      <c r="H918" s="685" t="s">
        <v>138</v>
      </c>
      <c r="I918" s="532" t="s">
        <v>105</v>
      </c>
      <c r="K918" s="204"/>
      <c r="L918" s="204"/>
    </row>
    <row r="919">
      <c r="A919" s="205"/>
      <c r="D919" s="227" t="s">
        <v>97</v>
      </c>
      <c r="E919" s="227">
        <v>2.0</v>
      </c>
      <c r="F919" s="233"/>
      <c r="G919" s="233"/>
      <c r="H919" s="234" t="s">
        <v>99</v>
      </c>
      <c r="I919" s="213" t="s">
        <v>98</v>
      </c>
      <c r="K919" s="204"/>
      <c r="L919" s="204"/>
    </row>
    <row r="920">
      <c r="A920" s="205"/>
      <c r="D920" s="308" t="s">
        <v>126</v>
      </c>
      <c r="E920" s="308">
        <v>1.0</v>
      </c>
      <c r="F920" s="80"/>
      <c r="G920" s="86"/>
      <c r="H920" s="309" t="s">
        <v>127</v>
      </c>
      <c r="I920" s="303" t="s">
        <v>105</v>
      </c>
      <c r="K920" s="204"/>
      <c r="L920" s="204"/>
    </row>
    <row r="921">
      <c r="A921" s="217"/>
      <c r="B921" s="218"/>
      <c r="C921" s="218"/>
      <c r="D921" s="219" t="s">
        <v>704</v>
      </c>
      <c r="E921" s="219">
        <v>3.0</v>
      </c>
      <c r="F921" s="263"/>
      <c r="G921" s="264"/>
      <c r="H921" s="222" t="s">
        <v>705</v>
      </c>
      <c r="I921" s="365" t="s">
        <v>105</v>
      </c>
      <c r="K921" s="204"/>
      <c r="L921" s="204"/>
    </row>
    <row r="922">
      <c r="A922" s="496" t="s">
        <v>706</v>
      </c>
      <c r="B922" s="237" t="s">
        <v>379</v>
      </c>
      <c r="C922" s="197">
        <f>sum(E922:E925)</f>
        <v>7</v>
      </c>
      <c r="D922" s="238" t="s">
        <v>120</v>
      </c>
      <c r="E922" s="238">
        <v>1.0</v>
      </c>
      <c r="F922" s="353"/>
      <c r="G922" s="353"/>
      <c r="H922" s="241" t="s">
        <v>327</v>
      </c>
      <c r="I922" s="242" t="s">
        <v>105</v>
      </c>
      <c r="K922" s="204"/>
      <c r="L922" s="204"/>
    </row>
    <row r="923">
      <c r="A923" s="205"/>
      <c r="D923" s="209" t="s">
        <v>117</v>
      </c>
      <c r="E923" s="209">
        <v>1.0</v>
      </c>
      <c r="F923" s="211"/>
      <c r="G923" s="211"/>
      <c r="H923" s="212" t="s">
        <v>322</v>
      </c>
      <c r="I923" s="213" t="s">
        <v>105</v>
      </c>
      <c r="K923" s="204"/>
      <c r="L923" s="204"/>
    </row>
    <row r="924">
      <c r="A924" s="205"/>
      <c r="D924" s="209" t="s">
        <v>162</v>
      </c>
      <c r="E924" s="209">
        <v>2.0</v>
      </c>
      <c r="F924" s="243"/>
      <c r="G924" s="211"/>
      <c r="H924" s="212" t="s">
        <v>164</v>
      </c>
      <c r="I924" s="213" t="s">
        <v>163</v>
      </c>
      <c r="K924" s="204"/>
      <c r="L924" s="204"/>
    </row>
    <row r="925">
      <c r="A925" s="217"/>
      <c r="B925" s="218"/>
      <c r="C925" s="218"/>
      <c r="D925" s="219" t="s">
        <v>64</v>
      </c>
      <c r="E925" s="219">
        <v>3.0</v>
      </c>
      <c r="F925" s="220"/>
      <c r="G925" s="221"/>
      <c r="H925" s="222" t="s">
        <v>283</v>
      </c>
      <c r="I925" s="223" t="s">
        <v>65</v>
      </c>
      <c r="K925" s="204"/>
      <c r="L925" s="204"/>
    </row>
    <row r="926">
      <c r="A926" s="236" t="s">
        <v>707</v>
      </c>
      <c r="B926" s="237" t="s">
        <v>708</v>
      </c>
      <c r="C926" s="197">
        <f>sum(E926:E928)</f>
        <v>7</v>
      </c>
      <c r="D926" s="686" t="s">
        <v>52</v>
      </c>
      <c r="E926" s="686">
        <v>2.0</v>
      </c>
      <c r="F926" s="687"/>
      <c r="G926" s="688"/>
      <c r="H926" s="689" t="s">
        <v>53</v>
      </c>
      <c r="I926" s="690" t="s">
        <v>43</v>
      </c>
      <c r="J926" s="4"/>
      <c r="K926" s="204"/>
      <c r="L926" s="204"/>
    </row>
    <row r="927">
      <c r="A927" s="205"/>
      <c r="D927" s="206" t="s">
        <v>182</v>
      </c>
      <c r="E927" s="206">
        <v>2.0</v>
      </c>
      <c r="F927" s="130"/>
      <c r="G927" s="131"/>
      <c r="H927" s="207" t="s">
        <v>183</v>
      </c>
      <c r="I927" s="261" t="s">
        <v>176</v>
      </c>
      <c r="J927" s="4"/>
      <c r="K927" s="204"/>
      <c r="L927" s="204"/>
    </row>
    <row r="928">
      <c r="A928" s="217"/>
      <c r="B928" s="218"/>
      <c r="C928" s="218"/>
      <c r="D928" s="219" t="s">
        <v>64</v>
      </c>
      <c r="E928" s="219">
        <v>3.0</v>
      </c>
      <c r="F928" s="220"/>
      <c r="G928" s="221"/>
      <c r="H928" s="222" t="s">
        <v>283</v>
      </c>
      <c r="I928" s="223" t="s">
        <v>65</v>
      </c>
      <c r="K928" s="204"/>
      <c r="L928" s="204"/>
    </row>
    <row r="929">
      <c r="A929" s="314" t="s">
        <v>709</v>
      </c>
      <c r="B929" s="237" t="s">
        <v>710</v>
      </c>
      <c r="C929" s="197">
        <f>sum(E929:E932)</f>
        <v>7</v>
      </c>
      <c r="D929" s="238" t="s">
        <v>11</v>
      </c>
      <c r="E929" s="238">
        <v>2.0</v>
      </c>
      <c r="F929" s="353"/>
      <c r="G929" s="353"/>
      <c r="H929" s="241" t="s">
        <v>348</v>
      </c>
      <c r="I929" s="242" t="s">
        <v>7</v>
      </c>
      <c r="K929" s="204"/>
      <c r="L929" s="204"/>
    </row>
    <row r="930">
      <c r="A930" s="205"/>
      <c r="D930" s="209" t="s">
        <v>22</v>
      </c>
      <c r="E930" s="209">
        <v>2.0</v>
      </c>
      <c r="F930" s="299"/>
      <c r="G930" s="300"/>
      <c r="H930" s="212" t="s">
        <v>307</v>
      </c>
      <c r="I930" s="213" t="s">
        <v>23</v>
      </c>
      <c r="K930" s="204"/>
      <c r="L930" s="204"/>
    </row>
    <row r="931">
      <c r="A931" s="205"/>
      <c r="D931" s="209" t="s">
        <v>120</v>
      </c>
      <c r="E931" s="209">
        <v>1.0</v>
      </c>
      <c r="F931" s="310"/>
      <c r="G931" s="310"/>
      <c r="H931" s="212" t="s">
        <v>327</v>
      </c>
      <c r="I931" s="213" t="s">
        <v>105</v>
      </c>
      <c r="K931" s="204"/>
      <c r="L931" s="204"/>
    </row>
    <row r="932">
      <c r="A932" s="217"/>
      <c r="B932" s="218"/>
      <c r="C932" s="218"/>
      <c r="D932" s="252" t="s">
        <v>156</v>
      </c>
      <c r="E932" s="252">
        <v>2.0</v>
      </c>
      <c r="F932" s="691"/>
      <c r="G932" s="691"/>
      <c r="H932" s="320" t="s">
        <v>157</v>
      </c>
      <c r="I932" s="253" t="s">
        <v>144</v>
      </c>
      <c r="K932" s="204"/>
      <c r="L932" s="204"/>
    </row>
    <row r="933">
      <c r="A933" s="236" t="s">
        <v>711</v>
      </c>
      <c r="B933" s="237" t="s">
        <v>712</v>
      </c>
      <c r="C933" s="267">
        <f>sum(E933:E938)</f>
        <v>7</v>
      </c>
      <c r="D933" s="238" t="s">
        <v>140</v>
      </c>
      <c r="E933" s="238">
        <v>1.0</v>
      </c>
      <c r="F933" s="353"/>
      <c r="G933" s="353"/>
      <c r="H933" s="241" t="s">
        <v>141</v>
      </c>
      <c r="I933" s="242" t="s">
        <v>105</v>
      </c>
      <c r="K933" s="204"/>
      <c r="L933" s="204"/>
    </row>
    <row r="934">
      <c r="A934" s="205"/>
      <c r="D934" s="209" t="s">
        <v>126</v>
      </c>
      <c r="E934" s="209">
        <v>1.0</v>
      </c>
      <c r="F934" s="347"/>
      <c r="G934" s="348"/>
      <c r="H934" s="212" t="s">
        <v>127</v>
      </c>
      <c r="I934" s="213" t="s">
        <v>105</v>
      </c>
      <c r="K934" s="204"/>
      <c r="L934" s="204"/>
    </row>
    <row r="935">
      <c r="A935" s="205"/>
      <c r="D935" s="209" t="s">
        <v>131</v>
      </c>
      <c r="E935" s="209">
        <v>1.0</v>
      </c>
      <c r="F935" s="310"/>
      <c r="G935" s="310"/>
      <c r="H935" s="212" t="s">
        <v>132</v>
      </c>
      <c r="I935" s="213" t="s">
        <v>105</v>
      </c>
      <c r="K935" s="204"/>
      <c r="L935" s="204"/>
    </row>
    <row r="936">
      <c r="A936" s="205"/>
      <c r="D936" s="209" t="s">
        <v>134</v>
      </c>
      <c r="E936" s="209">
        <v>1.0</v>
      </c>
      <c r="F936" s="210"/>
      <c r="G936" s="211"/>
      <c r="H936" s="212" t="s">
        <v>135</v>
      </c>
      <c r="I936" s="213" t="s">
        <v>105</v>
      </c>
      <c r="K936" s="204"/>
      <c r="L936" s="204"/>
    </row>
    <row r="937">
      <c r="A937" s="205"/>
      <c r="D937" s="283" t="s">
        <v>36</v>
      </c>
      <c r="E937" s="283">
        <v>1.0</v>
      </c>
      <c r="F937" s="30"/>
      <c r="G937" s="32"/>
      <c r="H937" s="284" t="s">
        <v>37</v>
      </c>
      <c r="I937" s="285" t="s">
        <v>30</v>
      </c>
      <c r="K937" s="204"/>
      <c r="L937" s="204"/>
    </row>
    <row r="938">
      <c r="A938" s="217"/>
      <c r="B938" s="218"/>
      <c r="C938" s="218"/>
      <c r="D938" s="219" t="s">
        <v>162</v>
      </c>
      <c r="E938" s="219">
        <v>2.0</v>
      </c>
      <c r="F938" s="313"/>
      <c r="G938" s="264"/>
      <c r="H938" s="222" t="s">
        <v>164</v>
      </c>
      <c r="I938" s="223" t="s">
        <v>163</v>
      </c>
      <c r="K938" s="204"/>
      <c r="L938" s="204"/>
    </row>
    <row r="939">
      <c r="A939" s="692" t="s">
        <v>713</v>
      </c>
      <c r="B939" s="693" t="s">
        <v>714</v>
      </c>
      <c r="C939" s="694">
        <f>sum(E939:E940)</f>
        <v>7</v>
      </c>
      <c r="D939" s="238" t="s">
        <v>143</v>
      </c>
      <c r="E939" s="238">
        <v>5.0</v>
      </c>
      <c r="F939" s="280"/>
      <c r="G939" s="280"/>
      <c r="H939" s="241" t="s">
        <v>145</v>
      </c>
      <c r="I939" s="324" t="s">
        <v>144</v>
      </c>
      <c r="K939" s="204"/>
      <c r="L939" s="204"/>
    </row>
    <row r="940">
      <c r="A940" s="217"/>
      <c r="B940" s="218"/>
      <c r="C940" s="218"/>
      <c r="D940" s="219" t="s">
        <v>447</v>
      </c>
      <c r="E940" s="219">
        <v>2.0</v>
      </c>
      <c r="F940" s="220"/>
      <c r="G940" s="221"/>
      <c r="H940" s="222" t="s">
        <v>283</v>
      </c>
      <c r="I940" s="223" t="s">
        <v>65</v>
      </c>
      <c r="K940" s="204"/>
      <c r="L940" s="204"/>
    </row>
    <row r="941">
      <c r="A941" s="224" t="s">
        <v>715</v>
      </c>
      <c r="B941" s="312" t="s">
        <v>397</v>
      </c>
      <c r="C941" s="226">
        <f>sum(E941:E944)</f>
        <v>7</v>
      </c>
      <c r="D941" s="209" t="s">
        <v>49</v>
      </c>
      <c r="E941" s="209">
        <v>2.0</v>
      </c>
      <c r="F941" s="210"/>
      <c r="G941" s="211"/>
      <c r="H941" s="212" t="s">
        <v>50</v>
      </c>
      <c r="I941" s="213" t="s">
        <v>43</v>
      </c>
      <c r="K941" s="204"/>
      <c r="L941" s="204"/>
    </row>
    <row r="942">
      <c r="A942" s="205"/>
      <c r="D942" s="209" t="s">
        <v>162</v>
      </c>
      <c r="E942" s="209">
        <v>2.0</v>
      </c>
      <c r="F942" s="243"/>
      <c r="G942" s="211"/>
      <c r="H942" s="212" t="s">
        <v>164</v>
      </c>
      <c r="I942" s="213" t="s">
        <v>163</v>
      </c>
      <c r="K942" s="204"/>
      <c r="L942" s="204"/>
    </row>
    <row r="943">
      <c r="A943" s="205"/>
      <c r="D943" s="209" t="s">
        <v>290</v>
      </c>
      <c r="E943" s="209">
        <v>2.0</v>
      </c>
      <c r="F943" s="215"/>
      <c r="G943" s="216"/>
      <c r="H943" s="212" t="s">
        <v>283</v>
      </c>
      <c r="I943" s="213" t="s">
        <v>65</v>
      </c>
      <c r="K943" s="204"/>
      <c r="L943" s="204"/>
    </row>
    <row r="944">
      <c r="A944" s="217"/>
      <c r="B944" s="218"/>
      <c r="C944" s="218"/>
      <c r="D944" s="219" t="s">
        <v>117</v>
      </c>
      <c r="E944" s="219">
        <v>1.0</v>
      </c>
      <c r="F944" s="264"/>
      <c r="G944" s="264"/>
      <c r="H944" s="222" t="s">
        <v>322</v>
      </c>
      <c r="I944" s="223" t="s">
        <v>105</v>
      </c>
      <c r="K944" s="204"/>
      <c r="L944" s="204"/>
    </row>
    <row r="945">
      <c r="A945" s="359" t="s">
        <v>716</v>
      </c>
      <c r="B945" s="237" t="s">
        <v>535</v>
      </c>
      <c r="C945" s="267">
        <f>sum(E945:E948)</f>
        <v>7</v>
      </c>
      <c r="D945" s="238" t="s">
        <v>330</v>
      </c>
      <c r="E945" s="238">
        <v>2.0</v>
      </c>
      <c r="F945" s="278"/>
      <c r="G945" s="255"/>
      <c r="H945" s="241" t="s">
        <v>331</v>
      </c>
      <c r="I945" s="242" t="s">
        <v>7</v>
      </c>
      <c r="K945" s="204"/>
      <c r="L945" s="204"/>
    </row>
    <row r="946">
      <c r="A946" s="205"/>
      <c r="D946" s="248" t="s">
        <v>73</v>
      </c>
      <c r="E946" s="248">
        <v>2.0</v>
      </c>
      <c r="F946" s="53"/>
      <c r="G946" s="55"/>
      <c r="H946" s="249" t="s">
        <v>74</v>
      </c>
      <c r="I946" s="250" t="s">
        <v>65</v>
      </c>
      <c r="K946" s="204"/>
      <c r="L946" s="204"/>
    </row>
    <row r="947">
      <c r="A947" s="205"/>
      <c r="D947" s="209" t="s">
        <v>162</v>
      </c>
      <c r="E947" s="209">
        <v>2.0</v>
      </c>
      <c r="F947" s="243"/>
      <c r="G947" s="211"/>
      <c r="H947" s="212" t="s">
        <v>164</v>
      </c>
      <c r="I947" s="213" t="s">
        <v>163</v>
      </c>
      <c r="K947" s="204"/>
      <c r="L947" s="204"/>
    </row>
    <row r="948">
      <c r="A948" s="217"/>
      <c r="B948" s="218"/>
      <c r="C948" s="218"/>
      <c r="D948" s="491" t="s">
        <v>131</v>
      </c>
      <c r="E948" s="491">
        <v>1.0</v>
      </c>
      <c r="F948" s="461"/>
      <c r="G948" s="461"/>
      <c r="H948" s="493" t="s">
        <v>132</v>
      </c>
      <c r="I948" s="494" t="s">
        <v>105</v>
      </c>
      <c r="K948" s="204"/>
      <c r="L948" s="204"/>
    </row>
    <row r="949">
      <c r="A949" s="236" t="s">
        <v>717</v>
      </c>
      <c r="B949" s="237" t="s">
        <v>718</v>
      </c>
      <c r="C949" s="267">
        <f>sum(E949:E953)</f>
        <v>7</v>
      </c>
      <c r="D949" s="238" t="s">
        <v>11</v>
      </c>
      <c r="E949" s="238">
        <v>2.0</v>
      </c>
      <c r="F949" s="353"/>
      <c r="G949" s="353"/>
      <c r="H949" s="241" t="s">
        <v>348</v>
      </c>
      <c r="I949" s="242" t="s">
        <v>7</v>
      </c>
      <c r="K949" s="204"/>
      <c r="L949" s="204"/>
    </row>
    <row r="950">
      <c r="A950" s="205"/>
      <c r="D950" s="209" t="s">
        <v>55</v>
      </c>
      <c r="E950" s="209">
        <v>1.0</v>
      </c>
      <c r="F950" s="210"/>
      <c r="G950" s="211"/>
      <c r="H950" s="212" t="s">
        <v>56</v>
      </c>
      <c r="I950" s="213" t="s">
        <v>43</v>
      </c>
      <c r="K950" s="204"/>
      <c r="L950" s="204"/>
    </row>
    <row r="951">
      <c r="A951" s="205"/>
      <c r="D951" s="209" t="s">
        <v>159</v>
      </c>
      <c r="E951" s="209">
        <v>1.0</v>
      </c>
      <c r="F951" s="227"/>
      <c r="G951" s="227"/>
      <c r="H951" s="212" t="s">
        <v>160</v>
      </c>
      <c r="I951" s="228" t="s">
        <v>144</v>
      </c>
      <c r="K951" s="204"/>
      <c r="L951" s="204"/>
    </row>
    <row r="952">
      <c r="A952" s="205"/>
      <c r="D952" s="209" t="s">
        <v>162</v>
      </c>
      <c r="E952" s="209">
        <v>2.0</v>
      </c>
      <c r="F952" s="243"/>
      <c r="G952" s="211"/>
      <c r="H952" s="212" t="s">
        <v>164</v>
      </c>
      <c r="I952" s="213" t="s">
        <v>163</v>
      </c>
      <c r="K952" s="204"/>
      <c r="L952" s="204"/>
    </row>
    <row r="953">
      <c r="A953" s="217"/>
      <c r="B953" s="218"/>
      <c r="C953" s="218"/>
      <c r="D953" s="219" t="s">
        <v>131</v>
      </c>
      <c r="E953" s="219">
        <v>1.0</v>
      </c>
      <c r="F953" s="263"/>
      <c r="G953" s="264"/>
      <c r="H953" s="222" t="s">
        <v>132</v>
      </c>
      <c r="I953" s="223" t="s">
        <v>105</v>
      </c>
      <c r="K953" s="204"/>
      <c r="L953" s="204"/>
    </row>
    <row r="954">
      <c r="A954" s="236" t="s">
        <v>719</v>
      </c>
      <c r="B954" s="237" t="s">
        <v>720</v>
      </c>
      <c r="C954" s="267">
        <f>sum(E954:E957)</f>
        <v>7</v>
      </c>
      <c r="D954" s="280" t="s">
        <v>97</v>
      </c>
      <c r="E954" s="280">
        <v>2.0</v>
      </c>
      <c r="F954" s="281"/>
      <c r="G954" s="281"/>
      <c r="H954" s="282" t="s">
        <v>99</v>
      </c>
      <c r="I954" s="242" t="s">
        <v>98</v>
      </c>
      <c r="K954" s="204"/>
      <c r="L954" s="204"/>
    </row>
    <row r="955">
      <c r="A955" s="205"/>
      <c r="D955" s="209" t="s">
        <v>49</v>
      </c>
      <c r="E955" s="209">
        <v>2.0</v>
      </c>
      <c r="F955" s="210"/>
      <c r="G955" s="211"/>
      <c r="H955" s="212" t="s">
        <v>50</v>
      </c>
      <c r="I955" s="213" t="s">
        <v>43</v>
      </c>
      <c r="K955" s="204"/>
      <c r="L955" s="204"/>
    </row>
    <row r="956">
      <c r="A956" s="205"/>
      <c r="D956" s="209" t="s">
        <v>330</v>
      </c>
      <c r="E956" s="209">
        <v>2.0</v>
      </c>
      <c r="F956" s="210"/>
      <c r="G956" s="211"/>
      <c r="H956" s="212" t="s">
        <v>331</v>
      </c>
      <c r="I956" s="213" t="s">
        <v>7</v>
      </c>
      <c r="K956" s="204"/>
      <c r="L956" s="204"/>
    </row>
    <row r="957">
      <c r="A957" s="217"/>
      <c r="B957" s="218"/>
      <c r="C957" s="218"/>
      <c r="D957" s="219" t="s">
        <v>134</v>
      </c>
      <c r="E957" s="219">
        <v>1.0</v>
      </c>
      <c r="F957" s="263"/>
      <c r="G957" s="264"/>
      <c r="H957" s="222" t="s">
        <v>135</v>
      </c>
      <c r="I957" s="223" t="s">
        <v>105</v>
      </c>
      <c r="K957" s="204"/>
      <c r="L957" s="204"/>
    </row>
    <row r="958">
      <c r="A958" s="236" t="s">
        <v>721</v>
      </c>
      <c r="B958" s="237" t="s">
        <v>722</v>
      </c>
      <c r="C958" s="267">
        <f>sum(E958:E960)</f>
        <v>7</v>
      </c>
      <c r="D958" s="385" t="s">
        <v>101</v>
      </c>
      <c r="E958" s="385">
        <v>2.0</v>
      </c>
      <c r="F958" s="386"/>
      <c r="G958" s="387"/>
      <c r="H958" s="388" t="s">
        <v>102</v>
      </c>
      <c r="I958" s="389" t="s">
        <v>98</v>
      </c>
      <c r="K958" s="204"/>
      <c r="L958" s="204"/>
    </row>
    <row r="959">
      <c r="A959" s="205"/>
      <c r="D959" s="209" t="s">
        <v>64</v>
      </c>
      <c r="E959" s="209">
        <v>3.0</v>
      </c>
      <c r="F959" s="215"/>
      <c r="G959" s="216"/>
      <c r="H959" s="212" t="s">
        <v>283</v>
      </c>
      <c r="I959" s="213" t="s">
        <v>65</v>
      </c>
      <c r="K959" s="204"/>
      <c r="L959" s="204"/>
    </row>
    <row r="960">
      <c r="A960" s="217"/>
      <c r="B960" s="218"/>
      <c r="C960" s="218"/>
      <c r="D960" s="219" t="s">
        <v>330</v>
      </c>
      <c r="E960" s="219">
        <v>2.0</v>
      </c>
      <c r="F960" s="263"/>
      <c r="G960" s="264"/>
      <c r="H960" s="222" t="s">
        <v>331</v>
      </c>
      <c r="I960" s="223" t="s">
        <v>7</v>
      </c>
      <c r="K960" s="204"/>
      <c r="L960" s="204"/>
    </row>
    <row r="961">
      <c r="A961" s="195" t="s">
        <v>723</v>
      </c>
      <c r="B961" s="695" t="s">
        <v>724</v>
      </c>
      <c r="C961" s="267">
        <f>sum(E961:E964)</f>
        <v>7</v>
      </c>
      <c r="D961" s="238" t="s">
        <v>22</v>
      </c>
      <c r="E961" s="238">
        <v>2.0</v>
      </c>
      <c r="F961" s="321"/>
      <c r="G961" s="255"/>
      <c r="H961" s="241" t="s">
        <v>307</v>
      </c>
      <c r="I961" s="242" t="s">
        <v>23</v>
      </c>
      <c r="K961" s="204"/>
      <c r="L961" s="204"/>
    </row>
    <row r="962">
      <c r="A962" s="205"/>
      <c r="D962" s="209" t="s">
        <v>55</v>
      </c>
      <c r="E962" s="209">
        <v>1.0</v>
      </c>
      <c r="F962" s="210"/>
      <c r="G962" s="211"/>
      <c r="H962" s="212" t="s">
        <v>56</v>
      </c>
      <c r="I962" s="213" t="s">
        <v>43</v>
      </c>
      <c r="K962" s="204"/>
      <c r="L962" s="204"/>
    </row>
    <row r="963">
      <c r="A963" s="205"/>
      <c r="D963" s="515" t="s">
        <v>108</v>
      </c>
      <c r="E963" s="515">
        <v>2.0</v>
      </c>
      <c r="F963" s="516"/>
      <c r="G963" s="517"/>
      <c r="H963" s="518" t="s">
        <v>109</v>
      </c>
      <c r="I963" s="696" t="s">
        <v>105</v>
      </c>
      <c r="K963" s="204"/>
      <c r="L963" s="204"/>
    </row>
    <row r="964">
      <c r="A964" s="217"/>
      <c r="B964" s="218"/>
      <c r="C964" s="218"/>
      <c r="D964" s="219" t="s">
        <v>162</v>
      </c>
      <c r="E964" s="219">
        <v>2.0</v>
      </c>
      <c r="F964" s="313"/>
      <c r="G964" s="264"/>
      <c r="H964" s="222" t="s">
        <v>164</v>
      </c>
      <c r="I964" s="223" t="s">
        <v>163</v>
      </c>
      <c r="K964" s="204"/>
      <c r="L964" s="204"/>
    </row>
    <row r="965">
      <c r="A965" s="195" t="s">
        <v>725</v>
      </c>
      <c r="B965" s="412" t="s">
        <v>726</v>
      </c>
      <c r="C965" s="267">
        <f>sum(E965:E969)</f>
        <v>7</v>
      </c>
      <c r="D965" s="238" t="s">
        <v>58</v>
      </c>
      <c r="E965" s="238">
        <v>1.0</v>
      </c>
      <c r="F965" s="238"/>
      <c r="G965" s="238"/>
      <c r="H965" s="241" t="s">
        <v>59</v>
      </c>
      <c r="I965" s="242" t="s">
        <v>43</v>
      </c>
      <c r="K965" s="204"/>
      <c r="L965" s="204"/>
    </row>
    <row r="966">
      <c r="A966" s="205"/>
      <c r="D966" s="209" t="s">
        <v>290</v>
      </c>
      <c r="E966" s="209">
        <v>2.0</v>
      </c>
      <c r="F966" s="215"/>
      <c r="G966" s="216"/>
      <c r="H966" s="212" t="s">
        <v>283</v>
      </c>
      <c r="I966" s="213" t="s">
        <v>65</v>
      </c>
      <c r="K966" s="204"/>
      <c r="L966" s="204"/>
    </row>
    <row r="967">
      <c r="A967" s="205"/>
      <c r="D967" s="209" t="s">
        <v>162</v>
      </c>
      <c r="E967" s="209">
        <v>2.0</v>
      </c>
      <c r="F967" s="243"/>
      <c r="G967" s="211"/>
      <c r="H967" s="212" t="s">
        <v>164</v>
      </c>
      <c r="I967" s="213" t="s">
        <v>163</v>
      </c>
      <c r="K967" s="204"/>
      <c r="L967" s="204"/>
    </row>
    <row r="968">
      <c r="A968" s="205"/>
      <c r="D968" s="308" t="s">
        <v>137</v>
      </c>
      <c r="E968" s="308">
        <v>1.0</v>
      </c>
      <c r="F968" s="80"/>
      <c r="G968" s="86"/>
      <c r="H968" s="309" t="s">
        <v>138</v>
      </c>
      <c r="I968" s="303" t="s">
        <v>105</v>
      </c>
      <c r="K968" s="204"/>
      <c r="L968" s="204"/>
    </row>
    <row r="969">
      <c r="A969" s="217"/>
      <c r="B969" s="218"/>
      <c r="C969" s="218"/>
      <c r="D969" s="219" t="s">
        <v>185</v>
      </c>
      <c r="E969" s="396">
        <v>1.0</v>
      </c>
      <c r="F969" s="342"/>
      <c r="G969" s="397"/>
      <c r="H969" s="398" t="s">
        <v>187</v>
      </c>
      <c r="I969" s="343" t="s">
        <v>186</v>
      </c>
      <c r="K969" s="204"/>
      <c r="L969" s="204"/>
    </row>
    <row r="970">
      <c r="A970" s="236" t="s">
        <v>727</v>
      </c>
      <c r="B970" s="237" t="s">
        <v>459</v>
      </c>
      <c r="C970" s="267">
        <f>sum(E970:E972)</f>
        <v>7</v>
      </c>
      <c r="D970" s="238" t="s">
        <v>330</v>
      </c>
      <c r="E970" s="238">
        <v>2.0</v>
      </c>
      <c r="F970" s="278"/>
      <c r="G970" s="255"/>
      <c r="H970" s="241" t="s">
        <v>331</v>
      </c>
      <c r="I970" s="242" t="s">
        <v>7</v>
      </c>
      <c r="K970" s="204"/>
      <c r="L970" s="204"/>
    </row>
    <row r="971">
      <c r="A971" s="205"/>
      <c r="D971" s="209" t="s">
        <v>64</v>
      </c>
      <c r="E971" s="209">
        <v>3.0</v>
      </c>
      <c r="F971" s="215"/>
      <c r="G971" s="216"/>
      <c r="H971" s="212" t="s">
        <v>283</v>
      </c>
      <c r="I971" s="213" t="s">
        <v>65</v>
      </c>
      <c r="K971" s="204"/>
      <c r="L971" s="204"/>
    </row>
    <row r="972">
      <c r="A972" s="217"/>
      <c r="B972" s="218"/>
      <c r="C972" s="218"/>
      <c r="D972" s="401" t="s">
        <v>182</v>
      </c>
      <c r="E972" s="401">
        <v>2.0</v>
      </c>
      <c r="F972" s="402"/>
      <c r="G972" s="403"/>
      <c r="H972" s="404" t="s">
        <v>183</v>
      </c>
      <c r="I972" s="405" t="s">
        <v>176</v>
      </c>
      <c r="K972" s="204"/>
      <c r="L972" s="204"/>
    </row>
    <row r="973">
      <c r="A973" s="195" t="s">
        <v>728</v>
      </c>
      <c r="B973" s="196" t="s">
        <v>729</v>
      </c>
      <c r="C973" s="267">
        <f>sum(E973:E975)</f>
        <v>7</v>
      </c>
      <c r="D973" s="238" t="s">
        <v>64</v>
      </c>
      <c r="E973" s="238">
        <v>3.0</v>
      </c>
      <c r="F973" s="239"/>
      <c r="G973" s="240"/>
      <c r="H973" s="241" t="s">
        <v>283</v>
      </c>
      <c r="I973" s="242" t="s">
        <v>65</v>
      </c>
      <c r="K973" s="204"/>
      <c r="L973" s="204"/>
    </row>
    <row r="974">
      <c r="A974" s="205"/>
      <c r="D974" s="209" t="s">
        <v>330</v>
      </c>
      <c r="E974" s="209">
        <v>2.0</v>
      </c>
      <c r="F974" s="210"/>
      <c r="G974" s="211"/>
      <c r="H974" s="212" t="s">
        <v>331</v>
      </c>
      <c r="I974" s="213" t="s">
        <v>7</v>
      </c>
      <c r="K974" s="204"/>
      <c r="L974" s="204"/>
    </row>
    <row r="975">
      <c r="A975" s="217"/>
      <c r="B975" s="218"/>
      <c r="C975" s="218"/>
      <c r="D975" s="401" t="s">
        <v>182</v>
      </c>
      <c r="E975" s="401">
        <v>2.0</v>
      </c>
      <c r="F975" s="402"/>
      <c r="G975" s="403"/>
      <c r="H975" s="404" t="s">
        <v>183</v>
      </c>
      <c r="I975" s="405" t="s">
        <v>176</v>
      </c>
      <c r="K975" s="204"/>
      <c r="L975" s="204"/>
    </row>
    <row r="976">
      <c r="A976" s="236" t="s">
        <v>730</v>
      </c>
      <c r="B976" s="412" t="s">
        <v>731</v>
      </c>
      <c r="C976" s="267">
        <f>sum(E976:E978)</f>
        <v>7</v>
      </c>
      <c r="D976" s="697" t="s">
        <v>732</v>
      </c>
      <c r="E976" s="238">
        <v>3.0</v>
      </c>
      <c r="F976" s="278"/>
      <c r="G976" s="255"/>
      <c r="H976" s="698" t="s">
        <v>733</v>
      </c>
      <c r="I976" s="270" t="s">
        <v>65</v>
      </c>
    </row>
    <row r="977">
      <c r="A977" s="205"/>
      <c r="D977" s="227" t="s">
        <v>156</v>
      </c>
      <c r="E977" s="227">
        <v>2.0</v>
      </c>
      <c r="F977" s="233"/>
      <c r="G977" s="233"/>
      <c r="H977" s="234" t="s">
        <v>157</v>
      </c>
      <c r="I977" s="228" t="s">
        <v>144</v>
      </c>
    </row>
    <row r="978">
      <c r="A978" s="217"/>
      <c r="B978" s="218"/>
      <c r="C978" s="218"/>
      <c r="D978" s="219" t="s">
        <v>162</v>
      </c>
      <c r="E978" s="219">
        <v>2.0</v>
      </c>
      <c r="F978" s="313"/>
      <c r="G978" s="264"/>
      <c r="H978" s="222" t="s">
        <v>164</v>
      </c>
      <c r="I978" s="223" t="s">
        <v>163</v>
      </c>
    </row>
    <row r="979">
      <c r="A979" s="195" t="s">
        <v>734</v>
      </c>
      <c r="B979" s="196" t="s">
        <v>735</v>
      </c>
      <c r="C979" s="267">
        <f>sum(E979:E982)</f>
        <v>7</v>
      </c>
      <c r="D979" s="238" t="s">
        <v>11</v>
      </c>
      <c r="E979" s="238">
        <v>2.0</v>
      </c>
      <c r="F979" s="278"/>
      <c r="G979" s="255"/>
      <c r="H979" s="241" t="s">
        <v>348</v>
      </c>
      <c r="I979" s="242" t="s">
        <v>7</v>
      </c>
    </row>
    <row r="980">
      <c r="A980" s="205"/>
      <c r="D980" s="209" t="s">
        <v>147</v>
      </c>
      <c r="E980" s="209">
        <v>3.0</v>
      </c>
      <c r="F980" s="227"/>
      <c r="G980" s="227"/>
      <c r="H980" s="212" t="s">
        <v>145</v>
      </c>
      <c r="I980" s="228" t="s">
        <v>144</v>
      </c>
    </row>
    <row r="981">
      <c r="A981" s="205"/>
      <c r="D981" s="209" t="s">
        <v>185</v>
      </c>
      <c r="E981" s="325">
        <v>1.0</v>
      </c>
      <c r="F981" s="3"/>
      <c r="G981" s="326"/>
      <c r="H981" s="327" t="s">
        <v>187</v>
      </c>
      <c r="I981" s="235" t="s">
        <v>186</v>
      </c>
    </row>
    <row r="982">
      <c r="A982" s="217"/>
      <c r="B982" s="218"/>
      <c r="C982" s="218"/>
      <c r="D982" s="209" t="s">
        <v>284</v>
      </c>
      <c r="E982" s="209">
        <v>1.0</v>
      </c>
      <c r="F982" s="215"/>
      <c r="G982" s="216"/>
      <c r="H982" s="212" t="s">
        <v>115</v>
      </c>
      <c r="I982" s="213" t="s">
        <v>105</v>
      </c>
    </row>
    <row r="983">
      <c r="A983" s="195" t="s">
        <v>736</v>
      </c>
      <c r="B983" s="412" t="s">
        <v>737</v>
      </c>
      <c r="C983" s="267">
        <f>sum(E983:E985)</f>
        <v>7</v>
      </c>
      <c r="D983" s="699" t="s">
        <v>52</v>
      </c>
      <c r="E983" s="699">
        <v>2.0</v>
      </c>
      <c r="F983" s="700"/>
      <c r="G983" s="701"/>
      <c r="H983" s="702" t="s">
        <v>53</v>
      </c>
      <c r="I983" s="703" t="s">
        <v>43</v>
      </c>
    </row>
    <row r="984">
      <c r="A984" s="205"/>
      <c r="D984" s="209" t="s">
        <v>290</v>
      </c>
      <c r="E984" s="209">
        <v>2.0</v>
      </c>
      <c r="F984" s="215"/>
      <c r="G984" s="216"/>
      <c r="H984" s="212" t="s">
        <v>283</v>
      </c>
      <c r="I984" s="213" t="s">
        <v>65</v>
      </c>
    </row>
    <row r="985">
      <c r="A985" s="217"/>
      <c r="B985" s="218"/>
      <c r="C985" s="218"/>
      <c r="D985" s="219" t="s">
        <v>175</v>
      </c>
      <c r="E985" s="219">
        <v>3.0</v>
      </c>
      <c r="F985" s="264"/>
      <c r="G985" s="264"/>
      <c r="H985" s="222" t="s">
        <v>289</v>
      </c>
      <c r="I985" s="223" t="s">
        <v>176</v>
      </c>
    </row>
    <row r="986">
      <c r="A986" s="704" t="s">
        <v>738</v>
      </c>
      <c r="B986" s="218"/>
      <c r="C986" s="218"/>
      <c r="D986" s="218"/>
      <c r="E986" s="218"/>
      <c r="F986" s="218"/>
      <c r="G986" s="218"/>
      <c r="H986" s="705"/>
      <c r="I986" s="706"/>
      <c r="K986" s="204"/>
      <c r="L986" s="204"/>
    </row>
    <row r="987">
      <c r="A987" s="195" t="s">
        <v>739</v>
      </c>
      <c r="B987" s="277" t="s">
        <v>740</v>
      </c>
      <c r="C987" s="276">
        <f>sum(E987:E988)</f>
        <v>6</v>
      </c>
      <c r="D987" s="209" t="s">
        <v>143</v>
      </c>
      <c r="E987" s="209">
        <v>5.0</v>
      </c>
      <c r="F987" s="227"/>
      <c r="G987" s="227"/>
      <c r="H987" s="212" t="s">
        <v>145</v>
      </c>
      <c r="I987" s="324" t="s">
        <v>144</v>
      </c>
      <c r="K987" s="204"/>
      <c r="L987" s="204"/>
    </row>
    <row r="988">
      <c r="A988" s="217"/>
      <c r="B988" s="218"/>
      <c r="C988" s="218"/>
      <c r="D988" s="219" t="s">
        <v>284</v>
      </c>
      <c r="E988" s="219">
        <v>1.0</v>
      </c>
      <c r="F988" s="220"/>
      <c r="G988" s="221"/>
      <c r="H988" s="222" t="s">
        <v>115</v>
      </c>
      <c r="I988" s="213" t="s">
        <v>105</v>
      </c>
      <c r="K988" s="204"/>
      <c r="L988" s="204"/>
    </row>
    <row r="989">
      <c r="A989" s="707" t="s">
        <v>741</v>
      </c>
      <c r="B989" s="312" t="s">
        <v>397</v>
      </c>
      <c r="C989" s="276">
        <f>sum(E989:E991)</f>
        <v>6</v>
      </c>
      <c r="D989" s="209" t="s">
        <v>17</v>
      </c>
      <c r="E989" s="209">
        <v>2.0</v>
      </c>
      <c r="F989" s="210"/>
      <c r="G989" s="211"/>
      <c r="H989" s="354" t="s">
        <v>321</v>
      </c>
      <c r="I989" s="242" t="s">
        <v>7</v>
      </c>
      <c r="K989" s="204"/>
      <c r="L989" s="204"/>
    </row>
    <row r="990">
      <c r="A990" s="205"/>
      <c r="D990" s="209" t="s">
        <v>147</v>
      </c>
      <c r="E990" s="209">
        <v>3.0</v>
      </c>
      <c r="F990" s="227"/>
      <c r="G990" s="227"/>
      <c r="H990" s="212" t="s">
        <v>145</v>
      </c>
      <c r="I990" s="228" t="s">
        <v>144</v>
      </c>
      <c r="K990" s="204"/>
      <c r="L990" s="204"/>
    </row>
    <row r="991">
      <c r="A991" s="217"/>
      <c r="B991" s="218"/>
      <c r="C991" s="218"/>
      <c r="D991" s="219" t="s">
        <v>284</v>
      </c>
      <c r="E991" s="219">
        <v>1.0</v>
      </c>
      <c r="F991" s="220"/>
      <c r="G991" s="221"/>
      <c r="H991" s="222" t="s">
        <v>115</v>
      </c>
      <c r="I991" s="223" t="s">
        <v>105</v>
      </c>
      <c r="K991" s="204"/>
      <c r="L991" s="204"/>
    </row>
    <row r="992">
      <c r="A992" s="254" t="s">
        <v>742</v>
      </c>
      <c r="B992" s="277" t="s">
        <v>635</v>
      </c>
      <c r="C992" s="708">
        <f>sum(E992:E996)</f>
        <v>6</v>
      </c>
      <c r="D992" s="238" t="s">
        <v>284</v>
      </c>
      <c r="E992" s="238">
        <v>1.0</v>
      </c>
      <c r="F992" s="709"/>
      <c r="G992" s="710"/>
      <c r="H992" s="531" t="s">
        <v>115</v>
      </c>
      <c r="I992" s="242" t="s">
        <v>105</v>
      </c>
      <c r="K992" s="204"/>
      <c r="L992" s="204"/>
    </row>
    <row r="993">
      <c r="A993" s="205"/>
      <c r="D993" s="209" t="s">
        <v>117</v>
      </c>
      <c r="E993" s="209">
        <v>1.0</v>
      </c>
      <c r="F993" s="711"/>
      <c r="G993" s="711"/>
      <c r="H993" s="360" t="s">
        <v>322</v>
      </c>
      <c r="I993" s="213" t="s">
        <v>105</v>
      </c>
      <c r="K993" s="204"/>
      <c r="L993" s="204"/>
    </row>
    <row r="994">
      <c r="A994" s="205"/>
      <c r="D994" s="308" t="s">
        <v>123</v>
      </c>
      <c r="E994" s="308">
        <v>1.0</v>
      </c>
      <c r="F994" s="712"/>
      <c r="G994" s="86"/>
      <c r="H994" s="309" t="s">
        <v>124</v>
      </c>
      <c r="I994" s="303" t="s">
        <v>105</v>
      </c>
      <c r="K994" s="204"/>
      <c r="L994" s="204"/>
    </row>
    <row r="995">
      <c r="A995" s="205"/>
      <c r="D995" s="248" t="s">
        <v>82</v>
      </c>
      <c r="E995" s="248">
        <v>1.0</v>
      </c>
      <c r="F995" s="422"/>
      <c r="G995" s="55" t="s">
        <v>83</v>
      </c>
      <c r="H995" s="249" t="s">
        <v>83</v>
      </c>
      <c r="I995" s="250" t="s">
        <v>65</v>
      </c>
      <c r="K995" s="204"/>
      <c r="L995" s="204"/>
    </row>
    <row r="996">
      <c r="A996" s="217"/>
      <c r="B996" s="218"/>
      <c r="C996" s="218"/>
      <c r="D996" s="209" t="s">
        <v>162</v>
      </c>
      <c r="E996" s="209">
        <v>2.0</v>
      </c>
      <c r="F996" s="713"/>
      <c r="G996" s="711"/>
      <c r="H996" s="360" t="s">
        <v>164</v>
      </c>
      <c r="I996" s="213" t="s">
        <v>163</v>
      </c>
      <c r="K996" s="204"/>
      <c r="L996" s="204"/>
    </row>
    <row r="997">
      <c r="A997" s="195" t="s">
        <v>743</v>
      </c>
      <c r="B997" s="196" t="s">
        <v>744</v>
      </c>
      <c r="C997" s="197">
        <f>sum(E997:E1000)</f>
        <v>6</v>
      </c>
      <c r="D997" s="238" t="s">
        <v>131</v>
      </c>
      <c r="E997" s="238">
        <v>1.0</v>
      </c>
      <c r="F997" s="353"/>
      <c r="G997" s="353"/>
      <c r="H997" s="241" t="s">
        <v>132</v>
      </c>
      <c r="I997" s="242" t="s">
        <v>105</v>
      </c>
      <c r="K997" s="204"/>
      <c r="L997" s="204"/>
    </row>
    <row r="998">
      <c r="A998" s="205"/>
      <c r="D998" s="209" t="s">
        <v>447</v>
      </c>
      <c r="E998" s="209">
        <v>2.0</v>
      </c>
      <c r="F998" s="215"/>
      <c r="G998" s="216"/>
      <c r="H998" s="212" t="s">
        <v>283</v>
      </c>
      <c r="I998" s="213" t="s">
        <v>65</v>
      </c>
      <c r="K998" s="204"/>
      <c r="L998" s="204"/>
    </row>
    <row r="999">
      <c r="A999" s="205"/>
      <c r="D999" s="209" t="s">
        <v>284</v>
      </c>
      <c r="E999" s="209">
        <v>1.0</v>
      </c>
      <c r="F999" s="215"/>
      <c r="G999" s="216"/>
      <c r="H999" s="212" t="s">
        <v>115</v>
      </c>
      <c r="I999" s="213" t="s">
        <v>105</v>
      </c>
      <c r="K999" s="204"/>
      <c r="L999" s="204"/>
    </row>
    <row r="1000">
      <c r="A1000" s="217"/>
      <c r="B1000" s="218"/>
      <c r="C1000" s="218"/>
      <c r="D1000" s="219" t="s">
        <v>162</v>
      </c>
      <c r="E1000" s="219">
        <v>2.0</v>
      </c>
      <c r="F1000" s="313"/>
      <c r="G1000" s="264"/>
      <c r="H1000" s="222" t="s">
        <v>164</v>
      </c>
      <c r="I1000" s="223" t="s">
        <v>163</v>
      </c>
      <c r="K1000" s="204"/>
      <c r="L1000" s="204"/>
    </row>
    <row r="1001">
      <c r="A1001" s="714" t="s">
        <v>745</v>
      </c>
      <c r="B1001" s="423" t="s">
        <v>746</v>
      </c>
      <c r="C1001" s="276">
        <f>sum(E1001:E1003)</f>
        <v>6</v>
      </c>
      <c r="D1001" s="227" t="s">
        <v>97</v>
      </c>
      <c r="E1001" s="227">
        <v>2.0</v>
      </c>
      <c r="F1001" s="233"/>
      <c r="G1001" s="233"/>
      <c r="H1001" s="234" t="s">
        <v>99</v>
      </c>
      <c r="I1001" s="213" t="s">
        <v>98</v>
      </c>
      <c r="K1001" s="204"/>
      <c r="L1001" s="204"/>
    </row>
    <row r="1002">
      <c r="A1002" s="205"/>
      <c r="D1002" s="209" t="s">
        <v>275</v>
      </c>
      <c r="E1002" s="209">
        <v>2.0</v>
      </c>
      <c r="F1002" s="210"/>
      <c r="G1002" s="211"/>
      <c r="H1002" s="316"/>
      <c r="I1002" s="213" t="s">
        <v>176</v>
      </c>
      <c r="K1002" s="204"/>
      <c r="L1002" s="204"/>
    </row>
    <row r="1003">
      <c r="A1003" s="217"/>
      <c r="B1003" s="218"/>
      <c r="C1003" s="218"/>
      <c r="D1003" s="219" t="s">
        <v>162</v>
      </c>
      <c r="E1003" s="219">
        <v>2.0</v>
      </c>
      <c r="F1003" s="313"/>
      <c r="G1003" s="264"/>
      <c r="H1003" s="222" t="s">
        <v>164</v>
      </c>
      <c r="I1003" s="223" t="s">
        <v>163</v>
      </c>
      <c r="K1003" s="204"/>
      <c r="L1003" s="204"/>
    </row>
    <row r="1004">
      <c r="A1004" s="314" t="s">
        <v>747</v>
      </c>
      <c r="B1004" s="277" t="s">
        <v>748</v>
      </c>
      <c r="C1004" s="197">
        <f>sum(E1004:E1006)</f>
        <v>6</v>
      </c>
      <c r="D1004" s="238" t="s">
        <v>153</v>
      </c>
      <c r="E1004" s="238">
        <v>2.0</v>
      </c>
      <c r="F1004" s="321"/>
      <c r="G1004" s="255"/>
      <c r="H1004" s="241" t="s">
        <v>154</v>
      </c>
      <c r="I1004" s="324" t="s">
        <v>144</v>
      </c>
      <c r="K1004" s="204"/>
      <c r="L1004" s="204"/>
    </row>
    <row r="1005">
      <c r="A1005" s="205"/>
      <c r="D1005" s="209" t="s">
        <v>162</v>
      </c>
      <c r="E1005" s="209">
        <v>2.0</v>
      </c>
      <c r="F1005" s="243"/>
      <c r="G1005" s="211"/>
      <c r="H1005" s="212" t="s">
        <v>164</v>
      </c>
      <c r="I1005" s="213" t="s">
        <v>163</v>
      </c>
      <c r="K1005" s="204"/>
      <c r="L1005" s="204"/>
    </row>
    <row r="1006">
      <c r="A1006" s="217"/>
      <c r="B1006" s="218"/>
      <c r="C1006" s="218"/>
      <c r="D1006" s="219" t="s">
        <v>19</v>
      </c>
      <c r="E1006" s="219">
        <v>2.0</v>
      </c>
      <c r="F1006" s="263"/>
      <c r="G1006" s="264"/>
      <c r="H1006" s="222" t="s">
        <v>20</v>
      </c>
      <c r="I1006" s="223" t="s">
        <v>7</v>
      </c>
      <c r="K1006" s="204"/>
      <c r="L1006" s="204"/>
    </row>
    <row r="1007">
      <c r="A1007" s="314" t="s">
        <v>749</v>
      </c>
      <c r="B1007" s="277" t="s">
        <v>750</v>
      </c>
      <c r="C1007" s="197">
        <f>sum(E1007:E1009)</f>
        <v>6</v>
      </c>
      <c r="D1007" s="238" t="s">
        <v>162</v>
      </c>
      <c r="E1007" s="238">
        <v>2.0</v>
      </c>
      <c r="F1007" s="321"/>
      <c r="G1007" s="255"/>
      <c r="H1007" s="241" t="s">
        <v>164</v>
      </c>
      <c r="I1007" s="242" t="s">
        <v>163</v>
      </c>
      <c r="K1007" s="204"/>
      <c r="L1007" s="204"/>
    </row>
    <row r="1008">
      <c r="A1008" s="205"/>
      <c r="D1008" s="209" t="s">
        <v>17</v>
      </c>
      <c r="E1008" s="209">
        <v>1.0</v>
      </c>
      <c r="F1008" s="210"/>
      <c r="G1008" s="211"/>
      <c r="H1008" s="212" t="s">
        <v>321</v>
      </c>
      <c r="I1008" s="213" t="s">
        <v>7</v>
      </c>
      <c r="K1008" s="204"/>
      <c r="L1008" s="204"/>
    </row>
    <row r="1009">
      <c r="A1009" s="217"/>
      <c r="B1009" s="218"/>
      <c r="C1009" s="218"/>
      <c r="D1009" s="219" t="s">
        <v>405</v>
      </c>
      <c r="E1009" s="219">
        <v>3.0</v>
      </c>
      <c r="F1009" s="263"/>
      <c r="G1009" s="264"/>
      <c r="H1009" s="222" t="s">
        <v>31</v>
      </c>
      <c r="I1009" s="430" t="s">
        <v>30</v>
      </c>
      <c r="K1009" s="204"/>
      <c r="L1009" s="204"/>
    </row>
    <row r="1010">
      <c r="A1010" s="676" t="s">
        <v>751</v>
      </c>
      <c r="B1010" s="423" t="s">
        <v>752</v>
      </c>
      <c r="C1010" s="276">
        <f>sum(E1010:E1012)</f>
        <v>6</v>
      </c>
      <c r="D1010" s="209" t="s">
        <v>162</v>
      </c>
      <c r="E1010" s="209">
        <v>2.0</v>
      </c>
      <c r="F1010" s="243"/>
      <c r="G1010" s="211"/>
      <c r="H1010" s="212" t="s">
        <v>164</v>
      </c>
      <c r="I1010" s="213" t="s">
        <v>163</v>
      </c>
      <c r="K1010" s="204"/>
      <c r="L1010" s="204"/>
    </row>
    <row r="1011">
      <c r="A1011" s="205"/>
      <c r="D1011" s="209" t="s">
        <v>330</v>
      </c>
      <c r="E1011" s="209">
        <v>2.0</v>
      </c>
      <c r="F1011" s="210"/>
      <c r="G1011" s="211"/>
      <c r="H1011" s="212" t="s">
        <v>331</v>
      </c>
      <c r="I1011" s="213" t="s">
        <v>7</v>
      </c>
      <c r="K1011" s="204"/>
      <c r="L1011" s="204"/>
    </row>
    <row r="1012">
      <c r="A1012" s="217"/>
      <c r="B1012" s="218"/>
      <c r="C1012" s="218"/>
      <c r="D1012" s="252" t="s">
        <v>97</v>
      </c>
      <c r="E1012" s="252">
        <v>2.0</v>
      </c>
      <c r="F1012" s="319"/>
      <c r="G1012" s="319"/>
      <c r="H1012" s="320" t="s">
        <v>99</v>
      </c>
      <c r="I1012" s="223" t="s">
        <v>98</v>
      </c>
      <c r="K1012" s="204"/>
      <c r="L1012" s="204"/>
    </row>
    <row r="1013">
      <c r="A1013" s="195" t="s">
        <v>753</v>
      </c>
      <c r="B1013" s="277" t="s">
        <v>754</v>
      </c>
      <c r="C1013" s="197">
        <f>sum(E1013:E1014)</f>
        <v>6</v>
      </c>
      <c r="D1013" s="238" t="s">
        <v>755</v>
      </c>
      <c r="E1013" s="238">
        <v>2.0</v>
      </c>
      <c r="F1013" s="278"/>
      <c r="G1013" s="255"/>
      <c r="H1013" s="241" t="s">
        <v>756</v>
      </c>
      <c r="I1013" s="374" t="s">
        <v>30</v>
      </c>
      <c r="K1013" s="204"/>
      <c r="L1013" s="204"/>
    </row>
    <row r="1014">
      <c r="A1014" s="217"/>
      <c r="B1014" s="218"/>
      <c r="C1014" s="218"/>
      <c r="D1014" s="219" t="s">
        <v>757</v>
      </c>
      <c r="E1014" s="219">
        <v>4.0</v>
      </c>
      <c r="F1014" s="263"/>
      <c r="G1014" s="264"/>
      <c r="H1014" s="222" t="s">
        <v>758</v>
      </c>
      <c r="I1014" s="223" t="s">
        <v>7</v>
      </c>
      <c r="K1014" s="204"/>
      <c r="L1014" s="204"/>
    </row>
    <row r="1015">
      <c r="A1015" s="236" t="s">
        <v>759</v>
      </c>
      <c r="B1015" s="237" t="s">
        <v>760</v>
      </c>
      <c r="C1015" s="197">
        <f>sum(E1015:E1017)</f>
        <v>6</v>
      </c>
      <c r="D1015" s="238" t="s">
        <v>159</v>
      </c>
      <c r="E1015" s="238">
        <v>1.0</v>
      </c>
      <c r="F1015" s="280"/>
      <c r="G1015" s="280"/>
      <c r="H1015" s="241" t="s">
        <v>160</v>
      </c>
      <c r="I1015" s="324" t="s">
        <v>144</v>
      </c>
      <c r="K1015" s="204"/>
      <c r="L1015" s="204"/>
    </row>
    <row r="1016">
      <c r="A1016" s="205"/>
      <c r="D1016" s="209" t="s">
        <v>175</v>
      </c>
      <c r="E1016" s="209">
        <v>3.0</v>
      </c>
      <c r="F1016" s="211"/>
      <c r="G1016" s="211"/>
      <c r="H1016" s="212" t="s">
        <v>289</v>
      </c>
      <c r="I1016" s="213" t="s">
        <v>176</v>
      </c>
      <c r="K1016" s="204"/>
      <c r="L1016" s="204"/>
    </row>
    <row r="1017">
      <c r="A1017" s="217"/>
      <c r="B1017" s="218"/>
      <c r="C1017" s="218"/>
      <c r="D1017" s="252" t="s">
        <v>97</v>
      </c>
      <c r="E1017" s="252">
        <v>2.0</v>
      </c>
      <c r="F1017" s="319"/>
      <c r="G1017" s="319"/>
      <c r="H1017" s="320" t="s">
        <v>99</v>
      </c>
      <c r="I1017" s="223" t="s">
        <v>98</v>
      </c>
      <c r="K1017" s="204"/>
      <c r="L1017" s="204"/>
    </row>
    <row r="1018">
      <c r="A1018" s="254" t="s">
        <v>761</v>
      </c>
      <c r="B1018" s="237" t="s">
        <v>762</v>
      </c>
      <c r="C1018" s="197">
        <f>sum(E1018:E1020)</f>
        <v>6</v>
      </c>
      <c r="D1018" s="238" t="s">
        <v>166</v>
      </c>
      <c r="E1018" s="238">
        <v>2.0</v>
      </c>
      <c r="F1018" s="278"/>
      <c r="G1018" s="255"/>
      <c r="H1018" s="241" t="s">
        <v>167</v>
      </c>
      <c r="I1018" s="242" t="s">
        <v>163</v>
      </c>
      <c r="K1018" s="204"/>
      <c r="L1018" s="204"/>
    </row>
    <row r="1019">
      <c r="A1019" s="205"/>
      <c r="D1019" s="209" t="s">
        <v>49</v>
      </c>
      <c r="E1019" s="209">
        <v>2.0</v>
      </c>
      <c r="F1019" s="210"/>
      <c r="G1019" s="211"/>
      <c r="H1019" s="212" t="s">
        <v>50</v>
      </c>
      <c r="I1019" s="213" t="s">
        <v>43</v>
      </c>
      <c r="K1019" s="204"/>
      <c r="L1019" s="204"/>
    </row>
    <row r="1020">
      <c r="A1020" s="217"/>
      <c r="B1020" s="218"/>
      <c r="C1020" s="218"/>
      <c r="D1020" s="219" t="s">
        <v>79</v>
      </c>
      <c r="E1020" s="219">
        <v>2.0</v>
      </c>
      <c r="F1020" s="264"/>
      <c r="G1020" s="264"/>
      <c r="H1020" s="222" t="s">
        <v>80</v>
      </c>
      <c r="I1020" s="223" t="s">
        <v>65</v>
      </c>
      <c r="K1020" s="204"/>
      <c r="L1020" s="204"/>
    </row>
    <row r="1021">
      <c r="A1021" s="195" t="s">
        <v>621</v>
      </c>
      <c r="B1021" s="277" t="s">
        <v>763</v>
      </c>
      <c r="C1021" s="197">
        <f>sum(E1021:E1023)</f>
        <v>6</v>
      </c>
      <c r="D1021" s="238" t="s">
        <v>147</v>
      </c>
      <c r="E1021" s="238">
        <v>3.0</v>
      </c>
      <c r="F1021" s="280"/>
      <c r="G1021" s="280"/>
      <c r="H1021" s="241" t="s">
        <v>145</v>
      </c>
      <c r="I1021" s="324" t="s">
        <v>144</v>
      </c>
      <c r="K1021" s="204"/>
      <c r="L1021" s="204"/>
    </row>
    <row r="1022">
      <c r="A1022" s="205"/>
      <c r="D1022" s="209" t="s">
        <v>162</v>
      </c>
      <c r="E1022" s="209">
        <v>2.0</v>
      </c>
      <c r="F1022" s="243"/>
      <c r="G1022" s="211"/>
      <c r="H1022" s="212" t="s">
        <v>164</v>
      </c>
      <c r="I1022" s="213" t="s">
        <v>163</v>
      </c>
      <c r="K1022" s="204"/>
      <c r="L1022" s="204"/>
    </row>
    <row r="1023">
      <c r="A1023" s="217"/>
      <c r="B1023" s="218"/>
      <c r="C1023" s="218"/>
      <c r="D1023" s="252" t="s">
        <v>61</v>
      </c>
      <c r="E1023" s="252">
        <v>1.0</v>
      </c>
      <c r="F1023" s="319"/>
      <c r="G1023" s="319"/>
      <c r="H1023" s="320" t="s">
        <v>62</v>
      </c>
      <c r="I1023" s="223" t="s">
        <v>43</v>
      </c>
      <c r="K1023" s="204"/>
      <c r="L1023" s="204"/>
    </row>
    <row r="1024">
      <c r="A1024" s="254" t="s">
        <v>764</v>
      </c>
      <c r="B1024" s="447" t="s">
        <v>765</v>
      </c>
      <c r="C1024" s="197">
        <f>sum(E1024:E1026)</f>
        <v>6</v>
      </c>
      <c r="D1024" s="238" t="s">
        <v>162</v>
      </c>
      <c r="E1024" s="238">
        <v>2.0</v>
      </c>
      <c r="F1024" s="321"/>
      <c r="G1024" s="255"/>
      <c r="H1024" s="241" t="s">
        <v>164</v>
      </c>
      <c r="I1024" s="242" t="s">
        <v>163</v>
      </c>
      <c r="K1024" s="204"/>
      <c r="L1024" s="204"/>
    </row>
    <row r="1025">
      <c r="A1025" s="205"/>
      <c r="D1025" s="209" t="s">
        <v>64</v>
      </c>
      <c r="E1025" s="209">
        <v>3.0</v>
      </c>
      <c r="F1025" s="215"/>
      <c r="G1025" s="216"/>
      <c r="H1025" s="212" t="s">
        <v>283</v>
      </c>
      <c r="I1025" s="213" t="s">
        <v>65</v>
      </c>
      <c r="K1025" s="204"/>
      <c r="L1025" s="204"/>
    </row>
    <row r="1026">
      <c r="A1026" s="217"/>
      <c r="B1026" s="218"/>
      <c r="C1026" s="218"/>
      <c r="D1026" s="252" t="s">
        <v>61</v>
      </c>
      <c r="E1026" s="252">
        <v>1.0</v>
      </c>
      <c r="F1026" s="319"/>
      <c r="G1026" s="319"/>
      <c r="H1026" s="320" t="s">
        <v>62</v>
      </c>
      <c r="I1026" s="223" t="s">
        <v>43</v>
      </c>
      <c r="K1026" s="204"/>
      <c r="L1026" s="204"/>
    </row>
    <row r="1027">
      <c r="A1027" s="715" t="s">
        <v>766</v>
      </c>
      <c r="B1027" s="277" t="s">
        <v>767</v>
      </c>
      <c r="C1027" s="197">
        <f>sum(E1027:E1029)</f>
        <v>6</v>
      </c>
      <c r="D1027" s="238" t="s">
        <v>55</v>
      </c>
      <c r="E1027" s="238">
        <v>1.0</v>
      </c>
      <c r="F1027" s="255"/>
      <c r="G1027" s="255"/>
      <c r="H1027" s="241" t="s">
        <v>56</v>
      </c>
      <c r="I1027" s="242" t="s">
        <v>43</v>
      </c>
      <c r="K1027" s="204"/>
      <c r="L1027" s="204"/>
    </row>
    <row r="1028">
      <c r="A1028" s="205"/>
      <c r="D1028" s="209" t="s">
        <v>64</v>
      </c>
      <c r="E1028" s="209">
        <v>3.0</v>
      </c>
      <c r="F1028" s="215"/>
      <c r="G1028" s="216"/>
      <c r="H1028" s="212" t="s">
        <v>283</v>
      </c>
      <c r="I1028" s="213" t="s">
        <v>65</v>
      </c>
      <c r="K1028" s="204"/>
      <c r="L1028" s="204"/>
    </row>
    <row r="1029">
      <c r="A1029" s="217"/>
      <c r="B1029" s="218"/>
      <c r="C1029" s="218"/>
      <c r="D1029" s="219" t="s">
        <v>166</v>
      </c>
      <c r="E1029" s="219">
        <v>2.0</v>
      </c>
      <c r="F1029" s="263"/>
      <c r="G1029" s="264"/>
      <c r="H1029" s="222" t="s">
        <v>167</v>
      </c>
      <c r="I1029" s="213" t="s">
        <v>163</v>
      </c>
      <c r="K1029" s="204"/>
      <c r="L1029" s="204"/>
    </row>
    <row r="1030">
      <c r="A1030" s="314" t="s">
        <v>768</v>
      </c>
      <c r="B1030" s="196" t="s">
        <v>335</v>
      </c>
      <c r="C1030" s="197">
        <f>sum(E1030:E1032)</f>
        <v>6</v>
      </c>
      <c r="D1030" s="238" t="s">
        <v>166</v>
      </c>
      <c r="E1030" s="238">
        <v>2.0</v>
      </c>
      <c r="F1030" s="278"/>
      <c r="G1030" s="255"/>
      <c r="H1030" s="241" t="s">
        <v>167</v>
      </c>
      <c r="I1030" s="242" t="s">
        <v>163</v>
      </c>
      <c r="K1030" s="204"/>
      <c r="L1030" s="204"/>
    </row>
    <row r="1031">
      <c r="A1031" s="205"/>
      <c r="D1031" s="209" t="s">
        <v>159</v>
      </c>
      <c r="E1031" s="209">
        <v>1.0</v>
      </c>
      <c r="F1031" s="227"/>
      <c r="G1031" s="227"/>
      <c r="H1031" s="212" t="s">
        <v>160</v>
      </c>
      <c r="I1031" s="228" t="s">
        <v>144</v>
      </c>
      <c r="K1031" s="204"/>
      <c r="L1031" s="204"/>
    </row>
    <row r="1032">
      <c r="A1032" s="217"/>
      <c r="B1032" s="218"/>
      <c r="C1032" s="218"/>
      <c r="D1032" s="219" t="s">
        <v>64</v>
      </c>
      <c r="E1032" s="219">
        <v>3.0</v>
      </c>
      <c r="F1032" s="220"/>
      <c r="G1032" s="221"/>
      <c r="H1032" s="222" t="s">
        <v>283</v>
      </c>
      <c r="I1032" s="223" t="s">
        <v>65</v>
      </c>
      <c r="K1032" s="204"/>
      <c r="L1032" s="204"/>
    </row>
    <row r="1033">
      <c r="A1033" s="715" t="s">
        <v>769</v>
      </c>
      <c r="B1033" s="447" t="s">
        <v>770</v>
      </c>
      <c r="C1033" s="197">
        <f>sum(E1033:E1035)</f>
        <v>6</v>
      </c>
      <c r="D1033" s="238" t="s">
        <v>79</v>
      </c>
      <c r="E1033" s="238">
        <v>2.0</v>
      </c>
      <c r="F1033" s="255"/>
      <c r="G1033" s="255"/>
      <c r="H1033" s="241" t="s">
        <v>80</v>
      </c>
      <c r="I1033" s="242" t="s">
        <v>65</v>
      </c>
      <c r="K1033" s="204"/>
      <c r="L1033" s="204"/>
    </row>
    <row r="1034">
      <c r="A1034" s="205"/>
      <c r="D1034" s="227" t="s">
        <v>97</v>
      </c>
      <c r="E1034" s="227">
        <v>2.0</v>
      </c>
      <c r="F1034" s="233"/>
      <c r="G1034" s="233"/>
      <c r="H1034" s="234" t="s">
        <v>99</v>
      </c>
      <c r="I1034" s="213" t="s">
        <v>98</v>
      </c>
      <c r="K1034" s="204"/>
      <c r="L1034" s="204"/>
    </row>
    <row r="1035">
      <c r="A1035" s="217"/>
      <c r="B1035" s="218"/>
      <c r="C1035" s="218"/>
      <c r="D1035" s="219" t="s">
        <v>162</v>
      </c>
      <c r="E1035" s="219">
        <v>2.0</v>
      </c>
      <c r="F1035" s="313"/>
      <c r="G1035" s="264"/>
      <c r="H1035" s="222" t="s">
        <v>164</v>
      </c>
      <c r="I1035" s="223" t="s">
        <v>163</v>
      </c>
      <c r="K1035" s="204"/>
      <c r="L1035" s="204"/>
    </row>
    <row r="1036">
      <c r="A1036" s="236" t="s">
        <v>771</v>
      </c>
      <c r="B1036" s="237" t="s">
        <v>772</v>
      </c>
      <c r="C1036" s="197">
        <f>sum(E1036:E1039)</f>
        <v>6</v>
      </c>
      <c r="D1036" s="238" t="s">
        <v>330</v>
      </c>
      <c r="E1036" s="238">
        <v>2.0</v>
      </c>
      <c r="F1036" s="278"/>
      <c r="G1036" s="255"/>
      <c r="H1036" s="241" t="s">
        <v>331</v>
      </c>
      <c r="I1036" s="242" t="s">
        <v>7</v>
      </c>
      <c r="K1036" s="204"/>
      <c r="L1036" s="204"/>
    </row>
    <row r="1037">
      <c r="A1037" s="205"/>
      <c r="D1037" s="209" t="s">
        <v>773</v>
      </c>
      <c r="E1037" s="209">
        <v>3.0</v>
      </c>
      <c r="F1037" s="215"/>
      <c r="G1037" s="216"/>
      <c r="H1037" s="212" t="s">
        <v>774</v>
      </c>
      <c r="I1037" s="213" t="s">
        <v>176</v>
      </c>
      <c r="K1037" s="204"/>
      <c r="L1037" s="204"/>
    </row>
    <row r="1038">
      <c r="A1038" s="205"/>
      <c r="D1038" s="209" t="s">
        <v>775</v>
      </c>
      <c r="E1038" s="209">
        <v>0.0</v>
      </c>
      <c r="F1038" s="243"/>
      <c r="G1038" s="211"/>
      <c r="H1038" s="212" t="s">
        <v>776</v>
      </c>
      <c r="I1038" s="213" t="s">
        <v>105</v>
      </c>
      <c r="K1038" s="204"/>
      <c r="L1038" s="204"/>
    </row>
    <row r="1039">
      <c r="A1039" s="217"/>
      <c r="B1039" s="218"/>
      <c r="C1039" s="218"/>
      <c r="D1039" s="209" t="s">
        <v>777</v>
      </c>
      <c r="E1039" s="209">
        <v>1.0</v>
      </c>
      <c r="F1039" s="243"/>
      <c r="G1039" s="211"/>
      <c r="H1039" s="212" t="s">
        <v>778</v>
      </c>
      <c r="I1039" s="213" t="s">
        <v>163</v>
      </c>
      <c r="K1039" s="204"/>
      <c r="L1039" s="204"/>
    </row>
    <row r="1040">
      <c r="A1040" s="236" t="s">
        <v>779</v>
      </c>
      <c r="B1040" s="237" t="s">
        <v>780</v>
      </c>
      <c r="C1040" s="197">
        <f>sum(E1040:E1042)</f>
        <v>6</v>
      </c>
      <c r="D1040" s="238" t="s">
        <v>17</v>
      </c>
      <c r="E1040" s="238">
        <v>2.0</v>
      </c>
      <c r="F1040" s="278"/>
      <c r="G1040" s="255"/>
      <c r="H1040" s="298" t="s">
        <v>321</v>
      </c>
      <c r="I1040" s="242" t="s">
        <v>7</v>
      </c>
      <c r="K1040" s="204"/>
      <c r="L1040" s="204"/>
    </row>
    <row r="1041">
      <c r="A1041" s="205"/>
      <c r="D1041" s="209" t="s">
        <v>781</v>
      </c>
      <c r="E1041" s="209">
        <v>3.0</v>
      </c>
      <c r="F1041" s="243"/>
      <c r="G1041" s="211"/>
      <c r="H1041" s="212" t="s">
        <v>782</v>
      </c>
      <c r="I1041" s="213" t="s">
        <v>23</v>
      </c>
      <c r="K1041" s="204"/>
      <c r="L1041" s="204"/>
    </row>
    <row r="1042">
      <c r="A1042" s="217"/>
      <c r="B1042" s="218"/>
      <c r="C1042" s="218"/>
      <c r="D1042" s="219" t="s">
        <v>140</v>
      </c>
      <c r="E1042" s="219">
        <v>1.0</v>
      </c>
      <c r="F1042" s="264"/>
      <c r="G1042" s="264"/>
      <c r="H1042" s="222" t="s">
        <v>141</v>
      </c>
      <c r="I1042" s="223" t="s">
        <v>105</v>
      </c>
      <c r="K1042" s="204"/>
      <c r="L1042" s="204"/>
    </row>
    <row r="1043">
      <c r="A1043" s="714" t="s">
        <v>783</v>
      </c>
      <c r="B1043" s="225" t="s">
        <v>784</v>
      </c>
      <c r="C1043" s="276">
        <f>sum(E1043:E1046)</f>
        <v>6</v>
      </c>
      <c r="D1043" s="209" t="s">
        <v>22</v>
      </c>
      <c r="E1043" s="209">
        <v>2.0</v>
      </c>
      <c r="F1043" s="299"/>
      <c r="G1043" s="300"/>
      <c r="H1043" s="212" t="s">
        <v>307</v>
      </c>
      <c r="I1043" s="213" t="s">
        <v>23</v>
      </c>
      <c r="K1043" s="204"/>
      <c r="L1043" s="204"/>
    </row>
    <row r="1044">
      <c r="A1044" s="205"/>
      <c r="D1044" s="209" t="s">
        <v>284</v>
      </c>
      <c r="E1044" s="209">
        <v>1.0</v>
      </c>
      <c r="F1044" s="215"/>
      <c r="G1044" s="216"/>
      <c r="H1044" s="212" t="s">
        <v>115</v>
      </c>
      <c r="I1044" s="213" t="s">
        <v>105</v>
      </c>
      <c r="K1044" s="204"/>
      <c r="L1044" s="204"/>
    </row>
    <row r="1045">
      <c r="A1045" s="205"/>
      <c r="D1045" s="209" t="s">
        <v>330</v>
      </c>
      <c r="E1045" s="209">
        <v>2.0</v>
      </c>
      <c r="F1045" s="210"/>
      <c r="G1045" s="211"/>
      <c r="H1045" s="212" t="s">
        <v>331</v>
      </c>
      <c r="I1045" s="213" t="s">
        <v>7</v>
      </c>
      <c r="K1045" s="204"/>
      <c r="L1045" s="204"/>
    </row>
    <row r="1046">
      <c r="A1046" s="217"/>
      <c r="B1046" s="218"/>
      <c r="C1046" s="218"/>
      <c r="D1046" s="219" t="s">
        <v>159</v>
      </c>
      <c r="E1046" s="219">
        <v>1.0</v>
      </c>
      <c r="F1046" s="252"/>
      <c r="G1046" s="252"/>
      <c r="H1046" s="222" t="s">
        <v>160</v>
      </c>
      <c r="I1046" s="253" t="s">
        <v>144</v>
      </c>
      <c r="K1046" s="204"/>
      <c r="L1046" s="204"/>
    </row>
    <row r="1047">
      <c r="A1047" s="195" t="s">
        <v>785</v>
      </c>
      <c r="B1047" s="196" t="s">
        <v>786</v>
      </c>
      <c r="C1047" s="197">
        <f>sum(E1047:E1049)</f>
        <v>6</v>
      </c>
      <c r="D1047" s="238" t="s">
        <v>64</v>
      </c>
      <c r="E1047" s="238">
        <v>3.0</v>
      </c>
      <c r="F1047" s="239"/>
      <c r="G1047" s="240"/>
      <c r="H1047" s="241" t="s">
        <v>283</v>
      </c>
      <c r="I1047" s="242" t="s">
        <v>65</v>
      </c>
      <c r="K1047" s="204"/>
      <c r="L1047" s="204"/>
    </row>
    <row r="1048">
      <c r="A1048" s="205"/>
      <c r="D1048" s="209" t="s">
        <v>172</v>
      </c>
      <c r="E1048" s="209">
        <v>1.0</v>
      </c>
      <c r="F1048" s="210"/>
      <c r="G1048" s="211"/>
      <c r="H1048" s="212" t="s">
        <v>421</v>
      </c>
      <c r="I1048" s="213" t="s">
        <v>163</v>
      </c>
      <c r="K1048" s="204"/>
      <c r="L1048" s="204"/>
    </row>
    <row r="1049">
      <c r="A1049" s="217"/>
      <c r="B1049" s="218"/>
      <c r="C1049" s="218"/>
      <c r="D1049" s="219" t="s">
        <v>22</v>
      </c>
      <c r="E1049" s="219">
        <v>2.0</v>
      </c>
      <c r="F1049" s="355"/>
      <c r="G1049" s="356"/>
      <c r="H1049" s="222" t="s">
        <v>307</v>
      </c>
      <c r="I1049" s="223" t="s">
        <v>23</v>
      </c>
      <c r="K1049" s="204"/>
      <c r="L1049" s="204"/>
    </row>
    <row r="1050">
      <c r="A1050" s="236" t="s">
        <v>787</v>
      </c>
      <c r="B1050" s="237" t="s">
        <v>708</v>
      </c>
      <c r="C1050" s="267">
        <f>sum(E1050:E1053)</f>
        <v>6</v>
      </c>
      <c r="D1050" s="238" t="s">
        <v>64</v>
      </c>
      <c r="E1050" s="238">
        <v>3.0</v>
      </c>
      <c r="F1050" s="239"/>
      <c r="G1050" s="240"/>
      <c r="H1050" s="241" t="s">
        <v>283</v>
      </c>
      <c r="I1050" s="242" t="s">
        <v>65</v>
      </c>
      <c r="K1050" s="204"/>
      <c r="L1050" s="204"/>
    </row>
    <row r="1051">
      <c r="A1051" s="205"/>
      <c r="D1051" s="244" t="s">
        <v>189</v>
      </c>
      <c r="E1051" s="244">
        <v>1.0</v>
      </c>
      <c r="F1051" s="11"/>
      <c r="G1051" s="245"/>
      <c r="H1051" s="246" t="s">
        <v>190</v>
      </c>
      <c r="I1051" s="247" t="s">
        <v>186</v>
      </c>
      <c r="K1051" s="204"/>
      <c r="L1051" s="204"/>
    </row>
    <row r="1052">
      <c r="A1052" s="205"/>
      <c r="D1052" s="209" t="s">
        <v>117</v>
      </c>
      <c r="E1052" s="209">
        <v>1.0</v>
      </c>
      <c r="F1052" s="211"/>
      <c r="G1052" s="211"/>
      <c r="H1052" s="212" t="s">
        <v>322</v>
      </c>
      <c r="I1052" s="213" t="s">
        <v>105</v>
      </c>
      <c r="K1052" s="204"/>
      <c r="L1052" s="204"/>
    </row>
    <row r="1053">
      <c r="A1053" s="217"/>
      <c r="B1053" s="218"/>
      <c r="C1053" s="218"/>
      <c r="D1053" s="219" t="s">
        <v>140</v>
      </c>
      <c r="E1053" s="219">
        <v>1.0</v>
      </c>
      <c r="F1053" s="264"/>
      <c r="G1053" s="264"/>
      <c r="H1053" s="222" t="s">
        <v>141</v>
      </c>
      <c r="I1053" s="223" t="s">
        <v>105</v>
      </c>
      <c r="K1053" s="204"/>
      <c r="L1053" s="204"/>
    </row>
    <row r="1054">
      <c r="A1054" s="359" t="s">
        <v>788</v>
      </c>
      <c r="B1054" s="237" t="s">
        <v>641</v>
      </c>
      <c r="C1054" s="267">
        <f>sum(E1054:E1057)</f>
        <v>6</v>
      </c>
      <c r="D1054" s="238" t="s">
        <v>11</v>
      </c>
      <c r="E1054" s="238">
        <v>2.0</v>
      </c>
      <c r="F1054" s="353"/>
      <c r="G1054" s="353"/>
      <c r="H1054" s="241" t="s">
        <v>348</v>
      </c>
      <c r="I1054" s="242" t="s">
        <v>7</v>
      </c>
      <c r="K1054" s="204"/>
      <c r="L1054" s="204"/>
    </row>
    <row r="1055">
      <c r="A1055" s="205"/>
      <c r="D1055" s="209" t="s">
        <v>159</v>
      </c>
      <c r="E1055" s="209">
        <v>1.0</v>
      </c>
      <c r="F1055" s="227"/>
      <c r="G1055" s="227"/>
      <c r="H1055" s="212" t="s">
        <v>160</v>
      </c>
      <c r="I1055" s="228" t="s">
        <v>144</v>
      </c>
      <c r="K1055" s="204"/>
      <c r="L1055" s="204"/>
    </row>
    <row r="1056">
      <c r="A1056" s="205"/>
      <c r="D1056" s="209" t="s">
        <v>162</v>
      </c>
      <c r="E1056" s="209">
        <v>2.0</v>
      </c>
      <c r="F1056" s="243"/>
      <c r="G1056" s="211"/>
      <c r="H1056" s="212" t="s">
        <v>164</v>
      </c>
      <c r="I1056" s="213" t="s">
        <v>163</v>
      </c>
      <c r="K1056" s="204"/>
      <c r="L1056" s="204"/>
    </row>
    <row r="1057">
      <c r="A1057" s="217"/>
      <c r="B1057" s="218"/>
      <c r="C1057" s="218"/>
      <c r="D1057" s="219" t="s">
        <v>117</v>
      </c>
      <c r="E1057" s="219">
        <v>1.0</v>
      </c>
      <c r="F1057" s="264"/>
      <c r="G1057" s="264"/>
      <c r="H1057" s="222" t="s">
        <v>322</v>
      </c>
      <c r="I1057" s="223" t="s">
        <v>105</v>
      </c>
      <c r="K1057" s="204"/>
      <c r="L1057" s="204"/>
    </row>
    <row r="1058">
      <c r="A1058" s="236" t="s">
        <v>789</v>
      </c>
      <c r="B1058" s="237" t="s">
        <v>790</v>
      </c>
      <c r="C1058" s="197">
        <f>sum(E1058:E1059)</f>
        <v>6</v>
      </c>
      <c r="D1058" s="238" t="s">
        <v>175</v>
      </c>
      <c r="E1058" s="238">
        <v>4.0</v>
      </c>
      <c r="F1058" s="255"/>
      <c r="G1058" s="255"/>
      <c r="H1058" s="241" t="s">
        <v>289</v>
      </c>
      <c r="I1058" s="242" t="s">
        <v>176</v>
      </c>
      <c r="K1058" s="204"/>
      <c r="L1058" s="204"/>
    </row>
    <row r="1059">
      <c r="A1059" s="217"/>
      <c r="B1059" s="218"/>
      <c r="C1059" s="218"/>
      <c r="D1059" s="219" t="s">
        <v>162</v>
      </c>
      <c r="E1059" s="219">
        <v>2.0</v>
      </c>
      <c r="F1059" s="313"/>
      <c r="G1059" s="264"/>
      <c r="H1059" s="222" t="s">
        <v>164</v>
      </c>
      <c r="I1059" s="223" t="s">
        <v>163</v>
      </c>
      <c r="K1059" s="204"/>
      <c r="L1059" s="204"/>
    </row>
    <row r="1060">
      <c r="A1060" s="236" t="s">
        <v>791</v>
      </c>
      <c r="B1060" s="196" t="s">
        <v>792</v>
      </c>
      <c r="C1060" s="267">
        <f>sum(E1060:E1064)</f>
        <v>6</v>
      </c>
      <c r="D1060" s="238" t="s">
        <v>159</v>
      </c>
      <c r="E1060" s="238">
        <v>1.0</v>
      </c>
      <c r="F1060" s="280"/>
      <c r="G1060" s="280"/>
      <c r="H1060" s="241" t="s">
        <v>160</v>
      </c>
      <c r="I1060" s="324" t="s">
        <v>144</v>
      </c>
      <c r="K1060" s="204"/>
      <c r="L1060" s="204"/>
    </row>
    <row r="1061">
      <c r="A1061" s="205"/>
      <c r="D1061" s="304" t="s">
        <v>150</v>
      </c>
      <c r="E1061" s="304">
        <v>2.0</v>
      </c>
      <c r="F1061" s="305"/>
      <c r="G1061" s="305"/>
      <c r="H1061" s="306" t="s">
        <v>151</v>
      </c>
      <c r="I1061" s="307" t="s">
        <v>144</v>
      </c>
      <c r="K1061" s="204"/>
      <c r="L1061" s="204"/>
    </row>
    <row r="1062">
      <c r="A1062" s="205"/>
      <c r="D1062" s="308" t="s">
        <v>137</v>
      </c>
      <c r="E1062" s="308">
        <v>1.0</v>
      </c>
      <c r="F1062" s="80"/>
      <c r="G1062" s="86"/>
      <c r="H1062" s="309" t="s">
        <v>138</v>
      </c>
      <c r="I1062" s="303" t="s">
        <v>105</v>
      </c>
      <c r="K1062" s="204"/>
      <c r="L1062" s="204"/>
    </row>
    <row r="1063">
      <c r="A1063" s="205"/>
      <c r="D1063" s="209" t="s">
        <v>126</v>
      </c>
      <c r="E1063" s="209">
        <v>1.0</v>
      </c>
      <c r="F1063" s="347"/>
      <c r="G1063" s="348"/>
      <c r="H1063" s="212" t="s">
        <v>127</v>
      </c>
      <c r="I1063" s="213" t="s">
        <v>105</v>
      </c>
      <c r="K1063" s="204"/>
      <c r="L1063" s="204"/>
    </row>
    <row r="1064">
      <c r="A1064" s="217"/>
      <c r="B1064" s="218"/>
      <c r="C1064" s="218"/>
      <c r="D1064" s="219" t="s">
        <v>134</v>
      </c>
      <c r="E1064" s="219">
        <v>1.0</v>
      </c>
      <c r="F1064" s="263"/>
      <c r="G1064" s="264"/>
      <c r="H1064" s="222" t="s">
        <v>135</v>
      </c>
      <c r="I1064" s="223" t="s">
        <v>105</v>
      </c>
      <c r="K1064" s="204"/>
      <c r="L1064" s="204"/>
    </row>
    <row r="1065">
      <c r="A1065" s="236" t="s">
        <v>793</v>
      </c>
      <c r="B1065" s="237" t="s">
        <v>794</v>
      </c>
      <c r="C1065" s="267">
        <f>sum(E1065:E1068)</f>
        <v>6</v>
      </c>
      <c r="D1065" s="238" t="s">
        <v>22</v>
      </c>
      <c r="E1065" s="238">
        <v>2.0</v>
      </c>
      <c r="F1065" s="321"/>
      <c r="G1065" s="255"/>
      <c r="H1065" s="241" t="s">
        <v>307</v>
      </c>
      <c r="I1065" s="242" t="s">
        <v>23</v>
      </c>
      <c r="K1065" s="204"/>
      <c r="L1065" s="204"/>
    </row>
    <row r="1066">
      <c r="A1066" s="205"/>
      <c r="D1066" s="283" t="s">
        <v>36</v>
      </c>
      <c r="E1066" s="283">
        <v>1.0</v>
      </c>
      <c r="F1066" s="30"/>
      <c r="G1066" s="32"/>
      <c r="H1066" s="284" t="s">
        <v>37</v>
      </c>
      <c r="I1066" s="285" t="s">
        <v>30</v>
      </c>
      <c r="K1066" s="204"/>
      <c r="L1066" s="204"/>
    </row>
    <row r="1067">
      <c r="A1067" s="205"/>
      <c r="D1067" s="209" t="s">
        <v>162</v>
      </c>
      <c r="E1067" s="209">
        <v>2.0</v>
      </c>
      <c r="F1067" s="243"/>
      <c r="G1067" s="211"/>
      <c r="H1067" s="212" t="s">
        <v>164</v>
      </c>
      <c r="I1067" s="213" t="s">
        <v>163</v>
      </c>
      <c r="K1067" s="204"/>
      <c r="L1067" s="204"/>
    </row>
    <row r="1068">
      <c r="A1068" s="217"/>
      <c r="B1068" s="218"/>
      <c r="C1068" s="218"/>
      <c r="D1068" s="219" t="s">
        <v>134</v>
      </c>
      <c r="E1068" s="219">
        <v>1.0</v>
      </c>
      <c r="F1068" s="263"/>
      <c r="G1068" s="264"/>
      <c r="H1068" s="222" t="s">
        <v>135</v>
      </c>
      <c r="I1068" s="223" t="s">
        <v>105</v>
      </c>
      <c r="K1068" s="204"/>
      <c r="L1068" s="204"/>
    </row>
    <row r="1069">
      <c r="A1069" s="236" t="s">
        <v>795</v>
      </c>
      <c r="B1069" s="237" t="s">
        <v>796</v>
      </c>
      <c r="C1069" s="267">
        <f>sum(E1069:E1072)</f>
        <v>6</v>
      </c>
      <c r="D1069" s="238" t="s">
        <v>55</v>
      </c>
      <c r="E1069" s="238">
        <v>1.0</v>
      </c>
      <c r="F1069" s="278"/>
      <c r="G1069" s="255"/>
      <c r="H1069" s="241" t="s">
        <v>56</v>
      </c>
      <c r="I1069" s="242" t="s">
        <v>43</v>
      </c>
      <c r="K1069" s="204"/>
      <c r="L1069" s="204"/>
    </row>
    <row r="1070">
      <c r="A1070" s="205"/>
      <c r="D1070" s="209" t="s">
        <v>11</v>
      </c>
      <c r="E1070" s="209">
        <v>2.0</v>
      </c>
      <c r="F1070" s="310"/>
      <c r="G1070" s="310"/>
      <c r="H1070" s="212" t="s">
        <v>348</v>
      </c>
      <c r="I1070" s="213" t="s">
        <v>7</v>
      </c>
      <c r="K1070" s="204"/>
      <c r="L1070" s="204"/>
    </row>
    <row r="1071">
      <c r="A1071" s="205"/>
      <c r="D1071" s="209" t="s">
        <v>159</v>
      </c>
      <c r="E1071" s="209">
        <v>1.0</v>
      </c>
      <c r="F1071" s="227"/>
      <c r="G1071" s="227"/>
      <c r="H1071" s="212" t="s">
        <v>160</v>
      </c>
      <c r="I1071" s="228" t="s">
        <v>144</v>
      </c>
      <c r="K1071" s="204"/>
      <c r="L1071" s="204"/>
    </row>
    <row r="1072">
      <c r="A1072" s="217"/>
      <c r="B1072" s="218"/>
      <c r="C1072" s="218"/>
      <c r="D1072" s="219" t="s">
        <v>162</v>
      </c>
      <c r="E1072" s="219">
        <v>2.0</v>
      </c>
      <c r="F1072" s="313"/>
      <c r="G1072" s="264"/>
      <c r="H1072" s="222" t="s">
        <v>164</v>
      </c>
      <c r="I1072" s="223" t="s">
        <v>163</v>
      </c>
      <c r="K1072" s="204"/>
      <c r="L1072" s="204"/>
    </row>
    <row r="1073">
      <c r="A1073" s="236" t="s">
        <v>797</v>
      </c>
      <c r="B1073" s="237" t="s">
        <v>798</v>
      </c>
      <c r="C1073" s="197">
        <f>sum(E1073:E1075)</f>
        <v>6</v>
      </c>
      <c r="D1073" s="238" t="s">
        <v>120</v>
      </c>
      <c r="E1073" s="238">
        <v>1.0</v>
      </c>
      <c r="F1073" s="353"/>
      <c r="G1073" s="353"/>
      <c r="H1073" s="241" t="s">
        <v>327</v>
      </c>
      <c r="I1073" s="242" t="s">
        <v>105</v>
      </c>
      <c r="K1073" s="204"/>
      <c r="L1073" s="204"/>
    </row>
    <row r="1074">
      <c r="A1074" s="205"/>
      <c r="D1074" s="209" t="s">
        <v>22</v>
      </c>
      <c r="E1074" s="209">
        <v>2.0</v>
      </c>
      <c r="F1074" s="299"/>
      <c r="G1074" s="300"/>
      <c r="H1074" s="212" t="s">
        <v>307</v>
      </c>
      <c r="I1074" s="213" t="s">
        <v>23</v>
      </c>
      <c r="K1074" s="204"/>
      <c r="L1074" s="204"/>
    </row>
    <row r="1075">
      <c r="A1075" s="217"/>
      <c r="B1075" s="218"/>
      <c r="C1075" s="218"/>
      <c r="D1075" s="219" t="s">
        <v>799</v>
      </c>
      <c r="E1075" s="219">
        <v>3.0</v>
      </c>
      <c r="F1075" s="263"/>
      <c r="G1075" s="263"/>
      <c r="H1075" s="222" t="s">
        <v>800</v>
      </c>
      <c r="I1075" s="223" t="s">
        <v>105</v>
      </c>
      <c r="K1075" s="204"/>
      <c r="L1075" s="204"/>
    </row>
    <row r="1076">
      <c r="A1076" s="716" t="s">
        <v>801</v>
      </c>
      <c r="B1076" s="323" t="s">
        <v>802</v>
      </c>
      <c r="C1076" s="267">
        <f>sum(E1076:E1079)</f>
        <v>6</v>
      </c>
      <c r="D1076" s="672" t="s">
        <v>91</v>
      </c>
      <c r="E1076" s="672">
        <v>1.0</v>
      </c>
      <c r="F1076" s="673"/>
      <c r="G1076" s="674"/>
      <c r="H1076" s="675" t="s">
        <v>92</v>
      </c>
      <c r="I1076" s="489" t="s">
        <v>65</v>
      </c>
      <c r="K1076" s="204"/>
      <c r="L1076" s="204"/>
    </row>
    <row r="1077">
      <c r="A1077" s="205"/>
      <c r="D1077" s="380" t="s">
        <v>26</v>
      </c>
      <c r="E1077" s="380">
        <v>1.0</v>
      </c>
      <c r="F1077" s="381"/>
      <c r="G1077" s="382"/>
      <c r="H1077" s="383" t="s">
        <v>27</v>
      </c>
      <c r="I1077" s="384" t="s">
        <v>23</v>
      </c>
      <c r="K1077" s="204"/>
      <c r="L1077" s="204"/>
    </row>
    <row r="1078">
      <c r="A1078" s="205"/>
      <c r="D1078" s="209" t="s">
        <v>162</v>
      </c>
      <c r="E1078" s="209">
        <v>2.0</v>
      </c>
      <c r="F1078" s="243"/>
      <c r="G1078" s="211"/>
      <c r="H1078" s="212" t="s">
        <v>164</v>
      </c>
      <c r="I1078" s="213" t="s">
        <v>163</v>
      </c>
      <c r="K1078" s="204"/>
      <c r="L1078" s="204"/>
    </row>
    <row r="1079">
      <c r="A1079" s="217"/>
      <c r="B1079" s="218"/>
      <c r="C1079" s="218"/>
      <c r="D1079" s="287" t="s">
        <v>150</v>
      </c>
      <c r="E1079" s="287">
        <v>2.0</v>
      </c>
      <c r="F1079" s="288"/>
      <c r="G1079" s="288"/>
      <c r="H1079" s="291" t="s">
        <v>151</v>
      </c>
      <c r="I1079" s="292" t="s">
        <v>144</v>
      </c>
      <c r="K1079" s="204"/>
      <c r="L1079" s="204"/>
    </row>
    <row r="1080">
      <c r="A1080" s="236" t="s">
        <v>803</v>
      </c>
      <c r="B1080" s="237" t="s">
        <v>804</v>
      </c>
      <c r="C1080" s="267">
        <f>sum(E1080:E1082)</f>
        <v>6</v>
      </c>
      <c r="D1080" s="238" t="s">
        <v>49</v>
      </c>
      <c r="E1080" s="238">
        <v>2.0</v>
      </c>
      <c r="F1080" s="278"/>
      <c r="G1080" s="255"/>
      <c r="H1080" s="241" t="s">
        <v>50</v>
      </c>
      <c r="I1080" s="242" t="s">
        <v>43</v>
      </c>
      <c r="K1080" s="204"/>
      <c r="L1080" s="204"/>
    </row>
    <row r="1081">
      <c r="A1081" s="205"/>
      <c r="D1081" s="209" t="s">
        <v>11</v>
      </c>
      <c r="E1081" s="209">
        <v>2.0</v>
      </c>
      <c r="F1081" s="310"/>
      <c r="G1081" s="310"/>
      <c r="H1081" s="212" t="s">
        <v>348</v>
      </c>
      <c r="I1081" s="213" t="s">
        <v>7</v>
      </c>
      <c r="K1081" s="204"/>
      <c r="L1081" s="204"/>
    </row>
    <row r="1082">
      <c r="A1082" s="217"/>
      <c r="B1082" s="218"/>
      <c r="C1082" s="218"/>
      <c r="D1082" s="252" t="s">
        <v>97</v>
      </c>
      <c r="E1082" s="252">
        <v>2.0</v>
      </c>
      <c r="F1082" s="319"/>
      <c r="G1082" s="319"/>
      <c r="H1082" s="320" t="s">
        <v>99</v>
      </c>
      <c r="I1082" s="223" t="s">
        <v>98</v>
      </c>
      <c r="K1082" s="204"/>
      <c r="L1082" s="204"/>
    </row>
    <row r="1083">
      <c r="A1083" s="236" t="s">
        <v>805</v>
      </c>
      <c r="B1083" s="196" t="s">
        <v>806</v>
      </c>
      <c r="C1083" s="267">
        <f>sum(E1083:E1086)</f>
        <v>6</v>
      </c>
      <c r="D1083" s="238" t="s">
        <v>159</v>
      </c>
      <c r="E1083" s="238">
        <v>1.0</v>
      </c>
      <c r="F1083" s="280"/>
      <c r="G1083" s="280"/>
      <c r="H1083" s="241" t="s">
        <v>160</v>
      </c>
      <c r="I1083" s="324" t="s">
        <v>144</v>
      </c>
      <c r="K1083" s="204"/>
      <c r="L1083" s="204"/>
    </row>
    <row r="1084">
      <c r="A1084" s="205"/>
      <c r="D1084" s="209" t="s">
        <v>162</v>
      </c>
      <c r="E1084" s="209">
        <v>2.0</v>
      </c>
      <c r="F1084" s="243"/>
      <c r="G1084" s="211"/>
      <c r="H1084" s="212" t="s">
        <v>164</v>
      </c>
      <c r="I1084" s="213" t="s">
        <v>163</v>
      </c>
      <c r="K1084" s="204"/>
      <c r="L1084" s="204"/>
    </row>
    <row r="1085">
      <c r="A1085" s="205"/>
      <c r="D1085" s="209" t="s">
        <v>104</v>
      </c>
      <c r="E1085" s="209">
        <v>2.0</v>
      </c>
      <c r="F1085" s="310"/>
      <c r="G1085" s="310"/>
      <c r="H1085" s="212" t="s">
        <v>106</v>
      </c>
      <c r="I1085" s="213" t="s">
        <v>105</v>
      </c>
      <c r="K1085" s="204"/>
      <c r="L1085" s="204"/>
    </row>
    <row r="1086">
      <c r="A1086" s="217"/>
      <c r="B1086" s="218"/>
      <c r="C1086" s="218"/>
      <c r="D1086" s="252" t="s">
        <v>120</v>
      </c>
      <c r="E1086" s="252">
        <v>1.0</v>
      </c>
      <c r="F1086" s="342"/>
      <c r="G1086" s="319"/>
      <c r="H1086" s="320" t="s">
        <v>121</v>
      </c>
      <c r="I1086" s="343" t="s">
        <v>105</v>
      </c>
      <c r="K1086" s="204"/>
      <c r="L1086" s="204"/>
    </row>
    <row r="1087">
      <c r="A1087" s="236" t="s">
        <v>807</v>
      </c>
      <c r="B1087" s="237" t="s">
        <v>808</v>
      </c>
      <c r="C1087" s="267">
        <f>sum(E1087:E1091)</f>
        <v>6</v>
      </c>
      <c r="D1087" s="527" t="s">
        <v>85</v>
      </c>
      <c r="E1087" s="527">
        <v>1.0</v>
      </c>
      <c r="F1087" s="48"/>
      <c r="G1087" s="50"/>
      <c r="H1087" s="488" t="s">
        <v>86</v>
      </c>
      <c r="I1087" s="270" t="s">
        <v>65</v>
      </c>
      <c r="K1087" s="204"/>
      <c r="L1087" s="204"/>
    </row>
    <row r="1088">
      <c r="A1088" s="205"/>
      <c r="D1088" s="209" t="s">
        <v>104</v>
      </c>
      <c r="E1088" s="209">
        <v>2.0</v>
      </c>
      <c r="F1088" s="310"/>
      <c r="G1088" s="310"/>
      <c r="H1088" s="212" t="s">
        <v>106</v>
      </c>
      <c r="I1088" s="213" t="s">
        <v>105</v>
      </c>
      <c r="K1088" s="204"/>
      <c r="L1088" s="204"/>
    </row>
    <row r="1089">
      <c r="A1089" s="205"/>
      <c r="D1089" s="209" t="s">
        <v>131</v>
      </c>
      <c r="E1089" s="209">
        <v>1.0</v>
      </c>
      <c r="F1089" s="210"/>
      <c r="G1089" s="211"/>
      <c r="H1089" s="212" t="s">
        <v>132</v>
      </c>
      <c r="I1089" s="213" t="s">
        <v>105</v>
      </c>
      <c r="K1089" s="204"/>
      <c r="L1089" s="204"/>
    </row>
    <row r="1090">
      <c r="A1090" s="205"/>
      <c r="D1090" s="209" t="s">
        <v>159</v>
      </c>
      <c r="E1090" s="209">
        <v>1.0</v>
      </c>
      <c r="F1090" s="227"/>
      <c r="G1090" s="227"/>
      <c r="H1090" s="212" t="s">
        <v>160</v>
      </c>
      <c r="I1090" s="228" t="s">
        <v>144</v>
      </c>
      <c r="K1090" s="204"/>
      <c r="L1090" s="204"/>
    </row>
    <row r="1091">
      <c r="A1091" s="217"/>
      <c r="B1091" s="218"/>
      <c r="C1091" s="218"/>
      <c r="D1091" s="219" t="s">
        <v>55</v>
      </c>
      <c r="E1091" s="219">
        <v>1.0</v>
      </c>
      <c r="F1091" s="263"/>
      <c r="G1091" s="264"/>
      <c r="H1091" s="222" t="s">
        <v>56</v>
      </c>
      <c r="I1091" s="223" t="s">
        <v>43</v>
      </c>
      <c r="K1091" s="204"/>
      <c r="L1091" s="204"/>
    </row>
    <row r="1092">
      <c r="A1092" s="236" t="s">
        <v>809</v>
      </c>
      <c r="B1092" s="237" t="s">
        <v>584</v>
      </c>
      <c r="C1092" s="267">
        <f>sum(E1092:E1094)</f>
        <v>6</v>
      </c>
      <c r="D1092" s="238" t="s">
        <v>162</v>
      </c>
      <c r="E1092" s="238">
        <v>2.0</v>
      </c>
      <c r="F1092" s="321"/>
      <c r="G1092" s="255"/>
      <c r="H1092" s="241" t="s">
        <v>164</v>
      </c>
      <c r="I1092" s="242" t="s">
        <v>163</v>
      </c>
      <c r="K1092" s="204"/>
      <c r="L1092" s="204"/>
    </row>
    <row r="1093">
      <c r="A1093" s="205"/>
      <c r="D1093" s="209" t="s">
        <v>64</v>
      </c>
      <c r="E1093" s="209">
        <v>3.0</v>
      </c>
      <c r="F1093" s="215"/>
      <c r="G1093" s="216"/>
      <c r="H1093" s="212" t="s">
        <v>283</v>
      </c>
      <c r="I1093" s="213" t="s">
        <v>65</v>
      </c>
      <c r="K1093" s="204"/>
      <c r="L1093" s="204"/>
    </row>
    <row r="1094">
      <c r="A1094" s="217"/>
      <c r="B1094" s="218"/>
      <c r="C1094" s="218"/>
      <c r="D1094" s="209" t="s">
        <v>120</v>
      </c>
      <c r="E1094" s="209">
        <v>1.0</v>
      </c>
      <c r="F1094" s="310"/>
      <c r="G1094" s="310"/>
      <c r="H1094" s="212" t="s">
        <v>327</v>
      </c>
      <c r="I1094" s="213" t="s">
        <v>105</v>
      </c>
      <c r="K1094" s="204"/>
      <c r="L1094" s="204"/>
    </row>
    <row r="1095">
      <c r="A1095" s="254" t="s">
        <v>810</v>
      </c>
      <c r="B1095" s="196" t="s">
        <v>811</v>
      </c>
      <c r="C1095" s="267">
        <f>sum(E1095:E1099)</f>
        <v>6</v>
      </c>
      <c r="D1095" s="418" t="s">
        <v>39</v>
      </c>
      <c r="E1095" s="418">
        <v>1.0</v>
      </c>
      <c r="F1095" s="419"/>
      <c r="G1095" s="420"/>
      <c r="H1095" s="421" t="s">
        <v>40</v>
      </c>
      <c r="I1095" s="717" t="s">
        <v>30</v>
      </c>
      <c r="J1095" s="255"/>
      <c r="K1095" s="718"/>
      <c r="L1095" s="718"/>
      <c r="M1095" s="255"/>
      <c r="N1095" s="255"/>
      <c r="O1095" s="255"/>
      <c r="P1095" s="255"/>
      <c r="Q1095" s="255"/>
      <c r="R1095" s="255"/>
      <c r="S1095" s="255"/>
      <c r="T1095" s="255"/>
      <c r="U1095" s="255"/>
      <c r="V1095" s="255"/>
      <c r="W1095" s="255"/>
      <c r="X1095" s="255"/>
      <c r="Y1095" s="255"/>
      <c r="Z1095" s="255"/>
      <c r="AA1095" s="255"/>
      <c r="AB1095" s="255"/>
      <c r="AC1095" s="719"/>
    </row>
    <row r="1096">
      <c r="A1096" s="205"/>
      <c r="D1096" s="607" t="s">
        <v>42</v>
      </c>
      <c r="E1096" s="607">
        <v>2.0</v>
      </c>
      <c r="F1096" s="608"/>
      <c r="G1096" s="607"/>
      <c r="H1096" s="609" t="s">
        <v>44</v>
      </c>
      <c r="I1096" s="720" t="s">
        <v>43</v>
      </c>
      <c r="K1096" s="204"/>
      <c r="L1096" s="204"/>
      <c r="AC1096" s="721"/>
    </row>
    <row r="1097">
      <c r="A1097" s="205"/>
      <c r="D1097" s="209" t="s">
        <v>172</v>
      </c>
      <c r="E1097" s="209">
        <v>1.0</v>
      </c>
      <c r="F1097" s="210"/>
      <c r="G1097" s="211"/>
      <c r="H1097" s="212" t="s">
        <v>421</v>
      </c>
      <c r="I1097" s="260" t="s">
        <v>163</v>
      </c>
      <c r="K1097" s="204"/>
      <c r="L1097" s="204"/>
      <c r="AC1097" s="721"/>
    </row>
    <row r="1098">
      <c r="A1098" s="205"/>
      <c r="D1098" s="409" t="s">
        <v>111</v>
      </c>
      <c r="E1098" s="409">
        <v>1.0</v>
      </c>
      <c r="F1098" s="80"/>
      <c r="G1098" s="78"/>
      <c r="H1098" s="410" t="s">
        <v>112</v>
      </c>
      <c r="I1098" s="722" t="s">
        <v>105</v>
      </c>
      <c r="K1098" s="204"/>
      <c r="L1098" s="204"/>
      <c r="AC1098" s="721"/>
    </row>
    <row r="1099">
      <c r="A1099" s="217"/>
      <c r="B1099" s="218"/>
      <c r="C1099" s="218"/>
      <c r="D1099" s="361" t="s">
        <v>123</v>
      </c>
      <c r="E1099" s="361">
        <v>1.0</v>
      </c>
      <c r="F1099" s="362"/>
      <c r="G1099" s="363"/>
      <c r="H1099" s="364" t="s">
        <v>124</v>
      </c>
      <c r="I1099" s="265" t="s">
        <v>105</v>
      </c>
      <c r="J1099" s="264"/>
      <c r="K1099" s="723"/>
      <c r="L1099" s="723"/>
      <c r="M1099" s="264"/>
      <c r="N1099" s="264"/>
      <c r="O1099" s="264"/>
      <c r="P1099" s="264"/>
      <c r="Q1099" s="264"/>
      <c r="R1099" s="264"/>
      <c r="S1099" s="264"/>
      <c r="T1099" s="264"/>
      <c r="U1099" s="264"/>
      <c r="V1099" s="264"/>
      <c r="W1099" s="264"/>
      <c r="X1099" s="264"/>
      <c r="Y1099" s="264"/>
      <c r="Z1099" s="264"/>
      <c r="AA1099" s="264"/>
      <c r="AB1099" s="264"/>
      <c r="AC1099" s="724"/>
    </row>
    <row r="1100">
      <c r="A1100" s="224" t="s">
        <v>812</v>
      </c>
      <c r="B1100" s="225" t="s">
        <v>535</v>
      </c>
      <c r="C1100" s="226">
        <f>sum(E1100:E1102)</f>
        <v>6</v>
      </c>
      <c r="D1100" s="209" t="s">
        <v>290</v>
      </c>
      <c r="E1100" s="209">
        <v>2.0</v>
      </c>
      <c r="F1100" s="215"/>
      <c r="G1100" s="216"/>
      <c r="H1100" s="212" t="s">
        <v>283</v>
      </c>
      <c r="I1100" s="213" t="s">
        <v>65</v>
      </c>
      <c r="K1100" s="204"/>
      <c r="L1100" s="204"/>
    </row>
    <row r="1101">
      <c r="A1101" s="205"/>
      <c r="D1101" s="227" t="s">
        <v>97</v>
      </c>
      <c r="E1101" s="227">
        <v>2.0</v>
      </c>
      <c r="F1101" s="233"/>
      <c r="G1101" s="233"/>
      <c r="H1101" s="234" t="s">
        <v>99</v>
      </c>
      <c r="I1101" s="213" t="s">
        <v>98</v>
      </c>
      <c r="K1101" s="204"/>
      <c r="L1101" s="204"/>
    </row>
    <row r="1102">
      <c r="A1102" s="217"/>
      <c r="B1102" s="218"/>
      <c r="C1102" s="218"/>
      <c r="D1102" s="219" t="s">
        <v>162</v>
      </c>
      <c r="E1102" s="219">
        <v>2.0</v>
      </c>
      <c r="F1102" s="313"/>
      <c r="G1102" s="263"/>
      <c r="H1102" s="222" t="s">
        <v>164</v>
      </c>
      <c r="I1102" s="223" t="s">
        <v>163</v>
      </c>
      <c r="K1102" s="204"/>
      <c r="L1102" s="204"/>
    </row>
    <row r="1103">
      <c r="A1103" s="236" t="s">
        <v>813</v>
      </c>
      <c r="B1103" s="237" t="s">
        <v>814</v>
      </c>
      <c r="C1103" s="267">
        <f>sum(E1103:E1105)</f>
        <v>6</v>
      </c>
      <c r="D1103" s="238" t="s">
        <v>22</v>
      </c>
      <c r="E1103" s="238">
        <v>2.0</v>
      </c>
      <c r="F1103" s="321"/>
      <c r="G1103" s="255"/>
      <c r="H1103" s="241" t="s">
        <v>307</v>
      </c>
      <c r="I1103" s="242" t="s">
        <v>23</v>
      </c>
      <c r="K1103" s="204"/>
      <c r="L1103" s="204"/>
    </row>
    <row r="1104">
      <c r="A1104" s="205"/>
      <c r="D1104" s="209" t="s">
        <v>49</v>
      </c>
      <c r="E1104" s="209">
        <v>2.0</v>
      </c>
      <c r="F1104" s="210"/>
      <c r="G1104" s="211"/>
      <c r="H1104" s="212" t="s">
        <v>50</v>
      </c>
      <c r="I1104" s="213" t="s">
        <v>43</v>
      </c>
      <c r="K1104" s="204"/>
      <c r="L1104" s="204"/>
    </row>
    <row r="1105">
      <c r="A1105" s="217"/>
      <c r="B1105" s="218"/>
      <c r="C1105" s="218"/>
      <c r="D1105" s="219" t="s">
        <v>162</v>
      </c>
      <c r="E1105" s="219">
        <v>2.0</v>
      </c>
      <c r="F1105" s="313"/>
      <c r="G1105" s="264"/>
      <c r="H1105" s="222" t="s">
        <v>164</v>
      </c>
      <c r="I1105" s="223" t="s">
        <v>163</v>
      </c>
      <c r="K1105" s="204"/>
      <c r="L1105" s="204"/>
    </row>
    <row r="1106">
      <c r="A1106" s="236" t="s">
        <v>815</v>
      </c>
      <c r="B1106" s="196" t="s">
        <v>816</v>
      </c>
      <c r="C1106" s="267">
        <f>sum(E1106:E1109)</f>
        <v>6</v>
      </c>
      <c r="D1106" s="238" t="s">
        <v>22</v>
      </c>
      <c r="E1106" s="238">
        <v>2.0</v>
      </c>
      <c r="F1106" s="321"/>
      <c r="G1106" s="255"/>
      <c r="H1106" s="241" t="s">
        <v>307</v>
      </c>
      <c r="I1106" s="242" t="s">
        <v>23</v>
      </c>
      <c r="K1106" s="204"/>
      <c r="L1106" s="204"/>
    </row>
    <row r="1107">
      <c r="A1107" s="205"/>
      <c r="D1107" s="209" t="s">
        <v>290</v>
      </c>
      <c r="E1107" s="209">
        <v>2.0</v>
      </c>
      <c r="F1107" s="215"/>
      <c r="G1107" s="216"/>
      <c r="H1107" s="212" t="s">
        <v>283</v>
      </c>
      <c r="I1107" s="213" t="s">
        <v>65</v>
      </c>
      <c r="K1107" s="204"/>
      <c r="L1107" s="204"/>
    </row>
    <row r="1108">
      <c r="A1108" s="205"/>
      <c r="D1108" s="301" t="s">
        <v>129</v>
      </c>
      <c r="E1108" s="301">
        <v>1.0</v>
      </c>
      <c r="F1108" s="80"/>
      <c r="G1108" s="81"/>
      <c r="H1108" s="302" t="s">
        <v>130</v>
      </c>
      <c r="I1108" s="303" t="s">
        <v>105</v>
      </c>
      <c r="K1108" s="204"/>
      <c r="L1108" s="204"/>
    </row>
    <row r="1109">
      <c r="A1109" s="217"/>
      <c r="B1109" s="218"/>
      <c r="C1109" s="218"/>
      <c r="D1109" s="413" t="s">
        <v>169</v>
      </c>
      <c r="E1109" s="413">
        <v>1.0</v>
      </c>
      <c r="F1109" s="414"/>
      <c r="G1109" s="415"/>
      <c r="H1109" s="416" t="s">
        <v>170</v>
      </c>
      <c r="I1109" s="417" t="s">
        <v>163</v>
      </c>
      <c r="K1109" s="204"/>
      <c r="L1109" s="204"/>
    </row>
    <row r="1110">
      <c r="A1110" s="236" t="s">
        <v>817</v>
      </c>
      <c r="B1110" s="412" t="s">
        <v>818</v>
      </c>
      <c r="C1110" s="267">
        <f>sum(E1110:E1113)</f>
        <v>6</v>
      </c>
      <c r="D1110" s="238" t="s">
        <v>11</v>
      </c>
      <c r="E1110" s="238">
        <v>2.0</v>
      </c>
      <c r="F1110" s="353"/>
      <c r="G1110" s="353"/>
      <c r="H1110" s="241" t="s">
        <v>348</v>
      </c>
      <c r="I1110" s="242" t="s">
        <v>7</v>
      </c>
    </row>
    <row r="1111">
      <c r="A1111" s="205"/>
      <c r="D1111" s="209" t="s">
        <v>290</v>
      </c>
      <c r="E1111" s="209">
        <v>2.0</v>
      </c>
      <c r="F1111" s="215"/>
      <c r="G1111" s="216"/>
      <c r="H1111" s="212" t="s">
        <v>283</v>
      </c>
      <c r="I1111" s="213" t="s">
        <v>65</v>
      </c>
    </row>
    <row r="1112">
      <c r="A1112" s="205"/>
      <c r="D1112" s="209" t="s">
        <v>117</v>
      </c>
      <c r="E1112" s="209">
        <v>1.0</v>
      </c>
      <c r="F1112" s="211"/>
      <c r="G1112" s="211"/>
      <c r="H1112" s="212" t="s">
        <v>322</v>
      </c>
      <c r="I1112" s="213" t="s">
        <v>105</v>
      </c>
    </row>
    <row r="1113">
      <c r="A1113" s="217"/>
      <c r="B1113" s="218"/>
      <c r="C1113" s="218"/>
      <c r="D1113" s="252" t="s">
        <v>61</v>
      </c>
      <c r="E1113" s="252">
        <v>1.0</v>
      </c>
      <c r="F1113" s="319"/>
      <c r="G1113" s="319"/>
      <c r="H1113" s="320" t="s">
        <v>62</v>
      </c>
      <c r="I1113" s="223" t="s">
        <v>43</v>
      </c>
    </row>
    <row r="1114">
      <c r="A1114" s="236" t="s">
        <v>819</v>
      </c>
      <c r="B1114" s="290" t="s">
        <v>550</v>
      </c>
      <c r="C1114" s="267">
        <f>sum(E1114:E1116)</f>
        <v>6</v>
      </c>
      <c r="D1114" s="268" t="s">
        <v>76</v>
      </c>
      <c r="E1114" s="268">
        <v>2.0</v>
      </c>
      <c r="F1114" s="48"/>
      <c r="G1114" s="49"/>
      <c r="H1114" s="269" t="s">
        <v>77</v>
      </c>
      <c r="I1114" s="270" t="s">
        <v>65</v>
      </c>
      <c r="K1114" s="204"/>
      <c r="L1114" s="204"/>
    </row>
    <row r="1115">
      <c r="A1115" s="205"/>
      <c r="D1115" s="209" t="s">
        <v>147</v>
      </c>
      <c r="E1115" s="209">
        <v>3.0</v>
      </c>
      <c r="F1115" s="227"/>
      <c r="G1115" s="227"/>
      <c r="H1115" s="212" t="s">
        <v>145</v>
      </c>
      <c r="I1115" s="228" t="s">
        <v>144</v>
      </c>
      <c r="K1115" s="204"/>
      <c r="L1115" s="204"/>
    </row>
    <row r="1116">
      <c r="A1116" s="217"/>
      <c r="B1116" s="218"/>
      <c r="C1116" s="218"/>
      <c r="D1116" s="244" t="s">
        <v>189</v>
      </c>
      <c r="E1116" s="244">
        <v>1.0</v>
      </c>
      <c r="F1116" s="11"/>
      <c r="G1116" s="245"/>
      <c r="H1116" s="246" t="s">
        <v>190</v>
      </c>
      <c r="I1116" s="247" t="s">
        <v>186</v>
      </c>
      <c r="K1116" s="204"/>
      <c r="L1116" s="204"/>
    </row>
    <row r="1117">
      <c r="A1117" s="236" t="s">
        <v>820</v>
      </c>
      <c r="B1117" s="412" t="s">
        <v>821</v>
      </c>
      <c r="C1117" s="267">
        <f>sum(E1117:E1120)</f>
        <v>6</v>
      </c>
      <c r="D1117" s="238" t="s">
        <v>55</v>
      </c>
      <c r="E1117" s="238">
        <v>1.0</v>
      </c>
      <c r="F1117" s="278"/>
      <c r="G1117" s="255"/>
      <c r="H1117" s="241" t="s">
        <v>56</v>
      </c>
      <c r="I1117" s="242" t="s">
        <v>43</v>
      </c>
    </row>
    <row r="1118">
      <c r="A1118" s="205"/>
      <c r="D1118" s="248" t="s">
        <v>79</v>
      </c>
      <c r="E1118" s="248">
        <v>2.0</v>
      </c>
      <c r="F1118" s="53"/>
      <c r="G1118" s="55"/>
      <c r="H1118" s="249" t="s">
        <v>80</v>
      </c>
      <c r="I1118" s="250" t="s">
        <v>65</v>
      </c>
    </row>
    <row r="1119">
      <c r="A1119" s="205"/>
      <c r="D1119" s="209" t="s">
        <v>162</v>
      </c>
      <c r="E1119" s="209">
        <v>2.0</v>
      </c>
      <c r="F1119" s="243"/>
      <c r="G1119" s="211"/>
      <c r="H1119" s="212" t="s">
        <v>164</v>
      </c>
      <c r="I1119" s="213" t="s">
        <v>163</v>
      </c>
    </row>
    <row r="1120">
      <c r="A1120" s="217"/>
      <c r="B1120" s="218"/>
      <c r="C1120" s="218"/>
      <c r="D1120" s="361" t="s">
        <v>123</v>
      </c>
      <c r="E1120" s="361">
        <v>1.0</v>
      </c>
      <c r="F1120" s="362"/>
      <c r="G1120" s="363"/>
      <c r="H1120" s="364" t="s">
        <v>124</v>
      </c>
      <c r="I1120" s="223" t="s">
        <v>105</v>
      </c>
    </row>
    <row r="1121">
      <c r="A1121" s="236" t="s">
        <v>822</v>
      </c>
      <c r="B1121" s="412" t="s">
        <v>823</v>
      </c>
      <c r="C1121" s="267">
        <f>sum(E1121:E1125)</f>
        <v>6</v>
      </c>
      <c r="D1121" s="238" t="s">
        <v>22</v>
      </c>
      <c r="E1121" s="238">
        <v>2.0</v>
      </c>
      <c r="F1121" s="321"/>
      <c r="G1121" s="255"/>
      <c r="H1121" s="241" t="s">
        <v>307</v>
      </c>
      <c r="I1121" s="242" t="s">
        <v>23</v>
      </c>
    </row>
    <row r="1122">
      <c r="A1122" s="205"/>
      <c r="D1122" s="575" t="s">
        <v>91</v>
      </c>
      <c r="E1122" s="575">
        <v>1.0</v>
      </c>
      <c r="F1122" s="725"/>
      <c r="G1122" s="726"/>
      <c r="H1122" s="576" t="s">
        <v>92</v>
      </c>
      <c r="I1122" s="250" t="s">
        <v>65</v>
      </c>
    </row>
    <row r="1123">
      <c r="A1123" s="205"/>
      <c r="D1123" s="209" t="s">
        <v>58</v>
      </c>
      <c r="E1123" s="209">
        <v>1.0</v>
      </c>
      <c r="F1123" s="209"/>
      <c r="G1123" s="209"/>
      <c r="H1123" s="212" t="s">
        <v>59</v>
      </c>
      <c r="I1123" s="213" t="s">
        <v>43</v>
      </c>
    </row>
    <row r="1124">
      <c r="A1124" s="205"/>
      <c r="D1124" s="308" t="s">
        <v>137</v>
      </c>
      <c r="E1124" s="308">
        <v>1.0</v>
      </c>
      <c r="F1124" s="80"/>
      <c r="G1124" s="86"/>
      <c r="H1124" s="309" t="s">
        <v>138</v>
      </c>
      <c r="I1124" s="303" t="s">
        <v>105</v>
      </c>
    </row>
    <row r="1125">
      <c r="A1125" s="217"/>
      <c r="B1125" s="218"/>
      <c r="C1125" s="218"/>
      <c r="D1125" s="219" t="s">
        <v>140</v>
      </c>
      <c r="E1125" s="219">
        <v>1.0</v>
      </c>
      <c r="F1125" s="258"/>
      <c r="G1125" s="258"/>
      <c r="H1125" s="222" t="s">
        <v>141</v>
      </c>
      <c r="I1125" s="223" t="s">
        <v>105</v>
      </c>
    </row>
    <row r="1126">
      <c r="A1126" s="254" t="s">
        <v>824</v>
      </c>
      <c r="B1126" s="412" t="s">
        <v>552</v>
      </c>
      <c r="C1126" s="267">
        <f>sum(E1126:E1128)</f>
        <v>6</v>
      </c>
      <c r="D1126" s="385" t="s">
        <v>101</v>
      </c>
      <c r="E1126" s="385">
        <v>2.0</v>
      </c>
      <c r="F1126" s="386"/>
      <c r="G1126" s="387"/>
      <c r="H1126" s="388" t="s">
        <v>102</v>
      </c>
      <c r="I1126" s="389" t="s">
        <v>98</v>
      </c>
    </row>
    <row r="1127">
      <c r="A1127" s="205"/>
      <c r="D1127" s="248" t="s">
        <v>70</v>
      </c>
      <c r="E1127" s="248">
        <v>2.0</v>
      </c>
      <c r="F1127" s="53"/>
      <c r="G1127" s="55"/>
      <c r="H1127" s="249" t="s">
        <v>71</v>
      </c>
      <c r="I1127" s="250" t="s">
        <v>65</v>
      </c>
    </row>
    <row r="1128">
      <c r="A1128" s="217"/>
      <c r="B1128" s="218"/>
      <c r="C1128" s="218"/>
      <c r="D1128" s="219" t="s">
        <v>162</v>
      </c>
      <c r="E1128" s="219">
        <v>2.0</v>
      </c>
      <c r="F1128" s="313"/>
      <c r="G1128" s="264"/>
      <c r="H1128" s="222" t="s">
        <v>164</v>
      </c>
      <c r="I1128" s="223" t="s">
        <v>163</v>
      </c>
    </row>
    <row r="1129">
      <c r="A1129" s="254" t="s">
        <v>825</v>
      </c>
      <c r="B1129" s="412" t="s">
        <v>471</v>
      </c>
      <c r="C1129" s="267">
        <f>sum(E1129:E1132)</f>
        <v>6</v>
      </c>
      <c r="D1129" s="238" t="s">
        <v>49</v>
      </c>
      <c r="E1129" s="238">
        <v>2.0</v>
      </c>
      <c r="F1129" s="278"/>
      <c r="G1129" s="255"/>
      <c r="H1129" s="241" t="s">
        <v>50</v>
      </c>
      <c r="I1129" s="242" t="s">
        <v>43</v>
      </c>
    </row>
    <row r="1130">
      <c r="A1130" s="205"/>
      <c r="D1130" s="209" t="s">
        <v>162</v>
      </c>
      <c r="E1130" s="209">
        <v>2.0</v>
      </c>
      <c r="F1130" s="243"/>
      <c r="G1130" s="210"/>
      <c r="H1130" s="212" t="s">
        <v>164</v>
      </c>
      <c r="I1130" s="213" t="s">
        <v>163</v>
      </c>
    </row>
    <row r="1131">
      <c r="A1131" s="205"/>
      <c r="D1131" s="209" t="s">
        <v>134</v>
      </c>
      <c r="E1131" s="209">
        <v>1.0</v>
      </c>
      <c r="F1131" s="210"/>
      <c r="G1131" s="211"/>
      <c r="H1131" s="212" t="s">
        <v>135</v>
      </c>
      <c r="I1131" s="213" t="s">
        <v>105</v>
      </c>
    </row>
    <row r="1132">
      <c r="A1132" s="217"/>
      <c r="B1132" s="218"/>
      <c r="C1132" s="218"/>
      <c r="D1132" s="252" t="s">
        <v>120</v>
      </c>
      <c r="E1132" s="252">
        <v>1.0</v>
      </c>
      <c r="F1132" s="342"/>
      <c r="G1132" s="319"/>
      <c r="H1132" s="320" t="s">
        <v>121</v>
      </c>
      <c r="I1132" s="343" t="s">
        <v>105</v>
      </c>
    </row>
    <row r="1133">
      <c r="A1133" s="254" t="s">
        <v>826</v>
      </c>
      <c r="B1133" s="412" t="s">
        <v>827</v>
      </c>
      <c r="C1133" s="267">
        <f>sum(E1133:E1136)</f>
        <v>6</v>
      </c>
      <c r="D1133" s="238" t="s">
        <v>134</v>
      </c>
      <c r="E1133" s="238">
        <v>1.0</v>
      </c>
      <c r="F1133" s="278"/>
      <c r="G1133" s="255"/>
      <c r="H1133" s="241" t="s">
        <v>135</v>
      </c>
      <c r="I1133" s="242" t="s">
        <v>105</v>
      </c>
    </row>
    <row r="1134">
      <c r="A1134" s="205"/>
      <c r="D1134" s="283" t="s">
        <v>39</v>
      </c>
      <c r="E1134" s="283">
        <v>1.0</v>
      </c>
      <c r="F1134" s="30"/>
      <c r="G1134" s="32"/>
      <c r="H1134" s="284" t="s">
        <v>40</v>
      </c>
      <c r="I1134" s="285" t="s">
        <v>30</v>
      </c>
    </row>
    <row r="1135">
      <c r="A1135" s="205"/>
      <c r="D1135" s="209" t="s">
        <v>162</v>
      </c>
      <c r="E1135" s="209">
        <v>2.0</v>
      </c>
      <c r="F1135" s="243"/>
      <c r="G1135" s="210"/>
      <c r="H1135" s="212" t="s">
        <v>164</v>
      </c>
      <c r="I1135" s="213" t="s">
        <v>163</v>
      </c>
    </row>
    <row r="1136">
      <c r="A1136" s="217"/>
      <c r="B1136" s="218"/>
      <c r="C1136" s="218"/>
      <c r="D1136" s="219" t="s">
        <v>828</v>
      </c>
      <c r="E1136" s="219">
        <v>2.0</v>
      </c>
      <c r="F1136" s="263"/>
      <c r="G1136" s="264"/>
      <c r="H1136" s="727" t="s">
        <v>829</v>
      </c>
      <c r="I1136" s="223" t="s">
        <v>105</v>
      </c>
    </row>
    <row r="1137">
      <c r="A1137" s="254" t="s">
        <v>830</v>
      </c>
      <c r="B1137" s="412" t="s">
        <v>831</v>
      </c>
      <c r="C1137" s="267">
        <f>sum(E1137:E1139)</f>
        <v>6</v>
      </c>
      <c r="D1137" s="238" t="s">
        <v>64</v>
      </c>
      <c r="E1137" s="238">
        <v>3.0</v>
      </c>
      <c r="F1137" s="239"/>
      <c r="G1137" s="240"/>
      <c r="H1137" s="241" t="s">
        <v>283</v>
      </c>
      <c r="I1137" s="242" t="s">
        <v>65</v>
      </c>
    </row>
    <row r="1138">
      <c r="A1138" s="205"/>
      <c r="D1138" s="209" t="s">
        <v>11</v>
      </c>
      <c r="E1138" s="209">
        <v>2.0</v>
      </c>
      <c r="F1138" s="310"/>
      <c r="G1138" s="310"/>
      <c r="H1138" s="212" t="s">
        <v>348</v>
      </c>
      <c r="I1138" s="213" t="s">
        <v>7</v>
      </c>
    </row>
    <row r="1139">
      <c r="A1139" s="217"/>
      <c r="B1139" s="218"/>
      <c r="C1139" s="218"/>
      <c r="D1139" s="219" t="s">
        <v>117</v>
      </c>
      <c r="E1139" s="219">
        <v>1.0</v>
      </c>
      <c r="F1139" s="264"/>
      <c r="G1139" s="264"/>
      <c r="H1139" s="222" t="s">
        <v>322</v>
      </c>
      <c r="I1139" s="223" t="s">
        <v>105</v>
      </c>
    </row>
    <row r="1140">
      <c r="A1140" s="254" t="s">
        <v>832</v>
      </c>
      <c r="B1140" s="412" t="s">
        <v>302</v>
      </c>
      <c r="C1140" s="267">
        <f>sum(E1140:E1142)</f>
        <v>6</v>
      </c>
      <c r="D1140" s="238" t="s">
        <v>49</v>
      </c>
      <c r="E1140" s="238">
        <v>2.0</v>
      </c>
      <c r="F1140" s="278"/>
      <c r="G1140" s="255"/>
      <c r="H1140" s="241" t="s">
        <v>50</v>
      </c>
      <c r="I1140" s="242" t="s">
        <v>43</v>
      </c>
    </row>
    <row r="1141">
      <c r="A1141" s="205"/>
      <c r="D1141" s="227" t="s">
        <v>120</v>
      </c>
      <c r="E1141" s="227">
        <v>1.0</v>
      </c>
      <c r="F1141" s="3"/>
      <c r="G1141" s="233"/>
      <c r="H1141" s="234" t="s">
        <v>121</v>
      </c>
      <c r="I1141" s="235" t="s">
        <v>105</v>
      </c>
    </row>
    <row r="1142">
      <c r="A1142" s="217"/>
      <c r="B1142" s="218"/>
      <c r="C1142" s="218"/>
      <c r="D1142" s="219" t="s">
        <v>833</v>
      </c>
      <c r="E1142" s="219">
        <v>3.0</v>
      </c>
      <c r="F1142" s="263"/>
      <c r="G1142" s="264"/>
      <c r="H1142" s="222" t="s">
        <v>834</v>
      </c>
      <c r="I1142" s="343" t="s">
        <v>105</v>
      </c>
    </row>
    <row r="1143">
      <c r="A1143" s="254" t="s">
        <v>835</v>
      </c>
      <c r="B1143" s="412" t="s">
        <v>836</v>
      </c>
      <c r="C1143" s="267">
        <f>sum(E1143:E1145)</f>
        <v>6</v>
      </c>
      <c r="D1143" s="238" t="s">
        <v>330</v>
      </c>
      <c r="E1143" s="238">
        <v>2.0</v>
      </c>
      <c r="F1143" s="278"/>
      <c r="G1143" s="255"/>
      <c r="H1143" s="241" t="s">
        <v>331</v>
      </c>
      <c r="I1143" s="242" t="s">
        <v>7</v>
      </c>
    </row>
    <row r="1144">
      <c r="A1144" s="205"/>
      <c r="D1144" s="209" t="s">
        <v>290</v>
      </c>
      <c r="E1144" s="209">
        <v>2.0</v>
      </c>
      <c r="F1144" s="215"/>
      <c r="G1144" s="216"/>
      <c r="H1144" s="212" t="s">
        <v>283</v>
      </c>
      <c r="I1144" s="213" t="s">
        <v>65</v>
      </c>
    </row>
    <row r="1145">
      <c r="A1145" s="217"/>
      <c r="B1145" s="218"/>
      <c r="C1145" s="218"/>
      <c r="D1145" s="219" t="s">
        <v>162</v>
      </c>
      <c r="E1145" s="219">
        <v>2.0</v>
      </c>
      <c r="F1145" s="313"/>
      <c r="G1145" s="264"/>
      <c r="H1145" s="222" t="s">
        <v>164</v>
      </c>
      <c r="I1145" s="223" t="s">
        <v>163</v>
      </c>
    </row>
    <row r="1146">
      <c r="A1146" s="254" t="s">
        <v>837</v>
      </c>
      <c r="B1146" s="412" t="s">
        <v>838</v>
      </c>
      <c r="C1146" s="267">
        <f>sum(E1146:E1148)</f>
        <v>6</v>
      </c>
      <c r="D1146" s="238" t="s">
        <v>64</v>
      </c>
      <c r="E1146" s="238">
        <v>3.0</v>
      </c>
      <c r="F1146" s="239"/>
      <c r="G1146" s="240"/>
      <c r="H1146" s="241" t="s">
        <v>283</v>
      </c>
      <c r="I1146" s="242" t="s">
        <v>65</v>
      </c>
    </row>
    <row r="1147">
      <c r="A1147" s="205"/>
      <c r="D1147" s="209" t="s">
        <v>330</v>
      </c>
      <c r="E1147" s="209">
        <v>2.0</v>
      </c>
      <c r="F1147" s="210"/>
      <c r="G1147" s="211"/>
      <c r="H1147" s="212" t="s">
        <v>331</v>
      </c>
      <c r="I1147" s="213" t="s">
        <v>7</v>
      </c>
    </row>
    <row r="1148">
      <c r="A1148" s="217"/>
      <c r="B1148" s="218"/>
      <c r="C1148" s="218"/>
      <c r="D1148" s="219" t="s">
        <v>284</v>
      </c>
      <c r="E1148" s="219">
        <v>1.0</v>
      </c>
      <c r="F1148" s="220"/>
      <c r="G1148" s="221"/>
      <c r="H1148" s="222" t="s">
        <v>115</v>
      </c>
      <c r="I1148" s="223" t="s">
        <v>105</v>
      </c>
    </row>
    <row r="1149" ht="17.25" customHeight="1">
      <c r="A1149" s="359" t="s">
        <v>839</v>
      </c>
      <c r="B1149" s="323" t="s">
        <v>840</v>
      </c>
      <c r="C1149" s="267">
        <f>sum(E1149:E1151)</f>
        <v>6</v>
      </c>
      <c r="D1149" s="238" t="s">
        <v>162</v>
      </c>
      <c r="E1149" s="238">
        <v>2.0</v>
      </c>
      <c r="F1149" s="728"/>
      <c r="G1149" s="353"/>
      <c r="H1149" s="241" t="s">
        <v>164</v>
      </c>
      <c r="I1149" s="242" t="s">
        <v>163</v>
      </c>
    </row>
    <row r="1150" ht="17.25" customHeight="1">
      <c r="A1150" s="205"/>
      <c r="D1150" s="209" t="s">
        <v>147</v>
      </c>
      <c r="E1150" s="209">
        <v>3.0</v>
      </c>
      <c r="F1150" s="227"/>
      <c r="G1150" s="227"/>
      <c r="H1150" s="212" t="s">
        <v>145</v>
      </c>
      <c r="I1150" s="228" t="s">
        <v>144</v>
      </c>
    </row>
    <row r="1151" ht="17.25" customHeight="1">
      <c r="A1151" s="217"/>
      <c r="B1151" s="218"/>
      <c r="C1151" s="218"/>
      <c r="D1151" s="219" t="s">
        <v>284</v>
      </c>
      <c r="E1151" s="219">
        <v>1.0</v>
      </c>
      <c r="F1151" s="252"/>
      <c r="G1151" s="252"/>
      <c r="H1151" s="222" t="s">
        <v>115</v>
      </c>
      <c r="I1151" s="223" t="s">
        <v>105</v>
      </c>
    </row>
    <row r="1152">
      <c r="A1152" s="195" t="s">
        <v>841</v>
      </c>
      <c r="B1152" s="412" t="s">
        <v>842</v>
      </c>
      <c r="C1152" s="267">
        <f>sum(E1152:E1156)</f>
        <v>6</v>
      </c>
      <c r="D1152" s="238" t="s">
        <v>162</v>
      </c>
      <c r="E1152" s="238">
        <v>2.0</v>
      </c>
      <c r="F1152" s="321"/>
      <c r="G1152" s="255"/>
      <c r="H1152" s="241" t="s">
        <v>164</v>
      </c>
      <c r="I1152" s="242" t="s">
        <v>163</v>
      </c>
    </row>
    <row r="1153">
      <c r="A1153" s="205"/>
      <c r="D1153" s="375" t="s">
        <v>94</v>
      </c>
      <c r="E1153" s="375">
        <v>1.0</v>
      </c>
      <c r="F1153" s="376"/>
      <c r="G1153" s="376"/>
      <c r="H1153" s="377" t="s">
        <v>95</v>
      </c>
      <c r="I1153" s="378" t="s">
        <v>65</v>
      </c>
    </row>
    <row r="1154">
      <c r="A1154" s="205"/>
      <c r="D1154" s="209" t="s">
        <v>134</v>
      </c>
      <c r="E1154" s="209">
        <v>1.0</v>
      </c>
      <c r="F1154" s="210"/>
      <c r="G1154" s="211"/>
      <c r="H1154" s="212" t="s">
        <v>135</v>
      </c>
      <c r="I1154" s="213" t="s">
        <v>105</v>
      </c>
    </row>
    <row r="1155">
      <c r="A1155" s="205"/>
      <c r="D1155" s="283" t="s">
        <v>39</v>
      </c>
      <c r="E1155" s="283">
        <v>1.0</v>
      </c>
      <c r="F1155" s="30"/>
      <c r="G1155" s="32"/>
      <c r="H1155" s="284" t="s">
        <v>40</v>
      </c>
      <c r="I1155" s="285" t="s">
        <v>30</v>
      </c>
    </row>
    <row r="1156">
      <c r="A1156" s="217"/>
      <c r="B1156" s="218"/>
      <c r="C1156" s="218"/>
      <c r="D1156" s="219" t="s">
        <v>126</v>
      </c>
      <c r="E1156" s="219">
        <v>1.0</v>
      </c>
      <c r="F1156" s="425"/>
      <c r="G1156" s="352"/>
      <c r="H1156" s="222" t="s">
        <v>127</v>
      </c>
      <c r="I1156" s="223" t="s">
        <v>105</v>
      </c>
    </row>
    <row r="1157">
      <c r="A1157" s="254" t="s">
        <v>843</v>
      </c>
      <c r="B1157" s="412" t="s">
        <v>844</v>
      </c>
      <c r="C1157" s="267">
        <f>sum(E1157:E1160)</f>
        <v>6</v>
      </c>
      <c r="D1157" s="238" t="s">
        <v>55</v>
      </c>
      <c r="E1157" s="238">
        <v>1.0</v>
      </c>
      <c r="F1157" s="278"/>
      <c r="G1157" s="255"/>
      <c r="H1157" s="241" t="s">
        <v>56</v>
      </c>
      <c r="I1157" s="242" t="s">
        <v>43</v>
      </c>
    </row>
    <row r="1158">
      <c r="A1158" s="205"/>
      <c r="D1158" s="248" t="s">
        <v>82</v>
      </c>
      <c r="E1158" s="248">
        <v>1.0</v>
      </c>
      <c r="F1158" s="422"/>
      <c r="G1158" s="55" t="s">
        <v>83</v>
      </c>
      <c r="H1158" s="249" t="s">
        <v>83</v>
      </c>
      <c r="I1158" s="250" t="s">
        <v>65</v>
      </c>
    </row>
    <row r="1159">
      <c r="A1159" s="205"/>
      <c r="D1159" s="209" t="s">
        <v>162</v>
      </c>
      <c r="E1159" s="209">
        <v>2.0</v>
      </c>
      <c r="F1159" s="243"/>
      <c r="G1159" s="211"/>
      <c r="H1159" s="212" t="s">
        <v>164</v>
      </c>
      <c r="I1159" s="213" t="s">
        <v>163</v>
      </c>
    </row>
    <row r="1160">
      <c r="A1160" s="217"/>
      <c r="B1160" s="218"/>
      <c r="C1160" s="218"/>
      <c r="D1160" s="603" t="s">
        <v>108</v>
      </c>
      <c r="E1160" s="603">
        <v>2.0</v>
      </c>
      <c r="F1160" s="604"/>
      <c r="G1160" s="605"/>
      <c r="H1160" s="606" t="s">
        <v>109</v>
      </c>
      <c r="I1160" s="519" t="s">
        <v>105</v>
      </c>
    </row>
    <row r="1161">
      <c r="A1161" s="254" t="s">
        <v>845</v>
      </c>
      <c r="B1161" s="412" t="s">
        <v>846</v>
      </c>
      <c r="C1161" s="267">
        <f>sum(E1161:E1164)</f>
        <v>6</v>
      </c>
      <c r="D1161" s="654" t="s">
        <v>290</v>
      </c>
      <c r="E1161" s="654">
        <v>2.0</v>
      </c>
      <c r="F1161" s="371"/>
      <c r="G1161" s="371"/>
      <c r="H1161" s="729" t="s">
        <v>283</v>
      </c>
      <c r="I1161" s="730" t="s">
        <v>65</v>
      </c>
    </row>
    <row r="1162">
      <c r="A1162" s="205"/>
      <c r="D1162" s="209" t="s">
        <v>162</v>
      </c>
      <c r="E1162" s="209">
        <v>2.0</v>
      </c>
      <c r="F1162" s="243"/>
      <c r="G1162" s="211"/>
      <c r="H1162" s="212" t="s">
        <v>164</v>
      </c>
      <c r="I1162" s="213" t="s">
        <v>163</v>
      </c>
    </row>
    <row r="1163">
      <c r="A1163" s="205"/>
      <c r="D1163" s="209" t="s">
        <v>185</v>
      </c>
      <c r="E1163" s="325">
        <v>1.0</v>
      </c>
      <c r="F1163" s="3"/>
      <c r="G1163" s="326"/>
      <c r="H1163" s="327" t="s">
        <v>187</v>
      </c>
      <c r="I1163" s="235" t="s">
        <v>186</v>
      </c>
    </row>
    <row r="1164">
      <c r="A1164" s="217"/>
      <c r="B1164" s="218"/>
      <c r="C1164" s="218"/>
      <c r="D1164" s="219" t="s">
        <v>120</v>
      </c>
      <c r="E1164" s="219">
        <v>1.0</v>
      </c>
      <c r="F1164" s="258"/>
      <c r="G1164" s="258"/>
      <c r="H1164" s="222" t="s">
        <v>327</v>
      </c>
      <c r="I1164" s="223" t="s">
        <v>105</v>
      </c>
    </row>
    <row r="1165">
      <c r="A1165" s="446" t="s">
        <v>847</v>
      </c>
      <c r="B1165" s="447" t="s">
        <v>848</v>
      </c>
      <c r="C1165" s="267">
        <f>sum(E1165:E1168)</f>
        <v>6</v>
      </c>
      <c r="D1165" s="629" t="s">
        <v>330</v>
      </c>
      <c r="E1165" s="629">
        <v>2.0</v>
      </c>
      <c r="F1165" s="630"/>
      <c r="G1165" s="630"/>
      <c r="H1165" s="645" t="s">
        <v>331</v>
      </c>
      <c r="I1165" s="632" t="s">
        <v>7</v>
      </c>
      <c r="J1165" s="469"/>
      <c r="K1165" s="469"/>
      <c r="L1165" s="469"/>
      <c r="M1165" s="469"/>
      <c r="N1165" s="469"/>
      <c r="O1165" s="469"/>
      <c r="P1165" s="469"/>
      <c r="Q1165" s="469"/>
      <c r="R1165" s="469"/>
      <c r="S1165" s="469"/>
      <c r="T1165" s="469"/>
      <c r="U1165" s="469"/>
      <c r="V1165" s="469"/>
      <c r="W1165" s="469"/>
      <c r="X1165" s="469"/>
      <c r="Y1165" s="469"/>
      <c r="Z1165" s="469"/>
      <c r="AA1165" s="469"/>
      <c r="AB1165" s="469"/>
      <c r="AC1165" s="469"/>
    </row>
    <row r="1166">
      <c r="A1166" s="205"/>
      <c r="D1166" s="731" t="s">
        <v>97</v>
      </c>
      <c r="E1166" s="731">
        <v>2.0</v>
      </c>
      <c r="F1166" s="732"/>
      <c r="G1166" s="732"/>
      <c r="H1166" s="733" t="s">
        <v>99</v>
      </c>
      <c r="I1166" s="734" t="s">
        <v>98</v>
      </c>
      <c r="J1166" s="469"/>
      <c r="K1166" s="469"/>
      <c r="L1166" s="469"/>
      <c r="M1166" s="469"/>
      <c r="N1166" s="469"/>
      <c r="O1166" s="469"/>
      <c r="P1166" s="469"/>
      <c r="Q1166" s="469"/>
      <c r="R1166" s="469"/>
      <c r="S1166" s="469"/>
      <c r="T1166" s="469"/>
      <c r="U1166" s="469"/>
      <c r="V1166" s="469"/>
      <c r="W1166" s="469"/>
      <c r="X1166" s="469"/>
      <c r="Y1166" s="469"/>
      <c r="Z1166" s="469"/>
      <c r="AA1166" s="469"/>
      <c r="AB1166" s="469"/>
      <c r="AC1166" s="469"/>
    </row>
    <row r="1167">
      <c r="A1167" s="205"/>
      <c r="D1167" s="474" t="s">
        <v>58</v>
      </c>
      <c r="E1167" s="474">
        <v>1.0</v>
      </c>
      <c r="F1167" s="475"/>
      <c r="G1167" s="475"/>
      <c r="H1167" s="476" t="s">
        <v>59</v>
      </c>
      <c r="I1167" s="633" t="s">
        <v>43</v>
      </c>
      <c r="J1167" s="469"/>
      <c r="K1167" s="469"/>
      <c r="L1167" s="469"/>
      <c r="M1167" s="469"/>
      <c r="N1167" s="469"/>
      <c r="O1167" s="469"/>
      <c r="P1167" s="469"/>
      <c r="Q1167" s="469"/>
      <c r="R1167" s="469"/>
      <c r="S1167" s="469"/>
      <c r="T1167" s="469"/>
      <c r="U1167" s="469"/>
      <c r="V1167" s="469"/>
      <c r="W1167" s="469"/>
      <c r="X1167" s="469"/>
      <c r="Y1167" s="469"/>
      <c r="Z1167" s="469"/>
      <c r="AA1167" s="469"/>
      <c r="AB1167" s="469"/>
      <c r="AC1167" s="469"/>
    </row>
    <row r="1168">
      <c r="A1168" s="217"/>
      <c r="B1168" s="218"/>
      <c r="C1168" s="218"/>
      <c r="D1168" s="735" t="s">
        <v>189</v>
      </c>
      <c r="E1168" s="735">
        <v>1.0</v>
      </c>
      <c r="F1168" s="736"/>
      <c r="G1168" s="736"/>
      <c r="H1168" s="737" t="s">
        <v>190</v>
      </c>
      <c r="I1168" s="738" t="s">
        <v>186</v>
      </c>
      <c r="J1168" s="469"/>
      <c r="K1168" s="469"/>
      <c r="L1168" s="469"/>
      <c r="M1168" s="469"/>
      <c r="N1168" s="469"/>
      <c r="O1168" s="469"/>
      <c r="P1168" s="469"/>
      <c r="Q1168" s="469"/>
      <c r="R1168" s="469"/>
      <c r="S1168" s="469"/>
      <c r="T1168" s="469"/>
      <c r="U1168" s="469"/>
      <c r="V1168" s="469"/>
      <c r="W1168" s="469"/>
      <c r="X1168" s="469"/>
      <c r="Y1168" s="469"/>
      <c r="Z1168" s="469"/>
      <c r="AA1168" s="469"/>
      <c r="AB1168" s="469"/>
      <c r="AC1168" s="469"/>
    </row>
    <row r="1169">
      <c r="A1169" s="314" t="s">
        <v>849</v>
      </c>
      <c r="B1169" s="277" t="s">
        <v>850</v>
      </c>
      <c r="C1169" s="197">
        <f>sum(E1169:E1171)</f>
        <v>5</v>
      </c>
      <c r="D1169" s="238" t="s">
        <v>11</v>
      </c>
      <c r="E1169" s="238">
        <v>2.0</v>
      </c>
      <c r="F1169" s="278"/>
      <c r="G1169" s="255"/>
      <c r="H1169" s="241" t="s">
        <v>348</v>
      </c>
      <c r="I1169" s="242" t="s">
        <v>7</v>
      </c>
      <c r="K1169" s="204"/>
      <c r="L1169" s="204"/>
    </row>
    <row r="1170">
      <c r="A1170" s="205"/>
      <c r="D1170" s="227" t="s">
        <v>97</v>
      </c>
      <c r="E1170" s="227">
        <v>2.0</v>
      </c>
      <c r="F1170" s="233"/>
      <c r="G1170" s="233"/>
      <c r="H1170" s="234" t="s">
        <v>99</v>
      </c>
      <c r="I1170" s="213" t="s">
        <v>98</v>
      </c>
      <c r="K1170" s="204"/>
      <c r="L1170" s="204"/>
    </row>
    <row r="1171">
      <c r="A1171" s="217"/>
      <c r="B1171" s="218"/>
      <c r="C1171" s="218"/>
      <c r="D1171" s="252" t="s">
        <v>61</v>
      </c>
      <c r="E1171" s="252">
        <v>1.0</v>
      </c>
      <c r="F1171" s="319"/>
      <c r="G1171" s="319"/>
      <c r="H1171" s="320" t="s">
        <v>62</v>
      </c>
      <c r="I1171" s="223" t="s">
        <v>43</v>
      </c>
      <c r="K1171" s="204"/>
      <c r="L1171" s="204"/>
    </row>
    <row r="1172">
      <c r="A1172" s="496" t="s">
        <v>851</v>
      </c>
      <c r="B1172" s="237" t="s">
        <v>852</v>
      </c>
      <c r="C1172" s="197">
        <f>sum(E1172:E1174)</f>
        <v>5</v>
      </c>
      <c r="D1172" s="238" t="s">
        <v>159</v>
      </c>
      <c r="E1172" s="238">
        <v>1.0</v>
      </c>
      <c r="F1172" s="280"/>
      <c r="G1172" s="280"/>
      <c r="H1172" s="241" t="s">
        <v>160</v>
      </c>
      <c r="I1172" s="324" t="s">
        <v>144</v>
      </c>
      <c r="K1172" s="204"/>
      <c r="L1172" s="204"/>
    </row>
    <row r="1173">
      <c r="A1173" s="205"/>
      <c r="D1173" s="209" t="s">
        <v>162</v>
      </c>
      <c r="E1173" s="209">
        <v>2.0</v>
      </c>
      <c r="F1173" s="243"/>
      <c r="G1173" s="211"/>
      <c r="H1173" s="212" t="s">
        <v>164</v>
      </c>
      <c r="I1173" s="213" t="s">
        <v>163</v>
      </c>
      <c r="K1173" s="204"/>
      <c r="L1173" s="204"/>
    </row>
    <row r="1174">
      <c r="A1174" s="217"/>
      <c r="B1174" s="218"/>
      <c r="C1174" s="218"/>
      <c r="D1174" s="219" t="s">
        <v>104</v>
      </c>
      <c r="E1174" s="219">
        <v>2.0</v>
      </c>
      <c r="F1174" s="258"/>
      <c r="G1174" s="258"/>
      <c r="H1174" s="222" t="s">
        <v>106</v>
      </c>
      <c r="I1174" s="223" t="s">
        <v>105</v>
      </c>
      <c r="K1174" s="204"/>
      <c r="L1174" s="204"/>
    </row>
    <row r="1175">
      <c r="A1175" s="236" t="s">
        <v>853</v>
      </c>
      <c r="B1175" s="237" t="s">
        <v>854</v>
      </c>
      <c r="C1175" s="197">
        <f>sum(E1175:E1177)</f>
        <v>5</v>
      </c>
      <c r="D1175" s="672" t="s">
        <v>91</v>
      </c>
      <c r="E1175" s="672">
        <v>1.0</v>
      </c>
      <c r="F1175" s="673"/>
      <c r="G1175" s="674"/>
      <c r="H1175" s="675" t="s">
        <v>92</v>
      </c>
      <c r="I1175" s="489" t="s">
        <v>65</v>
      </c>
      <c r="K1175" s="204"/>
      <c r="L1175" s="204"/>
    </row>
    <row r="1176">
      <c r="A1176" s="205"/>
      <c r="D1176" s="209" t="s">
        <v>162</v>
      </c>
      <c r="E1176" s="209">
        <v>2.0</v>
      </c>
      <c r="F1176" s="739"/>
      <c r="G1176" s="740"/>
      <c r="H1176" s="212" t="s">
        <v>164</v>
      </c>
      <c r="I1176" s="213" t="s">
        <v>163</v>
      </c>
      <c r="K1176" s="204"/>
      <c r="L1176" s="204"/>
    </row>
    <row r="1177">
      <c r="A1177" s="217"/>
      <c r="B1177" s="218"/>
      <c r="C1177" s="218"/>
      <c r="D1177" s="209" t="s">
        <v>22</v>
      </c>
      <c r="E1177" s="209">
        <v>2.0</v>
      </c>
      <c r="F1177" s="739"/>
      <c r="G1177" s="741"/>
      <c r="H1177" s="212" t="s">
        <v>307</v>
      </c>
      <c r="I1177" s="213" t="s">
        <v>23</v>
      </c>
      <c r="K1177" s="204"/>
      <c r="L1177" s="204"/>
    </row>
    <row r="1178">
      <c r="A1178" s="195" t="s">
        <v>855</v>
      </c>
      <c r="B1178" s="237" t="s">
        <v>856</v>
      </c>
      <c r="C1178" s="197">
        <f>sum(E1178:E1180)</f>
        <v>5</v>
      </c>
      <c r="D1178" s="238" t="s">
        <v>104</v>
      </c>
      <c r="E1178" s="238">
        <v>2.0</v>
      </c>
      <c r="F1178" s="353"/>
      <c r="G1178" s="353"/>
      <c r="H1178" s="241" t="s">
        <v>106</v>
      </c>
      <c r="I1178" s="242" t="s">
        <v>105</v>
      </c>
      <c r="J1178" s="4"/>
      <c r="K1178" s="204"/>
      <c r="L1178" s="204"/>
    </row>
    <row r="1179">
      <c r="A1179" s="205"/>
      <c r="D1179" s="209" t="s">
        <v>22</v>
      </c>
      <c r="E1179" s="209">
        <v>2.0</v>
      </c>
      <c r="F1179" s="299"/>
      <c r="G1179" s="300"/>
      <c r="H1179" s="212" t="s">
        <v>307</v>
      </c>
      <c r="I1179" s="213" t="s">
        <v>23</v>
      </c>
      <c r="J1179" s="4"/>
      <c r="K1179" s="204"/>
      <c r="L1179" s="204"/>
    </row>
    <row r="1180">
      <c r="A1180" s="217"/>
      <c r="B1180" s="218"/>
      <c r="C1180" s="218"/>
      <c r="D1180" s="219" t="s">
        <v>134</v>
      </c>
      <c r="E1180" s="219">
        <v>1.0</v>
      </c>
      <c r="F1180" s="263"/>
      <c r="G1180" s="264"/>
      <c r="H1180" s="222" t="s">
        <v>135</v>
      </c>
      <c r="I1180" s="223" t="s">
        <v>105</v>
      </c>
      <c r="J1180" s="4"/>
      <c r="K1180" s="204"/>
      <c r="L1180" s="204"/>
    </row>
    <row r="1181">
      <c r="A1181" s="195" t="s">
        <v>857</v>
      </c>
      <c r="B1181" s="237" t="s">
        <v>411</v>
      </c>
      <c r="C1181" s="267">
        <f>sum(E1181:E1184)</f>
        <v>5</v>
      </c>
      <c r="D1181" s="280" t="s">
        <v>88</v>
      </c>
      <c r="E1181" s="280">
        <v>1.0</v>
      </c>
      <c r="F1181" s="495"/>
      <c r="G1181" s="281"/>
      <c r="H1181" s="282" t="s">
        <v>89</v>
      </c>
      <c r="I1181" s="526" t="s">
        <v>65</v>
      </c>
      <c r="K1181" s="204"/>
      <c r="L1181" s="204"/>
    </row>
    <row r="1182">
      <c r="A1182" s="205"/>
      <c r="D1182" s="271" t="s">
        <v>101</v>
      </c>
      <c r="E1182" s="271">
        <v>2.0</v>
      </c>
      <c r="F1182" s="272"/>
      <c r="G1182" s="273"/>
      <c r="H1182" s="274" t="s">
        <v>102</v>
      </c>
      <c r="I1182" s="275" t="s">
        <v>98</v>
      </c>
      <c r="K1182" s="204"/>
      <c r="L1182" s="204"/>
    </row>
    <row r="1183">
      <c r="A1183" s="205"/>
      <c r="D1183" s="528" t="s">
        <v>169</v>
      </c>
      <c r="E1183" s="528">
        <v>1.0</v>
      </c>
      <c r="F1183" s="115"/>
      <c r="G1183" s="116"/>
      <c r="H1183" s="529" t="s">
        <v>170</v>
      </c>
      <c r="I1183" s="530" t="s">
        <v>163</v>
      </c>
      <c r="K1183" s="204"/>
      <c r="L1183" s="204"/>
    </row>
    <row r="1184">
      <c r="A1184" s="217"/>
      <c r="B1184" s="218"/>
      <c r="C1184" s="218"/>
      <c r="D1184" s="209" t="s">
        <v>134</v>
      </c>
      <c r="E1184" s="209">
        <v>1.0</v>
      </c>
      <c r="F1184" s="210"/>
      <c r="G1184" s="211"/>
      <c r="H1184" s="212" t="s">
        <v>135</v>
      </c>
      <c r="I1184" s="213" t="s">
        <v>105</v>
      </c>
      <c r="K1184" s="204"/>
      <c r="L1184" s="204"/>
    </row>
    <row r="1185">
      <c r="A1185" s="195" t="s">
        <v>858</v>
      </c>
      <c r="B1185" s="196" t="s">
        <v>859</v>
      </c>
      <c r="C1185" s="267">
        <f>sum(E1185:E1187)</f>
        <v>5</v>
      </c>
      <c r="D1185" s="280" t="s">
        <v>97</v>
      </c>
      <c r="E1185" s="280">
        <v>2.0</v>
      </c>
      <c r="F1185" s="281"/>
      <c r="G1185" s="281"/>
      <c r="H1185" s="282" t="s">
        <v>99</v>
      </c>
      <c r="I1185" s="242" t="s">
        <v>98</v>
      </c>
      <c r="K1185" s="204"/>
      <c r="L1185" s="204"/>
    </row>
    <row r="1186">
      <c r="A1186" s="205"/>
      <c r="D1186" s="209" t="s">
        <v>162</v>
      </c>
      <c r="E1186" s="209">
        <v>2.0</v>
      </c>
      <c r="F1186" s="243"/>
      <c r="G1186" s="211"/>
      <c r="H1186" s="212" t="s">
        <v>164</v>
      </c>
      <c r="I1186" s="213" t="s">
        <v>163</v>
      </c>
      <c r="K1186" s="204"/>
      <c r="L1186" s="204"/>
    </row>
    <row r="1187">
      <c r="A1187" s="217"/>
      <c r="B1187" s="218"/>
      <c r="C1187" s="218"/>
      <c r="D1187" s="252" t="s">
        <v>120</v>
      </c>
      <c r="E1187" s="252">
        <v>1.0</v>
      </c>
      <c r="F1187" s="342"/>
      <c r="G1187" s="319"/>
      <c r="H1187" s="320" t="s">
        <v>121</v>
      </c>
      <c r="I1187" s="343" t="s">
        <v>105</v>
      </c>
      <c r="K1187" s="204"/>
      <c r="L1187" s="204"/>
    </row>
    <row r="1188">
      <c r="A1188" s="195" t="s">
        <v>860</v>
      </c>
      <c r="B1188" s="196" t="s">
        <v>652</v>
      </c>
      <c r="C1188" s="197">
        <f>sum(E1188:E1190)</f>
        <v>5</v>
      </c>
      <c r="D1188" s="418" t="s">
        <v>39</v>
      </c>
      <c r="E1188" s="418">
        <v>1.0</v>
      </c>
      <c r="F1188" s="419"/>
      <c r="G1188" s="420"/>
      <c r="H1188" s="421" t="s">
        <v>40</v>
      </c>
      <c r="I1188" s="374" t="s">
        <v>30</v>
      </c>
      <c r="K1188" s="204"/>
      <c r="L1188" s="204"/>
    </row>
    <row r="1189">
      <c r="A1189" s="205"/>
      <c r="D1189" s="209" t="s">
        <v>447</v>
      </c>
      <c r="E1189" s="209">
        <v>2.0</v>
      </c>
      <c r="F1189" s="215"/>
      <c r="G1189" s="216"/>
      <c r="H1189" s="212" t="s">
        <v>283</v>
      </c>
      <c r="I1189" s="213" t="s">
        <v>65</v>
      </c>
      <c r="K1189" s="204"/>
      <c r="L1189" s="204"/>
    </row>
    <row r="1190">
      <c r="A1190" s="217"/>
      <c r="B1190" s="218"/>
      <c r="C1190" s="218"/>
      <c r="D1190" s="271" t="s">
        <v>101</v>
      </c>
      <c r="E1190" s="271">
        <v>2.0</v>
      </c>
      <c r="F1190" s="272"/>
      <c r="G1190" s="273"/>
      <c r="H1190" s="274" t="s">
        <v>102</v>
      </c>
      <c r="I1190" s="275" t="s">
        <v>98</v>
      </c>
      <c r="K1190" s="204"/>
      <c r="L1190" s="204"/>
    </row>
    <row r="1191">
      <c r="A1191" s="236" t="s">
        <v>861</v>
      </c>
      <c r="B1191" s="237" t="s">
        <v>862</v>
      </c>
      <c r="C1191" s="267">
        <f>sum(E1191:E1193)</f>
        <v>5</v>
      </c>
      <c r="D1191" s="238" t="s">
        <v>159</v>
      </c>
      <c r="E1191" s="238">
        <v>1.0</v>
      </c>
      <c r="F1191" s="280"/>
      <c r="G1191" s="280"/>
      <c r="H1191" s="241" t="s">
        <v>160</v>
      </c>
      <c r="I1191" s="324" t="s">
        <v>144</v>
      </c>
      <c r="K1191" s="204"/>
      <c r="L1191" s="204"/>
    </row>
    <row r="1192">
      <c r="A1192" s="205"/>
      <c r="D1192" s="209" t="s">
        <v>162</v>
      </c>
      <c r="E1192" s="209">
        <v>2.0</v>
      </c>
      <c r="F1192" s="243"/>
      <c r="G1192" s="211"/>
      <c r="H1192" s="212" t="s">
        <v>164</v>
      </c>
      <c r="I1192" s="213" t="s">
        <v>163</v>
      </c>
      <c r="K1192" s="204"/>
      <c r="L1192" s="204"/>
    </row>
    <row r="1193">
      <c r="A1193" s="217"/>
      <c r="B1193" s="218"/>
      <c r="C1193" s="218"/>
      <c r="D1193" s="209" t="s">
        <v>11</v>
      </c>
      <c r="E1193" s="209">
        <v>2.0</v>
      </c>
      <c r="F1193" s="310"/>
      <c r="G1193" s="310"/>
      <c r="H1193" s="212" t="s">
        <v>348</v>
      </c>
      <c r="I1193" s="213" t="s">
        <v>7</v>
      </c>
      <c r="K1193" s="204"/>
      <c r="L1193" s="204"/>
    </row>
    <row r="1194">
      <c r="A1194" s="236" t="s">
        <v>863</v>
      </c>
      <c r="B1194" s="237" t="s">
        <v>302</v>
      </c>
      <c r="C1194" s="267">
        <f>sum(E1194:E1196)</f>
        <v>5</v>
      </c>
      <c r="D1194" s="418" t="s">
        <v>36</v>
      </c>
      <c r="E1194" s="418">
        <v>1.0</v>
      </c>
      <c r="F1194" s="419"/>
      <c r="G1194" s="420"/>
      <c r="H1194" s="421" t="s">
        <v>37</v>
      </c>
      <c r="I1194" s="374" t="s">
        <v>30</v>
      </c>
      <c r="K1194" s="204"/>
      <c r="L1194" s="204"/>
    </row>
    <row r="1195">
      <c r="A1195" s="205"/>
      <c r="D1195" s="209" t="s">
        <v>49</v>
      </c>
      <c r="E1195" s="209">
        <v>2.0</v>
      </c>
      <c r="F1195" s="210"/>
      <c r="G1195" s="211"/>
      <c r="H1195" s="212" t="s">
        <v>50</v>
      </c>
      <c r="I1195" s="213" t="s">
        <v>43</v>
      </c>
      <c r="K1195" s="204"/>
      <c r="L1195" s="204"/>
    </row>
    <row r="1196">
      <c r="A1196" s="217"/>
      <c r="B1196" s="218"/>
      <c r="C1196" s="218"/>
      <c r="D1196" s="287" t="s">
        <v>150</v>
      </c>
      <c r="E1196" s="287">
        <v>2.0</v>
      </c>
      <c r="F1196" s="288"/>
      <c r="G1196" s="288"/>
      <c r="H1196" s="291" t="s">
        <v>151</v>
      </c>
      <c r="I1196" s="292" t="s">
        <v>144</v>
      </c>
      <c r="K1196" s="204"/>
      <c r="L1196" s="204"/>
    </row>
    <row r="1197">
      <c r="A1197" s="236" t="s">
        <v>864</v>
      </c>
      <c r="B1197" s="196" t="s">
        <v>865</v>
      </c>
      <c r="C1197" s="267">
        <f>sum(E1197:E1199)</f>
        <v>5</v>
      </c>
      <c r="D1197" s="238" t="s">
        <v>162</v>
      </c>
      <c r="E1197" s="238">
        <v>2.0</v>
      </c>
      <c r="F1197" s="321"/>
      <c r="G1197" s="255"/>
      <c r="H1197" s="241" t="s">
        <v>164</v>
      </c>
      <c r="I1197" s="242" t="s">
        <v>163</v>
      </c>
      <c r="K1197" s="204"/>
      <c r="L1197" s="204"/>
    </row>
    <row r="1198">
      <c r="A1198" s="205"/>
      <c r="D1198" s="209" t="s">
        <v>104</v>
      </c>
      <c r="E1198" s="209">
        <v>2.0</v>
      </c>
      <c r="F1198" s="310"/>
      <c r="G1198" s="310"/>
      <c r="H1198" s="212" t="s">
        <v>106</v>
      </c>
      <c r="I1198" s="213" t="s">
        <v>105</v>
      </c>
      <c r="K1198" s="204"/>
      <c r="L1198" s="204"/>
    </row>
    <row r="1199">
      <c r="A1199" s="217"/>
      <c r="B1199" s="218"/>
      <c r="C1199" s="218"/>
      <c r="D1199" s="219" t="s">
        <v>159</v>
      </c>
      <c r="E1199" s="219">
        <v>1.0</v>
      </c>
      <c r="F1199" s="252"/>
      <c r="G1199" s="252"/>
      <c r="H1199" s="222" t="s">
        <v>160</v>
      </c>
      <c r="I1199" s="253" t="s">
        <v>144</v>
      </c>
      <c r="K1199" s="204"/>
      <c r="L1199" s="204"/>
    </row>
    <row r="1200">
      <c r="A1200" s="236" t="s">
        <v>866</v>
      </c>
      <c r="B1200" s="412" t="s">
        <v>867</v>
      </c>
      <c r="C1200" s="267">
        <f>sum(E1200:E1202)</f>
        <v>5</v>
      </c>
      <c r="D1200" s="238" t="s">
        <v>330</v>
      </c>
      <c r="E1200" s="238">
        <v>2.0</v>
      </c>
      <c r="F1200" s="278"/>
      <c r="G1200" s="255"/>
      <c r="H1200" s="241" t="s">
        <v>331</v>
      </c>
      <c r="I1200" s="242" t="s">
        <v>7</v>
      </c>
      <c r="K1200" s="204"/>
      <c r="L1200" s="204"/>
    </row>
    <row r="1201">
      <c r="A1201" s="205"/>
      <c r="D1201" s="209" t="s">
        <v>159</v>
      </c>
      <c r="E1201" s="209">
        <v>1.0</v>
      </c>
      <c r="F1201" s="227"/>
      <c r="G1201" s="227"/>
      <c r="H1201" s="212" t="s">
        <v>160</v>
      </c>
      <c r="I1201" s="228" t="s">
        <v>144</v>
      </c>
      <c r="K1201" s="204"/>
      <c r="L1201" s="204"/>
    </row>
    <row r="1202">
      <c r="A1202" s="217"/>
      <c r="B1202" s="218"/>
      <c r="C1202" s="218"/>
      <c r="D1202" s="209" t="s">
        <v>162</v>
      </c>
      <c r="E1202" s="209">
        <v>2.0</v>
      </c>
      <c r="F1202" s="243"/>
      <c r="G1202" s="211"/>
      <c r="H1202" s="212" t="s">
        <v>164</v>
      </c>
      <c r="I1202" s="213" t="s">
        <v>163</v>
      </c>
      <c r="K1202" s="204"/>
      <c r="L1202" s="204"/>
    </row>
    <row r="1203">
      <c r="A1203" s="236" t="s">
        <v>868</v>
      </c>
      <c r="B1203" s="237" t="s">
        <v>869</v>
      </c>
      <c r="C1203" s="267">
        <f>sum(E1203:E1205)</f>
        <v>5</v>
      </c>
      <c r="D1203" s="238" t="s">
        <v>22</v>
      </c>
      <c r="E1203" s="238">
        <v>2.0</v>
      </c>
      <c r="F1203" s="321"/>
      <c r="G1203" s="255"/>
      <c r="H1203" s="241" t="s">
        <v>307</v>
      </c>
      <c r="I1203" s="242" t="s">
        <v>23</v>
      </c>
      <c r="J1203" s="255"/>
      <c r="K1203" s="718"/>
      <c r="L1203" s="718"/>
      <c r="M1203" s="255"/>
      <c r="N1203" s="255"/>
      <c r="O1203" s="255"/>
      <c r="P1203" s="255"/>
      <c r="Q1203" s="255"/>
      <c r="R1203" s="255"/>
      <c r="S1203" s="255"/>
      <c r="T1203" s="255"/>
      <c r="U1203" s="255"/>
      <c r="V1203" s="255"/>
      <c r="W1203" s="255"/>
      <c r="X1203" s="255"/>
      <c r="Y1203" s="255"/>
      <c r="Z1203" s="255"/>
      <c r="AA1203" s="255"/>
      <c r="AB1203" s="255"/>
      <c r="AC1203" s="719"/>
    </row>
    <row r="1204">
      <c r="A1204" s="205"/>
      <c r="D1204" s="209" t="s">
        <v>11</v>
      </c>
      <c r="E1204" s="209">
        <v>2.0</v>
      </c>
      <c r="F1204" s="310"/>
      <c r="G1204" s="310"/>
      <c r="H1204" s="212" t="s">
        <v>348</v>
      </c>
      <c r="I1204" s="213" t="s">
        <v>7</v>
      </c>
      <c r="K1204" s="204"/>
      <c r="L1204" s="204"/>
      <c r="AC1204" s="721"/>
    </row>
    <row r="1205">
      <c r="A1205" s="217"/>
      <c r="B1205" s="218"/>
      <c r="C1205" s="218"/>
      <c r="D1205" s="252" t="s">
        <v>120</v>
      </c>
      <c r="E1205" s="252">
        <v>1.0</v>
      </c>
      <c r="F1205" s="342"/>
      <c r="G1205" s="319"/>
      <c r="H1205" s="320" t="s">
        <v>121</v>
      </c>
      <c r="I1205" s="343" t="s">
        <v>105</v>
      </c>
      <c r="J1205" s="264"/>
      <c r="K1205" s="723"/>
      <c r="L1205" s="723"/>
      <c r="M1205" s="264"/>
      <c r="N1205" s="264"/>
      <c r="O1205" s="264"/>
      <c r="P1205" s="264"/>
      <c r="Q1205" s="264"/>
      <c r="R1205" s="264"/>
      <c r="S1205" s="264"/>
      <c r="T1205" s="264"/>
      <c r="U1205" s="264"/>
      <c r="V1205" s="264"/>
      <c r="W1205" s="264"/>
      <c r="X1205" s="264"/>
      <c r="Y1205" s="264"/>
      <c r="Z1205" s="264"/>
      <c r="AA1205" s="264"/>
      <c r="AB1205" s="264"/>
      <c r="AC1205" s="724"/>
    </row>
    <row r="1206">
      <c r="A1206" s="236" t="s">
        <v>870</v>
      </c>
      <c r="B1206" s="237" t="s">
        <v>722</v>
      </c>
      <c r="C1206" s="267">
        <f>sum(E1206:E1208)</f>
        <v>5</v>
      </c>
      <c r="D1206" s="238" t="s">
        <v>330</v>
      </c>
      <c r="E1206" s="238">
        <v>2.0</v>
      </c>
      <c r="F1206" s="278"/>
      <c r="G1206" s="255"/>
      <c r="H1206" s="241" t="s">
        <v>331</v>
      </c>
      <c r="I1206" s="242" t="s">
        <v>7</v>
      </c>
      <c r="K1206" s="204"/>
      <c r="L1206" s="204"/>
    </row>
    <row r="1207">
      <c r="A1207" s="205"/>
      <c r="D1207" s="209" t="s">
        <v>64</v>
      </c>
      <c r="E1207" s="209">
        <v>3.0</v>
      </c>
      <c r="F1207" s="210"/>
      <c r="G1207" s="211"/>
      <c r="H1207" s="212" t="s">
        <v>283</v>
      </c>
      <c r="I1207" s="213" t="s">
        <v>65</v>
      </c>
      <c r="K1207" s="204"/>
      <c r="L1207" s="204"/>
    </row>
    <row r="1208">
      <c r="A1208" s="217"/>
      <c r="B1208" s="218"/>
      <c r="C1208" s="218"/>
      <c r="D1208" s="218"/>
      <c r="E1208" s="218"/>
      <c r="F1208" s="218"/>
      <c r="G1208" s="218"/>
      <c r="H1208" s="218"/>
      <c r="I1208" s="509"/>
      <c r="K1208" s="204"/>
      <c r="L1208" s="204"/>
    </row>
    <row r="1209">
      <c r="A1209" s="236" t="s">
        <v>871</v>
      </c>
      <c r="B1209" s="237" t="s">
        <v>872</v>
      </c>
      <c r="C1209" s="267">
        <f>sum(E1209:E1211)</f>
        <v>5</v>
      </c>
      <c r="D1209" s="238" t="s">
        <v>49</v>
      </c>
      <c r="E1209" s="238">
        <v>2.0</v>
      </c>
      <c r="F1209" s="278"/>
      <c r="G1209" s="255"/>
      <c r="H1209" s="241" t="s">
        <v>50</v>
      </c>
      <c r="I1209" s="242" t="s">
        <v>43</v>
      </c>
      <c r="K1209" s="204"/>
      <c r="L1209" s="204"/>
    </row>
    <row r="1210">
      <c r="A1210" s="205"/>
      <c r="D1210" s="209" t="s">
        <v>284</v>
      </c>
      <c r="E1210" s="209">
        <v>1.0</v>
      </c>
      <c r="F1210" s="215"/>
      <c r="G1210" s="216"/>
      <c r="H1210" s="212" t="s">
        <v>115</v>
      </c>
      <c r="I1210" s="213" t="s">
        <v>105</v>
      </c>
      <c r="K1210" s="204"/>
      <c r="L1210" s="204"/>
    </row>
    <row r="1211">
      <c r="A1211" s="217"/>
      <c r="B1211" s="218"/>
      <c r="C1211" s="218"/>
      <c r="D1211" s="219" t="s">
        <v>290</v>
      </c>
      <c r="E1211" s="219">
        <v>2.0</v>
      </c>
      <c r="F1211" s="220"/>
      <c r="G1211" s="221"/>
      <c r="H1211" s="222" t="s">
        <v>283</v>
      </c>
      <c r="I1211" s="223" t="s">
        <v>65</v>
      </c>
      <c r="K1211" s="204"/>
      <c r="L1211" s="204"/>
    </row>
    <row r="1212">
      <c r="A1212" s="225" t="s">
        <v>873</v>
      </c>
      <c r="B1212" s="225" t="s">
        <v>874</v>
      </c>
      <c r="C1212" s="694">
        <f>sum(E1212:E1213)</f>
        <v>5</v>
      </c>
      <c r="D1212" s="227" t="s">
        <v>156</v>
      </c>
      <c r="E1212" s="227">
        <v>2.0</v>
      </c>
      <c r="F1212" s="233"/>
      <c r="G1212" s="233"/>
      <c r="H1212" s="234" t="s">
        <v>157</v>
      </c>
      <c r="I1212" s="228" t="s">
        <v>144</v>
      </c>
      <c r="K1212" s="204"/>
      <c r="L1212" s="204"/>
    </row>
    <row r="1213">
      <c r="D1213" s="209" t="s">
        <v>405</v>
      </c>
      <c r="E1213" s="209">
        <v>3.0</v>
      </c>
      <c r="F1213" s="210"/>
      <c r="G1213" s="211"/>
      <c r="H1213" s="212" t="s">
        <v>31</v>
      </c>
      <c r="I1213" s="285" t="s">
        <v>30</v>
      </c>
      <c r="K1213" s="204"/>
      <c r="L1213" s="204"/>
    </row>
    <row r="1214">
      <c r="A1214" s="236" t="s">
        <v>870</v>
      </c>
      <c r="B1214" s="237" t="s">
        <v>875</v>
      </c>
      <c r="C1214" s="197">
        <f>sum(E1214:E1216)</f>
        <v>5</v>
      </c>
      <c r="D1214" s="280" t="s">
        <v>97</v>
      </c>
      <c r="E1214" s="280">
        <v>2.0</v>
      </c>
      <c r="F1214" s="281"/>
      <c r="G1214" s="281"/>
      <c r="H1214" s="282" t="s">
        <v>99</v>
      </c>
      <c r="I1214" s="242" t="s">
        <v>98</v>
      </c>
      <c r="K1214" s="204"/>
      <c r="L1214" s="204"/>
    </row>
    <row r="1215">
      <c r="A1215" s="205"/>
      <c r="D1215" s="209" t="s">
        <v>162</v>
      </c>
      <c r="E1215" s="209">
        <v>2.0</v>
      </c>
      <c r="F1215" s="243"/>
      <c r="G1215" s="211"/>
      <c r="H1215" s="212" t="s">
        <v>164</v>
      </c>
      <c r="I1215" s="213" t="s">
        <v>163</v>
      </c>
      <c r="K1215" s="204"/>
      <c r="L1215" s="204"/>
    </row>
    <row r="1216">
      <c r="A1216" s="217"/>
      <c r="B1216" s="218"/>
      <c r="C1216" s="218"/>
      <c r="D1216" s="219" t="s">
        <v>284</v>
      </c>
      <c r="E1216" s="219">
        <v>1.0</v>
      </c>
      <c r="F1216" s="220"/>
      <c r="G1216" s="221"/>
      <c r="H1216" s="222" t="s">
        <v>115</v>
      </c>
      <c r="I1216" s="223" t="s">
        <v>105</v>
      </c>
      <c r="K1216" s="204"/>
      <c r="L1216" s="204"/>
    </row>
    <row r="1217">
      <c r="A1217" s="446" t="s">
        <v>876</v>
      </c>
      <c r="B1217" s="447" t="s">
        <v>877</v>
      </c>
      <c r="C1217" s="267">
        <f>sum(E1217:E1218)</f>
        <v>5</v>
      </c>
      <c r="D1217" s="280" t="s">
        <v>97</v>
      </c>
      <c r="E1217" s="280">
        <v>2.0</v>
      </c>
      <c r="F1217" s="281"/>
      <c r="G1217" s="281"/>
      <c r="H1217" s="282" t="s">
        <v>99</v>
      </c>
      <c r="I1217" s="242" t="s">
        <v>98</v>
      </c>
    </row>
    <row r="1218">
      <c r="A1218" s="217"/>
      <c r="B1218" s="218"/>
      <c r="C1218" s="218"/>
      <c r="D1218" s="219" t="s">
        <v>147</v>
      </c>
      <c r="E1218" s="219">
        <v>3.0</v>
      </c>
      <c r="F1218" s="252"/>
      <c r="G1218" s="252"/>
      <c r="H1218" s="222" t="s">
        <v>145</v>
      </c>
      <c r="I1218" s="253" t="s">
        <v>144</v>
      </c>
    </row>
    <row r="1219">
      <c r="A1219" s="195" t="s">
        <v>878</v>
      </c>
      <c r="B1219" s="196" t="s">
        <v>879</v>
      </c>
      <c r="C1219" s="267">
        <f>sum(E1219:E1222)</f>
        <v>5</v>
      </c>
      <c r="D1219" s="238" t="s">
        <v>159</v>
      </c>
      <c r="E1219" s="238">
        <v>1.0</v>
      </c>
      <c r="F1219" s="280"/>
      <c r="G1219" s="280"/>
      <c r="H1219" s="241" t="s">
        <v>160</v>
      </c>
      <c r="I1219" s="324" t="s">
        <v>144</v>
      </c>
    </row>
    <row r="1220">
      <c r="A1220" s="205"/>
      <c r="D1220" s="209" t="s">
        <v>290</v>
      </c>
      <c r="E1220" s="209">
        <v>2.0</v>
      </c>
      <c r="F1220" s="215"/>
      <c r="G1220" s="216"/>
      <c r="H1220" s="212" t="s">
        <v>283</v>
      </c>
      <c r="I1220" s="213" t="s">
        <v>65</v>
      </c>
    </row>
    <row r="1221">
      <c r="A1221" s="205"/>
      <c r="D1221" s="209" t="s">
        <v>120</v>
      </c>
      <c r="E1221" s="209">
        <v>1.0</v>
      </c>
      <c r="F1221" s="310"/>
      <c r="G1221" s="310"/>
      <c r="H1221" s="212" t="s">
        <v>327</v>
      </c>
      <c r="I1221" s="213" t="s">
        <v>105</v>
      </c>
    </row>
    <row r="1222">
      <c r="A1222" s="217"/>
      <c r="B1222" s="218"/>
      <c r="C1222" s="218"/>
      <c r="D1222" s="219" t="s">
        <v>117</v>
      </c>
      <c r="E1222" s="219">
        <v>1.0</v>
      </c>
      <c r="F1222" s="264"/>
      <c r="G1222" s="264"/>
      <c r="H1222" s="222" t="s">
        <v>322</v>
      </c>
      <c r="I1222" s="223" t="s">
        <v>105</v>
      </c>
    </row>
    <row r="1223">
      <c r="A1223" s="742" t="s">
        <v>880</v>
      </c>
      <c r="B1223" s="743" t="s">
        <v>881</v>
      </c>
      <c r="C1223" s="744">
        <f>sum(E1223)</f>
        <v>5</v>
      </c>
      <c r="D1223" s="745" t="s">
        <v>143</v>
      </c>
      <c r="E1223" s="745">
        <v>5.0</v>
      </c>
      <c r="F1223" s="746"/>
      <c r="G1223" s="746"/>
      <c r="H1223" s="747" t="s">
        <v>145</v>
      </c>
      <c r="I1223" s="748" t="s">
        <v>144</v>
      </c>
      <c r="J1223" s="233"/>
      <c r="K1223" s="233"/>
      <c r="L1223" s="233"/>
      <c r="M1223" s="233"/>
      <c r="N1223" s="233"/>
      <c r="O1223" s="233"/>
      <c r="P1223" s="233"/>
      <c r="Q1223" s="233"/>
      <c r="R1223" s="233"/>
      <c r="S1223" s="233"/>
      <c r="T1223" s="233"/>
      <c r="U1223" s="233"/>
      <c r="V1223" s="233"/>
      <c r="W1223" s="233"/>
      <c r="X1223" s="233"/>
      <c r="Y1223" s="233"/>
      <c r="Z1223" s="233"/>
      <c r="AA1223" s="233"/>
      <c r="AB1223" s="233"/>
      <c r="AC1223" s="233"/>
    </row>
    <row r="1224">
      <c r="A1224" s="195" t="s">
        <v>882</v>
      </c>
      <c r="B1224" s="196" t="s">
        <v>883</v>
      </c>
      <c r="C1224" s="267">
        <f>sum(E1224:E1226)</f>
        <v>5</v>
      </c>
      <c r="D1224" s="238" t="s">
        <v>330</v>
      </c>
      <c r="E1224" s="238">
        <v>2.0</v>
      </c>
      <c r="F1224" s="278"/>
      <c r="G1224" s="255"/>
      <c r="H1224" s="241" t="s">
        <v>331</v>
      </c>
      <c r="I1224" s="242" t="s">
        <v>7</v>
      </c>
    </row>
    <row r="1225">
      <c r="A1225" s="205"/>
      <c r="D1225" s="209" t="s">
        <v>55</v>
      </c>
      <c r="E1225" s="209">
        <v>1.0</v>
      </c>
      <c r="F1225" s="210"/>
      <c r="G1225" s="211"/>
      <c r="H1225" s="212" t="s">
        <v>56</v>
      </c>
      <c r="I1225" s="213" t="s">
        <v>43</v>
      </c>
    </row>
    <row r="1226">
      <c r="A1226" s="217"/>
      <c r="B1226" s="218"/>
      <c r="C1226" s="218"/>
      <c r="D1226" s="219" t="s">
        <v>162</v>
      </c>
      <c r="E1226" s="219">
        <v>2.0</v>
      </c>
      <c r="F1226" s="313"/>
      <c r="G1226" s="264"/>
      <c r="H1226" s="222" t="s">
        <v>164</v>
      </c>
      <c r="I1226" s="223" t="s">
        <v>163</v>
      </c>
    </row>
    <row r="1227">
      <c r="A1227" s="464" t="s">
        <v>884</v>
      </c>
      <c r="B1227" s="447" t="s">
        <v>885</v>
      </c>
      <c r="C1227" s="267">
        <f>sum(E1227:E1228)</f>
        <v>5</v>
      </c>
      <c r="D1227" s="449" t="s">
        <v>147</v>
      </c>
      <c r="E1227" s="449">
        <v>3.0</v>
      </c>
      <c r="F1227" s="749"/>
      <c r="G1227" s="749"/>
      <c r="H1227" s="451" t="s">
        <v>145</v>
      </c>
      <c r="I1227" s="452" t="s">
        <v>144</v>
      </c>
      <c r="J1227" s="469"/>
      <c r="K1227" s="469"/>
      <c r="L1227" s="469"/>
      <c r="M1227" s="469"/>
      <c r="N1227" s="469"/>
      <c r="O1227" s="469"/>
      <c r="P1227" s="469"/>
      <c r="Q1227" s="469"/>
      <c r="R1227" s="469"/>
      <c r="S1227" s="469"/>
      <c r="T1227" s="469"/>
      <c r="U1227" s="469"/>
      <c r="V1227" s="469"/>
      <c r="W1227" s="469"/>
      <c r="X1227" s="469"/>
      <c r="Y1227" s="469"/>
      <c r="Z1227" s="469"/>
      <c r="AA1227" s="469"/>
      <c r="AB1227" s="469"/>
      <c r="AC1227" s="469"/>
    </row>
    <row r="1228">
      <c r="A1228" s="217"/>
      <c r="B1228" s="218"/>
      <c r="C1228" s="218"/>
      <c r="D1228" s="650" t="s">
        <v>162</v>
      </c>
      <c r="E1228" s="650">
        <v>2.0</v>
      </c>
      <c r="F1228" s="651"/>
      <c r="G1228" s="651"/>
      <c r="H1228" s="652" t="s">
        <v>164</v>
      </c>
      <c r="I1228" s="653" t="s">
        <v>163</v>
      </c>
      <c r="J1228" s="469"/>
      <c r="K1228" s="469"/>
      <c r="L1228" s="469"/>
      <c r="M1228" s="469"/>
      <c r="N1228" s="469"/>
      <c r="O1228" s="469"/>
      <c r="P1228" s="469"/>
      <c r="Q1228" s="469"/>
      <c r="R1228" s="469"/>
      <c r="S1228" s="469"/>
      <c r="T1228" s="469"/>
      <c r="U1228" s="469"/>
      <c r="V1228" s="469"/>
      <c r="W1228" s="469"/>
      <c r="X1228" s="469"/>
      <c r="Y1228" s="469"/>
      <c r="Z1228" s="469"/>
      <c r="AA1228" s="469"/>
      <c r="AB1228" s="469"/>
      <c r="AC1228" s="469"/>
    </row>
    <row r="1229" ht="17.25" customHeight="1">
      <c r="A1229" s="311" t="s">
        <v>886</v>
      </c>
      <c r="B1229" s="423" t="s">
        <v>887</v>
      </c>
      <c r="C1229" s="276">
        <f>sum(E1229:E1231)</f>
        <v>4</v>
      </c>
      <c r="D1229" s="209" t="s">
        <v>330</v>
      </c>
      <c r="E1229" s="209">
        <v>2.0</v>
      </c>
      <c r="F1229" s="210"/>
      <c r="G1229" s="211"/>
      <c r="H1229" s="212" t="s">
        <v>331</v>
      </c>
      <c r="I1229" s="213" t="s">
        <v>7</v>
      </c>
      <c r="K1229" s="204"/>
      <c r="L1229" s="204"/>
    </row>
    <row r="1230">
      <c r="A1230" s="205"/>
      <c r="D1230" s="209" t="s">
        <v>131</v>
      </c>
      <c r="E1230" s="209">
        <v>1.0</v>
      </c>
      <c r="F1230" s="210"/>
      <c r="G1230" s="211"/>
      <c r="H1230" s="212" t="s">
        <v>132</v>
      </c>
      <c r="I1230" s="213" t="s">
        <v>105</v>
      </c>
      <c r="K1230" s="204"/>
      <c r="L1230" s="204"/>
    </row>
    <row r="1231">
      <c r="A1231" s="217"/>
      <c r="B1231" s="218"/>
      <c r="C1231" s="218"/>
      <c r="D1231" s="219" t="s">
        <v>55</v>
      </c>
      <c r="E1231" s="219">
        <v>1.0</v>
      </c>
      <c r="F1231" s="220"/>
      <c r="G1231" s="221"/>
      <c r="H1231" s="222" t="s">
        <v>56</v>
      </c>
      <c r="I1231" s="223" t="s">
        <v>43</v>
      </c>
      <c r="K1231" s="204"/>
      <c r="L1231" s="204"/>
    </row>
    <row r="1232">
      <c r="A1232" s="314" t="s">
        <v>888</v>
      </c>
      <c r="B1232" s="277" t="s">
        <v>889</v>
      </c>
      <c r="C1232" s="197">
        <f>sum(E1232:E1233)</f>
        <v>4</v>
      </c>
      <c r="D1232" s="238" t="s">
        <v>330</v>
      </c>
      <c r="E1232" s="238">
        <v>2.0</v>
      </c>
      <c r="F1232" s="278"/>
      <c r="G1232" s="255"/>
      <c r="H1232" s="241" t="s">
        <v>331</v>
      </c>
      <c r="I1232" s="242" t="s">
        <v>7</v>
      </c>
      <c r="K1232" s="204"/>
      <c r="L1232" s="204"/>
    </row>
    <row r="1233">
      <c r="A1233" s="217"/>
      <c r="B1233" s="218"/>
      <c r="C1233" s="218"/>
      <c r="D1233" s="219" t="s">
        <v>49</v>
      </c>
      <c r="E1233" s="219">
        <v>2.0</v>
      </c>
      <c r="F1233" s="263"/>
      <c r="G1233" s="264"/>
      <c r="H1233" s="222" t="s">
        <v>50</v>
      </c>
      <c r="I1233" s="223" t="s">
        <v>43</v>
      </c>
      <c r="K1233" s="204"/>
      <c r="L1233" s="204"/>
    </row>
    <row r="1234">
      <c r="A1234" s="236" t="s">
        <v>890</v>
      </c>
      <c r="B1234" s="237" t="s">
        <v>891</v>
      </c>
      <c r="C1234" s="197">
        <f>sum(E1234:E1235)</f>
        <v>4</v>
      </c>
      <c r="D1234" s="238" t="s">
        <v>162</v>
      </c>
      <c r="E1234" s="238">
        <v>2.0</v>
      </c>
      <c r="F1234" s="321"/>
      <c r="G1234" s="255"/>
      <c r="H1234" s="241" t="s">
        <v>164</v>
      </c>
      <c r="I1234" s="242" t="s">
        <v>163</v>
      </c>
      <c r="K1234" s="204"/>
      <c r="L1234" s="204"/>
    </row>
    <row r="1235">
      <c r="A1235" s="217"/>
      <c r="B1235" s="218"/>
      <c r="C1235" s="218"/>
      <c r="D1235" s="219" t="s">
        <v>11</v>
      </c>
      <c r="E1235" s="219">
        <v>2.0</v>
      </c>
      <c r="F1235" s="263"/>
      <c r="G1235" s="264"/>
      <c r="H1235" s="222" t="s">
        <v>348</v>
      </c>
      <c r="I1235" s="223" t="s">
        <v>7</v>
      </c>
      <c r="J1235" s="4"/>
      <c r="K1235" s="204"/>
      <c r="L1235" s="204"/>
    </row>
    <row r="1236">
      <c r="A1236" s="236" t="s">
        <v>892</v>
      </c>
      <c r="B1236" s="237" t="s">
        <v>893</v>
      </c>
      <c r="C1236" s="197">
        <f>sum(E1236:E1237)</f>
        <v>4</v>
      </c>
      <c r="D1236" s="238" t="s">
        <v>162</v>
      </c>
      <c r="E1236" s="238">
        <v>2.0</v>
      </c>
      <c r="F1236" s="321"/>
      <c r="G1236" s="255"/>
      <c r="H1236" s="241" t="s">
        <v>164</v>
      </c>
      <c r="I1236" s="242" t="s">
        <v>163</v>
      </c>
      <c r="K1236" s="204"/>
      <c r="L1236" s="204"/>
    </row>
    <row r="1237">
      <c r="A1237" s="217"/>
      <c r="B1237" s="218"/>
      <c r="C1237" s="218"/>
      <c r="D1237" s="219" t="s">
        <v>166</v>
      </c>
      <c r="E1237" s="219">
        <v>2.0</v>
      </c>
      <c r="F1237" s="263"/>
      <c r="G1237" s="264"/>
      <c r="H1237" s="222" t="s">
        <v>167</v>
      </c>
      <c r="I1237" s="223" t="s">
        <v>163</v>
      </c>
      <c r="K1237" s="204"/>
      <c r="L1237" s="204"/>
    </row>
    <row r="1238">
      <c r="A1238" s="195" t="s">
        <v>894</v>
      </c>
      <c r="B1238" s="237" t="s">
        <v>895</v>
      </c>
      <c r="C1238" s="197">
        <f>sum(E1238:E1240)</f>
        <v>4</v>
      </c>
      <c r="D1238" s="280" t="s">
        <v>61</v>
      </c>
      <c r="E1238" s="280">
        <v>1.0</v>
      </c>
      <c r="F1238" s="281"/>
      <c r="G1238" s="281"/>
      <c r="H1238" s="282" t="s">
        <v>62</v>
      </c>
      <c r="I1238" s="242" t="s">
        <v>43</v>
      </c>
      <c r="K1238" s="204"/>
      <c r="L1238" s="204"/>
    </row>
    <row r="1239">
      <c r="A1239" s="205"/>
      <c r="D1239" s="209" t="s">
        <v>126</v>
      </c>
      <c r="E1239" s="209">
        <v>1.0</v>
      </c>
      <c r="F1239" s="347"/>
      <c r="G1239" s="348"/>
      <c r="H1239" s="212" t="s">
        <v>127</v>
      </c>
      <c r="I1239" s="213" t="s">
        <v>105</v>
      </c>
      <c r="K1239" s="204"/>
      <c r="L1239" s="204"/>
    </row>
    <row r="1240">
      <c r="A1240" s="217"/>
      <c r="B1240" s="218"/>
      <c r="C1240" s="218"/>
      <c r="D1240" s="219" t="s">
        <v>162</v>
      </c>
      <c r="E1240" s="219">
        <v>2.0</v>
      </c>
      <c r="F1240" s="313"/>
      <c r="G1240" s="264"/>
      <c r="H1240" s="222" t="s">
        <v>164</v>
      </c>
      <c r="I1240" s="223" t="s">
        <v>163</v>
      </c>
      <c r="K1240" s="204"/>
      <c r="L1240" s="204"/>
    </row>
    <row r="1241">
      <c r="A1241" s="236" t="s">
        <v>896</v>
      </c>
      <c r="B1241" s="237" t="s">
        <v>897</v>
      </c>
      <c r="C1241" s="197">
        <f>sum(E1241:E1242)</f>
        <v>4</v>
      </c>
      <c r="D1241" s="238" t="s">
        <v>11</v>
      </c>
      <c r="E1241" s="238">
        <v>2.0</v>
      </c>
      <c r="F1241" s="353"/>
      <c r="G1241" s="353"/>
      <c r="H1241" s="241" t="s">
        <v>348</v>
      </c>
      <c r="I1241" s="242" t="s">
        <v>7</v>
      </c>
      <c r="K1241" s="204"/>
      <c r="L1241" s="204"/>
    </row>
    <row r="1242">
      <c r="A1242" s="217"/>
      <c r="B1242" s="218"/>
      <c r="C1242" s="218"/>
      <c r="D1242" s="209" t="s">
        <v>162</v>
      </c>
      <c r="E1242" s="209">
        <v>2.0</v>
      </c>
      <c r="F1242" s="243"/>
      <c r="G1242" s="211"/>
      <c r="H1242" s="212" t="s">
        <v>164</v>
      </c>
      <c r="I1242" s="213" t="s">
        <v>163</v>
      </c>
      <c r="K1242" s="204"/>
      <c r="L1242" s="204"/>
    </row>
    <row r="1243">
      <c r="A1243" s="195" t="s">
        <v>898</v>
      </c>
      <c r="B1243" s="237" t="s">
        <v>532</v>
      </c>
      <c r="C1243" s="197">
        <f>sum(E1243:E1244)</f>
        <v>4</v>
      </c>
      <c r="D1243" s="238" t="s">
        <v>22</v>
      </c>
      <c r="E1243" s="238">
        <v>2.0</v>
      </c>
      <c r="F1243" s="317"/>
      <c r="G1243" s="318"/>
      <c r="H1243" s="241" t="s">
        <v>307</v>
      </c>
      <c r="I1243" s="242" t="s">
        <v>23</v>
      </c>
      <c r="K1243" s="204"/>
      <c r="L1243" s="204"/>
    </row>
    <row r="1244">
      <c r="A1244" s="217"/>
      <c r="B1244" s="218"/>
      <c r="C1244" s="218"/>
      <c r="D1244" s="219" t="s">
        <v>17</v>
      </c>
      <c r="E1244" s="219">
        <v>2.0</v>
      </c>
      <c r="F1244" s="263"/>
      <c r="G1244" s="264"/>
      <c r="H1244" s="340" t="s">
        <v>321</v>
      </c>
      <c r="I1244" s="223" t="s">
        <v>7</v>
      </c>
      <c r="K1244" s="204"/>
      <c r="L1244" s="204"/>
    </row>
    <row r="1245">
      <c r="A1245" s="338" t="s">
        <v>899</v>
      </c>
      <c r="B1245" s="379" t="s">
        <v>900</v>
      </c>
      <c r="C1245" s="694">
        <f>sum(E1245:E1246)</f>
        <v>4</v>
      </c>
      <c r="D1245" s="385" t="s">
        <v>101</v>
      </c>
      <c r="E1245" s="385">
        <v>2.0</v>
      </c>
      <c r="F1245" s="386"/>
      <c r="G1245" s="387"/>
      <c r="H1245" s="388" t="s">
        <v>102</v>
      </c>
      <c r="I1245" s="389" t="s">
        <v>98</v>
      </c>
      <c r="K1245" s="204"/>
      <c r="L1245" s="204"/>
    </row>
    <row r="1246">
      <c r="A1246" s="217"/>
      <c r="B1246" s="218"/>
      <c r="C1246" s="218"/>
      <c r="D1246" s="219" t="s">
        <v>330</v>
      </c>
      <c r="E1246" s="219">
        <v>2.0</v>
      </c>
      <c r="F1246" s="263"/>
      <c r="G1246" s="264"/>
      <c r="H1246" s="222" t="s">
        <v>331</v>
      </c>
      <c r="I1246" s="223" t="s">
        <v>7</v>
      </c>
      <c r="K1246" s="204"/>
      <c r="L1246" s="204"/>
    </row>
    <row r="1247">
      <c r="A1247" s="196" t="s">
        <v>901</v>
      </c>
      <c r="B1247" s="277" t="s">
        <v>859</v>
      </c>
      <c r="C1247" s="267">
        <f>sum(E1247:E1249)</f>
        <v>4</v>
      </c>
      <c r="D1247" s="238" t="s">
        <v>166</v>
      </c>
      <c r="E1247" s="238">
        <v>2.0</v>
      </c>
      <c r="F1247" s="280"/>
      <c r="G1247" s="280"/>
      <c r="H1247" s="241" t="s">
        <v>167</v>
      </c>
      <c r="I1247" s="242" t="s">
        <v>163</v>
      </c>
      <c r="K1247" s="204"/>
      <c r="L1247" s="204"/>
    </row>
    <row r="1248">
      <c r="D1248" s="380" t="s">
        <v>26</v>
      </c>
      <c r="E1248" s="380">
        <v>1.0</v>
      </c>
      <c r="F1248" s="381"/>
      <c r="G1248" s="382"/>
      <c r="H1248" s="383" t="s">
        <v>27</v>
      </c>
      <c r="I1248" s="384" t="s">
        <v>23</v>
      </c>
      <c r="K1248" s="204"/>
      <c r="L1248" s="204"/>
    </row>
    <row r="1249" ht="19.5" customHeight="1">
      <c r="A1249" s="218"/>
      <c r="B1249" s="218"/>
      <c r="C1249" s="218"/>
      <c r="D1249" s="426" t="s">
        <v>33</v>
      </c>
      <c r="E1249" s="426">
        <v>1.0</v>
      </c>
      <c r="F1249" s="427"/>
      <c r="G1249" s="428"/>
      <c r="H1249" s="429" t="s">
        <v>34</v>
      </c>
      <c r="I1249" s="750" t="s">
        <v>30</v>
      </c>
      <c r="K1249" s="204"/>
      <c r="L1249" s="204"/>
    </row>
    <row r="1250" ht="19.5" customHeight="1">
      <c r="A1250" s="716" t="s">
        <v>902</v>
      </c>
      <c r="B1250" s="266" t="s">
        <v>535</v>
      </c>
      <c r="C1250" s="267">
        <f>sum(E1250:E1252)</f>
        <v>4</v>
      </c>
      <c r="D1250" s="238" t="s">
        <v>162</v>
      </c>
      <c r="E1250" s="238">
        <v>2.0</v>
      </c>
      <c r="F1250" s="321"/>
      <c r="G1250" s="255"/>
      <c r="H1250" s="241" t="s">
        <v>164</v>
      </c>
      <c r="I1250" s="242" t="s">
        <v>163</v>
      </c>
      <c r="K1250" s="204"/>
      <c r="L1250" s="204"/>
    </row>
    <row r="1251">
      <c r="A1251" s="205"/>
      <c r="D1251" s="209" t="s">
        <v>55</v>
      </c>
      <c r="E1251" s="209">
        <v>1.0</v>
      </c>
      <c r="F1251" s="210"/>
      <c r="G1251" s="211"/>
      <c r="H1251" s="212" t="s">
        <v>56</v>
      </c>
      <c r="I1251" s="213" t="s">
        <v>43</v>
      </c>
      <c r="K1251" s="204"/>
      <c r="L1251" s="204"/>
    </row>
    <row r="1252">
      <c r="A1252" s="217"/>
      <c r="B1252" s="218"/>
      <c r="C1252" s="218"/>
      <c r="D1252" s="219" t="s">
        <v>117</v>
      </c>
      <c r="E1252" s="219">
        <v>1.0</v>
      </c>
      <c r="F1252" s="264"/>
      <c r="G1252" s="264"/>
      <c r="H1252" s="222" t="s">
        <v>322</v>
      </c>
      <c r="I1252" s="223" t="s">
        <v>105</v>
      </c>
      <c r="K1252" s="204"/>
      <c r="L1252" s="204"/>
    </row>
    <row r="1253">
      <c r="A1253" s="578" t="s">
        <v>903</v>
      </c>
      <c r="B1253" s="447" t="s">
        <v>806</v>
      </c>
      <c r="C1253" s="267">
        <f>sum(E1253:E1255)</f>
        <v>4</v>
      </c>
      <c r="D1253" s="370" t="s">
        <v>94</v>
      </c>
      <c r="E1253" s="370">
        <v>1.0</v>
      </c>
      <c r="F1253" s="371"/>
      <c r="G1253" s="371"/>
      <c r="H1253" s="372" t="s">
        <v>95</v>
      </c>
      <c r="I1253" s="373" t="s">
        <v>65</v>
      </c>
      <c r="J1253" s="233"/>
      <c r="K1253" s="233"/>
      <c r="L1253" s="233"/>
      <c r="M1253" s="233"/>
      <c r="N1253" s="233"/>
      <c r="O1253" s="233"/>
      <c r="P1253" s="233"/>
      <c r="Q1253" s="233"/>
      <c r="R1253" s="233"/>
      <c r="S1253" s="233"/>
      <c r="T1253" s="233"/>
      <c r="U1253" s="233"/>
      <c r="V1253" s="233"/>
      <c r="W1253" s="233"/>
      <c r="X1253" s="233"/>
      <c r="Y1253" s="233"/>
      <c r="Z1253" s="233"/>
      <c r="AA1253" s="233"/>
      <c r="AB1253" s="233"/>
      <c r="AC1253" s="233"/>
    </row>
    <row r="1254">
      <c r="A1254" s="205"/>
      <c r="D1254" s="209" t="s">
        <v>162</v>
      </c>
      <c r="E1254" s="209">
        <v>2.0</v>
      </c>
      <c r="F1254" s="243"/>
      <c r="G1254" s="211"/>
      <c r="H1254" s="212" t="s">
        <v>164</v>
      </c>
      <c r="I1254" s="213" t="s">
        <v>163</v>
      </c>
      <c r="K1254" s="204"/>
      <c r="L1254" s="204"/>
    </row>
    <row r="1255">
      <c r="A1255" s="217"/>
      <c r="B1255" s="218"/>
      <c r="C1255" s="218"/>
      <c r="D1255" s="219" t="s">
        <v>159</v>
      </c>
      <c r="E1255" s="219">
        <v>1.0</v>
      </c>
      <c r="F1255" s="252"/>
      <c r="G1255" s="252"/>
      <c r="H1255" s="222" t="s">
        <v>160</v>
      </c>
      <c r="I1255" s="253" t="s">
        <v>144</v>
      </c>
      <c r="K1255" s="204"/>
      <c r="L1255" s="204"/>
    </row>
    <row r="1256">
      <c r="A1256" s="195" t="s">
        <v>904</v>
      </c>
      <c r="B1256" s="196" t="s">
        <v>905</v>
      </c>
      <c r="C1256" s="267">
        <f>sum(E1256:E1258)</f>
        <v>4</v>
      </c>
      <c r="D1256" s="683" t="s">
        <v>123</v>
      </c>
      <c r="E1256" s="683">
        <v>1.0</v>
      </c>
      <c r="F1256" s="442"/>
      <c r="G1256" s="684"/>
      <c r="H1256" s="685" t="s">
        <v>124</v>
      </c>
      <c r="I1256" s="242" t="s">
        <v>105</v>
      </c>
      <c r="K1256" s="204"/>
      <c r="L1256" s="204"/>
    </row>
    <row r="1257">
      <c r="A1257" s="205"/>
      <c r="D1257" s="283" t="s">
        <v>39</v>
      </c>
      <c r="E1257" s="283">
        <v>1.0</v>
      </c>
      <c r="F1257" s="30"/>
      <c r="G1257" s="32"/>
      <c r="H1257" s="284" t="s">
        <v>40</v>
      </c>
      <c r="I1257" s="285" t="s">
        <v>30</v>
      </c>
      <c r="K1257" s="204"/>
      <c r="L1257" s="204"/>
    </row>
    <row r="1258">
      <c r="A1258" s="217"/>
      <c r="B1258" s="218"/>
      <c r="C1258" s="218"/>
      <c r="D1258" s="219" t="s">
        <v>22</v>
      </c>
      <c r="E1258" s="219">
        <v>2.0</v>
      </c>
      <c r="F1258" s="313"/>
      <c r="G1258" s="264"/>
      <c r="H1258" s="222" t="s">
        <v>307</v>
      </c>
      <c r="I1258" s="223" t="s">
        <v>23</v>
      </c>
      <c r="K1258" s="204"/>
      <c r="L1258" s="204"/>
    </row>
    <row r="1259">
      <c r="A1259" s="338" t="s">
        <v>906</v>
      </c>
      <c r="B1259" s="379" t="s">
        <v>907</v>
      </c>
      <c r="C1259" s="694">
        <f>sum(E1259:E1260)</f>
        <v>4</v>
      </c>
      <c r="D1259" s="280" t="s">
        <v>97</v>
      </c>
      <c r="E1259" s="280">
        <v>2.0</v>
      </c>
      <c r="F1259" s="281"/>
      <c r="G1259" s="281"/>
      <c r="H1259" s="282" t="s">
        <v>99</v>
      </c>
      <c r="I1259" s="242" t="s">
        <v>98</v>
      </c>
      <c r="K1259" s="204"/>
      <c r="L1259" s="204"/>
    </row>
    <row r="1260">
      <c r="A1260" s="217"/>
      <c r="B1260" s="218"/>
      <c r="C1260" s="218"/>
      <c r="D1260" s="219" t="s">
        <v>49</v>
      </c>
      <c r="E1260" s="219">
        <v>2.0</v>
      </c>
      <c r="F1260" s="263"/>
      <c r="G1260" s="264"/>
      <c r="H1260" s="222" t="s">
        <v>50</v>
      </c>
      <c r="I1260" s="223" t="s">
        <v>43</v>
      </c>
      <c r="K1260" s="204"/>
      <c r="L1260" s="204"/>
    </row>
    <row r="1261">
      <c r="A1261" s="236" t="s">
        <v>908</v>
      </c>
      <c r="B1261" s="237" t="s">
        <v>909</v>
      </c>
      <c r="C1261" s="267">
        <f>sum(E1261:E1263)</f>
        <v>4</v>
      </c>
      <c r="D1261" s="238" t="s">
        <v>330</v>
      </c>
      <c r="E1261" s="238">
        <v>2.0</v>
      </c>
      <c r="F1261" s="278"/>
      <c r="G1261" s="255"/>
      <c r="H1261" s="241" t="s">
        <v>331</v>
      </c>
      <c r="I1261" s="242" t="s">
        <v>7</v>
      </c>
      <c r="K1261" s="204"/>
      <c r="L1261" s="204"/>
    </row>
    <row r="1262">
      <c r="A1262" s="205"/>
      <c r="D1262" s="209" t="s">
        <v>117</v>
      </c>
      <c r="E1262" s="209">
        <v>1.0</v>
      </c>
      <c r="F1262" s="211"/>
      <c r="G1262" s="211"/>
      <c r="H1262" s="212" t="s">
        <v>322</v>
      </c>
      <c r="I1262" s="213" t="s">
        <v>105</v>
      </c>
      <c r="K1262" s="204"/>
      <c r="L1262" s="204"/>
    </row>
    <row r="1263">
      <c r="A1263" s="217"/>
      <c r="B1263" s="218"/>
      <c r="C1263" s="218"/>
      <c r="D1263" s="219" t="s">
        <v>284</v>
      </c>
      <c r="E1263" s="219">
        <v>1.0</v>
      </c>
      <c r="F1263" s="220"/>
      <c r="G1263" s="221"/>
      <c r="H1263" s="222" t="s">
        <v>115</v>
      </c>
      <c r="I1263" s="223" t="s">
        <v>105</v>
      </c>
      <c r="K1263" s="204"/>
      <c r="L1263" s="204"/>
    </row>
    <row r="1264">
      <c r="A1264" s="236" t="s">
        <v>910</v>
      </c>
      <c r="B1264" s="237" t="s">
        <v>911</v>
      </c>
      <c r="C1264" s="267">
        <f>sum(E1264:E1266)</f>
        <v>4</v>
      </c>
      <c r="D1264" s="238" t="s">
        <v>284</v>
      </c>
      <c r="E1264" s="238">
        <v>1.0</v>
      </c>
      <c r="F1264" s="239"/>
      <c r="G1264" s="240"/>
      <c r="H1264" s="241" t="s">
        <v>115</v>
      </c>
      <c r="I1264" s="242" t="s">
        <v>105</v>
      </c>
      <c r="K1264" s="204"/>
      <c r="L1264" s="204"/>
    </row>
    <row r="1265">
      <c r="A1265" s="205"/>
      <c r="D1265" s="209" t="s">
        <v>159</v>
      </c>
      <c r="E1265" s="209">
        <v>1.0</v>
      </c>
      <c r="F1265" s="227"/>
      <c r="G1265" s="227"/>
      <c r="H1265" s="212" t="s">
        <v>160</v>
      </c>
      <c r="I1265" s="228" t="s">
        <v>144</v>
      </c>
      <c r="K1265" s="204"/>
      <c r="L1265" s="204"/>
    </row>
    <row r="1266">
      <c r="A1266" s="217"/>
      <c r="B1266" s="218"/>
      <c r="C1266" s="218"/>
      <c r="D1266" s="219" t="s">
        <v>162</v>
      </c>
      <c r="E1266" s="219">
        <v>2.0</v>
      </c>
      <c r="F1266" s="313"/>
      <c r="G1266" s="264"/>
      <c r="H1266" s="222" t="s">
        <v>164</v>
      </c>
      <c r="I1266" s="223" t="s">
        <v>163</v>
      </c>
      <c r="K1266" s="204"/>
      <c r="L1266" s="204"/>
    </row>
    <row r="1267">
      <c r="A1267" s="254" t="s">
        <v>912</v>
      </c>
      <c r="B1267" s="412" t="s">
        <v>913</v>
      </c>
      <c r="C1267" s="267">
        <f>sum(E1267:E1269)</f>
        <v>4</v>
      </c>
      <c r="D1267" s="238" t="s">
        <v>19</v>
      </c>
      <c r="E1267" s="238">
        <v>2.0</v>
      </c>
      <c r="F1267" s="278"/>
      <c r="G1267" s="255"/>
      <c r="H1267" s="241" t="s">
        <v>20</v>
      </c>
      <c r="I1267" s="242" t="s">
        <v>7</v>
      </c>
    </row>
    <row r="1268">
      <c r="A1268" s="205"/>
      <c r="D1268" s="209" t="s">
        <v>284</v>
      </c>
      <c r="E1268" s="209">
        <v>1.0</v>
      </c>
      <c r="F1268" s="215"/>
      <c r="G1268" s="216"/>
      <c r="H1268" s="212" t="s">
        <v>115</v>
      </c>
      <c r="I1268" s="213" t="s">
        <v>105</v>
      </c>
    </row>
    <row r="1269">
      <c r="A1269" s="217"/>
      <c r="B1269" s="218"/>
      <c r="C1269" s="218"/>
      <c r="D1269" s="219" t="s">
        <v>117</v>
      </c>
      <c r="E1269" s="219">
        <v>1.0</v>
      </c>
      <c r="F1269" s="264"/>
      <c r="G1269" s="264"/>
      <c r="H1269" s="222" t="s">
        <v>322</v>
      </c>
      <c r="I1269" s="223" t="s">
        <v>105</v>
      </c>
    </row>
    <row r="1270">
      <c r="A1270" s="496" t="s">
        <v>914</v>
      </c>
      <c r="B1270" s="196" t="s">
        <v>915</v>
      </c>
      <c r="C1270" s="267">
        <f>sum(E1270:E1271)</f>
        <v>4</v>
      </c>
      <c r="D1270" s="436" t="s">
        <v>6</v>
      </c>
      <c r="E1270" s="436">
        <v>2.0</v>
      </c>
      <c r="F1270" s="437"/>
      <c r="G1270" s="438"/>
      <c r="H1270" s="439" t="s">
        <v>8</v>
      </c>
      <c r="I1270" s="440" t="s">
        <v>7</v>
      </c>
    </row>
    <row r="1271">
      <c r="A1271" s="217"/>
      <c r="B1271" s="218"/>
      <c r="C1271" s="218"/>
      <c r="D1271" s="219" t="s">
        <v>290</v>
      </c>
      <c r="E1271" s="219">
        <v>2.0</v>
      </c>
      <c r="F1271" s="220"/>
      <c r="G1271" s="221"/>
      <c r="H1271" s="222" t="s">
        <v>283</v>
      </c>
      <c r="I1271" s="223" t="s">
        <v>65</v>
      </c>
    </row>
    <row r="1272">
      <c r="A1272" s="254" t="s">
        <v>916</v>
      </c>
      <c r="B1272" s="412" t="s">
        <v>823</v>
      </c>
      <c r="C1272" s="267">
        <f>sum(E1272:E1275)</f>
        <v>4</v>
      </c>
      <c r="D1272" s="238" t="s">
        <v>131</v>
      </c>
      <c r="E1272" s="238">
        <v>1.0</v>
      </c>
      <c r="F1272" s="353"/>
      <c r="G1272" s="353"/>
      <c r="H1272" s="241" t="s">
        <v>132</v>
      </c>
      <c r="I1272" s="242" t="s">
        <v>105</v>
      </c>
    </row>
    <row r="1273">
      <c r="A1273" s="205"/>
      <c r="D1273" s="308" t="s">
        <v>137</v>
      </c>
      <c r="E1273" s="308">
        <v>1.0</v>
      </c>
      <c r="F1273" s="80"/>
      <c r="G1273" s="86"/>
      <c r="H1273" s="309" t="s">
        <v>138</v>
      </c>
      <c r="I1273" s="303" t="s">
        <v>105</v>
      </c>
    </row>
    <row r="1274">
      <c r="A1274" s="205"/>
      <c r="D1274" s="525" t="s">
        <v>85</v>
      </c>
      <c r="E1274" s="525">
        <v>1.0</v>
      </c>
      <c r="F1274" s="53"/>
      <c r="G1274" s="55"/>
      <c r="H1274" s="249" t="s">
        <v>86</v>
      </c>
      <c r="I1274" s="257" t="s">
        <v>65</v>
      </c>
    </row>
    <row r="1275">
      <c r="A1275" s="217"/>
      <c r="B1275" s="218"/>
      <c r="C1275" s="218"/>
      <c r="D1275" s="219" t="s">
        <v>58</v>
      </c>
      <c r="E1275" s="219">
        <v>1.0</v>
      </c>
      <c r="F1275" s="219"/>
      <c r="G1275" s="219"/>
      <c r="H1275" s="222" t="s">
        <v>59</v>
      </c>
      <c r="I1275" s="223" t="s">
        <v>43</v>
      </c>
    </row>
    <row r="1276">
      <c r="A1276" s="236" t="s">
        <v>917</v>
      </c>
      <c r="B1276" s="237" t="s">
        <v>918</v>
      </c>
      <c r="C1276" s="197">
        <f>sum(E1276:E1277)</f>
        <v>3</v>
      </c>
      <c r="D1276" s="238" t="s">
        <v>79</v>
      </c>
      <c r="E1276" s="238">
        <v>2.0</v>
      </c>
      <c r="F1276" s="255"/>
      <c r="G1276" s="255"/>
      <c r="H1276" s="241" t="s">
        <v>80</v>
      </c>
      <c r="I1276" s="242" t="s">
        <v>65</v>
      </c>
      <c r="K1276" s="204"/>
      <c r="L1276" s="204"/>
    </row>
    <row r="1277">
      <c r="A1277" s="217"/>
      <c r="B1277" s="218"/>
      <c r="C1277" s="218"/>
      <c r="D1277" s="219" t="s">
        <v>159</v>
      </c>
      <c r="E1277" s="219">
        <v>1.0</v>
      </c>
      <c r="F1277" s="252"/>
      <c r="G1277" s="252"/>
      <c r="H1277" s="222" t="s">
        <v>160</v>
      </c>
      <c r="I1277" s="253" t="s">
        <v>144</v>
      </c>
      <c r="K1277" s="204"/>
      <c r="L1277" s="204"/>
    </row>
    <row r="1278">
      <c r="A1278" s="714" t="s">
        <v>919</v>
      </c>
      <c r="B1278" s="423" t="s">
        <v>920</v>
      </c>
      <c r="C1278" s="276">
        <f>sum(E1278:E1279)</f>
        <v>3</v>
      </c>
      <c r="D1278" s="209" t="s">
        <v>162</v>
      </c>
      <c r="E1278" s="209">
        <v>2.0</v>
      </c>
      <c r="F1278" s="243"/>
      <c r="G1278" s="211"/>
      <c r="H1278" s="212" t="s">
        <v>164</v>
      </c>
      <c r="I1278" s="213" t="s">
        <v>163</v>
      </c>
      <c r="K1278" s="204"/>
      <c r="L1278" s="204"/>
    </row>
    <row r="1279">
      <c r="A1279" s="217"/>
      <c r="B1279" s="218"/>
      <c r="C1279" s="218"/>
      <c r="D1279" s="219" t="s">
        <v>159</v>
      </c>
      <c r="E1279" s="219">
        <v>1.0</v>
      </c>
      <c r="F1279" s="252"/>
      <c r="G1279" s="252"/>
      <c r="H1279" s="222" t="s">
        <v>160</v>
      </c>
      <c r="I1279" s="253" t="s">
        <v>144</v>
      </c>
      <c r="K1279" s="204"/>
      <c r="L1279" s="204"/>
    </row>
    <row r="1280">
      <c r="A1280" s="714" t="s">
        <v>921</v>
      </c>
      <c r="B1280" s="423" t="s">
        <v>922</v>
      </c>
      <c r="C1280" s="276">
        <f>sum(E1280:E1281)</f>
        <v>3</v>
      </c>
      <c r="D1280" s="209" t="s">
        <v>162</v>
      </c>
      <c r="E1280" s="209">
        <v>2.0</v>
      </c>
      <c r="F1280" s="243"/>
      <c r="G1280" s="211"/>
      <c r="H1280" s="212" t="s">
        <v>164</v>
      </c>
      <c r="I1280" s="213" t="s">
        <v>163</v>
      </c>
      <c r="K1280" s="204"/>
      <c r="L1280" s="204"/>
    </row>
    <row r="1281">
      <c r="A1281" s="217"/>
      <c r="B1281" s="218"/>
      <c r="C1281" s="218"/>
      <c r="D1281" s="219" t="s">
        <v>55</v>
      </c>
      <c r="E1281" s="219">
        <v>1.0</v>
      </c>
      <c r="F1281" s="263"/>
      <c r="G1281" s="264"/>
      <c r="H1281" s="222" t="s">
        <v>56</v>
      </c>
      <c r="I1281" s="223" t="s">
        <v>43</v>
      </c>
      <c r="K1281" s="204"/>
      <c r="L1281" s="204"/>
    </row>
    <row r="1282">
      <c r="A1282" s="707" t="s">
        <v>923</v>
      </c>
      <c r="B1282" s="751" t="s">
        <v>924</v>
      </c>
      <c r="C1282" s="276">
        <f>sum(E1282:E1283)</f>
        <v>3</v>
      </c>
      <c r="D1282" s="209" t="s">
        <v>159</v>
      </c>
      <c r="E1282" s="209">
        <v>1.0</v>
      </c>
      <c r="F1282" s="227"/>
      <c r="G1282" s="227"/>
      <c r="H1282" s="212" t="s">
        <v>160</v>
      </c>
      <c r="I1282" s="228" t="s">
        <v>144</v>
      </c>
      <c r="K1282" s="204"/>
      <c r="L1282" s="204"/>
    </row>
    <row r="1283">
      <c r="A1283" s="217"/>
      <c r="B1283" s="218"/>
      <c r="C1283" s="218"/>
      <c r="D1283" s="219" t="s">
        <v>17</v>
      </c>
      <c r="E1283" s="219">
        <v>2.0</v>
      </c>
      <c r="F1283" s="263"/>
      <c r="G1283" s="264"/>
      <c r="H1283" s="340" t="s">
        <v>321</v>
      </c>
      <c r="I1283" s="223" t="s">
        <v>7</v>
      </c>
      <c r="K1283" s="204"/>
      <c r="L1283" s="204"/>
    </row>
    <row r="1284">
      <c r="A1284" s="338" t="s">
        <v>925</v>
      </c>
      <c r="B1284" s="379" t="s">
        <v>926</v>
      </c>
      <c r="C1284" s="197">
        <f>sum(E1284:E1286)</f>
        <v>3</v>
      </c>
      <c r="D1284" s="238" t="s">
        <v>55</v>
      </c>
      <c r="E1284" s="238">
        <v>1.0</v>
      </c>
      <c r="F1284" s="278"/>
      <c r="G1284" s="255"/>
      <c r="H1284" s="241" t="s">
        <v>56</v>
      </c>
      <c r="I1284" s="242" t="s">
        <v>43</v>
      </c>
      <c r="K1284" s="204"/>
      <c r="L1284" s="204"/>
    </row>
    <row r="1285">
      <c r="A1285" s="205"/>
      <c r="D1285" s="227" t="s">
        <v>61</v>
      </c>
      <c r="E1285" s="227">
        <v>1.0</v>
      </c>
      <c r="F1285" s="233"/>
      <c r="G1285" s="233"/>
      <c r="H1285" s="234" t="s">
        <v>62</v>
      </c>
      <c r="I1285" s="213" t="s">
        <v>43</v>
      </c>
      <c r="K1285" s="204"/>
      <c r="L1285" s="204"/>
    </row>
    <row r="1286">
      <c r="A1286" s="217"/>
      <c r="B1286" s="218"/>
      <c r="C1286" s="218"/>
      <c r="D1286" s="219" t="s">
        <v>172</v>
      </c>
      <c r="E1286" s="219">
        <v>1.0</v>
      </c>
      <c r="F1286" s="263"/>
      <c r="G1286" s="264"/>
      <c r="H1286" s="222" t="s">
        <v>421</v>
      </c>
      <c r="I1286" s="213" t="s">
        <v>163</v>
      </c>
      <c r="K1286" s="204"/>
      <c r="L1286" s="204"/>
    </row>
    <row r="1287">
      <c r="A1287" s="236" t="s">
        <v>927</v>
      </c>
      <c r="B1287" s="237" t="s">
        <v>928</v>
      </c>
      <c r="C1287" s="197">
        <f>sum(E1287:E1288)</f>
        <v>3</v>
      </c>
      <c r="D1287" s="238" t="s">
        <v>58</v>
      </c>
      <c r="E1287" s="238">
        <v>1.0</v>
      </c>
      <c r="F1287" s="238"/>
      <c r="G1287" s="238"/>
      <c r="H1287" s="241" t="s">
        <v>59</v>
      </c>
      <c r="I1287" s="242" t="s">
        <v>43</v>
      </c>
      <c r="K1287" s="204"/>
      <c r="L1287" s="204"/>
    </row>
    <row r="1288">
      <c r="A1288" s="217"/>
      <c r="B1288" s="218"/>
      <c r="C1288" s="218"/>
      <c r="D1288" s="219" t="s">
        <v>162</v>
      </c>
      <c r="E1288" s="219">
        <v>2.0</v>
      </c>
      <c r="F1288" s="313"/>
      <c r="G1288" s="264"/>
      <c r="H1288" s="222" t="s">
        <v>164</v>
      </c>
      <c r="I1288" s="213" t="s">
        <v>163</v>
      </c>
      <c r="K1288" s="204"/>
      <c r="L1288" s="204"/>
    </row>
    <row r="1289">
      <c r="A1289" s="195" t="s">
        <v>929</v>
      </c>
      <c r="B1289" s="412" t="s">
        <v>930</v>
      </c>
      <c r="C1289" s="197">
        <f>sum(E1289:E1290)</f>
        <v>3</v>
      </c>
      <c r="D1289" s="238" t="s">
        <v>162</v>
      </c>
      <c r="E1289" s="238">
        <v>2.0</v>
      </c>
      <c r="F1289" s="321"/>
      <c r="G1289" s="255"/>
      <c r="H1289" s="241" t="s">
        <v>164</v>
      </c>
      <c r="I1289" s="242" t="s">
        <v>163</v>
      </c>
      <c r="K1289" s="204"/>
      <c r="L1289" s="204"/>
    </row>
    <row r="1290">
      <c r="A1290" s="217"/>
      <c r="B1290" s="218"/>
      <c r="C1290" s="218"/>
      <c r="D1290" s="426" t="s">
        <v>36</v>
      </c>
      <c r="E1290" s="426">
        <v>1.0</v>
      </c>
      <c r="F1290" s="427"/>
      <c r="G1290" s="428"/>
      <c r="H1290" s="429" t="s">
        <v>37</v>
      </c>
      <c r="I1290" s="430" t="s">
        <v>30</v>
      </c>
      <c r="K1290" s="204"/>
      <c r="L1290" s="204"/>
    </row>
    <row r="1291">
      <c r="A1291" s="236" t="s">
        <v>931</v>
      </c>
      <c r="B1291" s="237" t="s">
        <v>859</v>
      </c>
      <c r="C1291" s="694">
        <f>sum(E1291:E1292)</f>
        <v>3</v>
      </c>
      <c r="D1291" s="199" t="s">
        <v>182</v>
      </c>
      <c r="E1291" s="199">
        <v>2.0</v>
      </c>
      <c r="F1291" s="200"/>
      <c r="G1291" s="201"/>
      <c r="H1291" s="497" t="s">
        <v>183</v>
      </c>
      <c r="I1291" s="203" t="s">
        <v>176</v>
      </c>
      <c r="K1291" s="204"/>
      <c r="L1291" s="204"/>
    </row>
    <row r="1292">
      <c r="A1292" s="217"/>
      <c r="B1292" s="218"/>
      <c r="C1292" s="218"/>
      <c r="D1292" s="219" t="s">
        <v>185</v>
      </c>
      <c r="E1292" s="396">
        <v>1.0</v>
      </c>
      <c r="F1292" s="342"/>
      <c r="G1292" s="397"/>
      <c r="H1292" s="398" t="s">
        <v>187</v>
      </c>
      <c r="I1292" s="343" t="s">
        <v>186</v>
      </c>
      <c r="K1292" s="204"/>
      <c r="L1292" s="204"/>
    </row>
    <row r="1293">
      <c r="A1293" s="195" t="s">
        <v>932</v>
      </c>
      <c r="B1293" s="752" t="s">
        <v>933</v>
      </c>
      <c r="C1293" s="753">
        <f>sum(E1293)</f>
        <v>3</v>
      </c>
      <c r="D1293" s="624" t="s">
        <v>405</v>
      </c>
      <c r="E1293" s="624">
        <v>3.0</v>
      </c>
      <c r="F1293" s="625"/>
      <c r="G1293" s="626"/>
      <c r="H1293" s="754" t="s">
        <v>31</v>
      </c>
      <c r="I1293" s="374" t="s">
        <v>30</v>
      </c>
      <c r="K1293" s="204"/>
      <c r="L1293" s="204"/>
    </row>
    <row r="1294">
      <c r="A1294" s="236" t="s">
        <v>934</v>
      </c>
      <c r="B1294" s="237" t="s">
        <v>935</v>
      </c>
      <c r="C1294" s="694">
        <f>sum(E1294:E1295)</f>
        <v>3</v>
      </c>
      <c r="D1294" s="238" t="s">
        <v>162</v>
      </c>
      <c r="E1294" s="238">
        <v>2.0</v>
      </c>
      <c r="F1294" s="321"/>
      <c r="G1294" s="255"/>
      <c r="H1294" s="241" t="s">
        <v>164</v>
      </c>
      <c r="I1294" s="242" t="s">
        <v>163</v>
      </c>
      <c r="K1294" s="204"/>
      <c r="L1294" s="204"/>
    </row>
    <row r="1295">
      <c r="A1295" s="217"/>
      <c r="B1295" s="218"/>
      <c r="C1295" s="218"/>
      <c r="D1295" s="219" t="s">
        <v>120</v>
      </c>
      <c r="E1295" s="219">
        <v>1.0</v>
      </c>
      <c r="F1295" s="258"/>
      <c r="G1295" s="258"/>
      <c r="H1295" s="222" t="s">
        <v>327</v>
      </c>
      <c r="I1295" s="223" t="s">
        <v>105</v>
      </c>
      <c r="K1295" s="204"/>
      <c r="L1295" s="204"/>
    </row>
    <row r="1296">
      <c r="A1296" s="236" t="s">
        <v>936</v>
      </c>
      <c r="B1296" s="237" t="s">
        <v>842</v>
      </c>
      <c r="C1296" s="267">
        <f>sum(E1296:E1297)</f>
        <v>3</v>
      </c>
      <c r="D1296" s="238" t="s">
        <v>162</v>
      </c>
      <c r="E1296" s="238">
        <v>2.0</v>
      </c>
      <c r="F1296" s="321"/>
      <c r="G1296" s="255"/>
      <c r="H1296" s="241" t="s">
        <v>164</v>
      </c>
      <c r="I1296" s="242" t="s">
        <v>163</v>
      </c>
      <c r="K1296" s="204"/>
      <c r="L1296" s="204"/>
    </row>
    <row r="1297">
      <c r="A1297" s="217"/>
      <c r="B1297" s="218"/>
      <c r="C1297" s="218"/>
      <c r="D1297" s="361" t="s">
        <v>137</v>
      </c>
      <c r="E1297" s="361">
        <v>1.0</v>
      </c>
      <c r="F1297" s="362"/>
      <c r="G1297" s="363"/>
      <c r="H1297" s="364" t="s">
        <v>138</v>
      </c>
      <c r="I1297" s="365" t="s">
        <v>105</v>
      </c>
      <c r="K1297" s="204"/>
      <c r="L1297" s="204"/>
    </row>
    <row r="1298">
      <c r="A1298" s="254" t="s">
        <v>937</v>
      </c>
      <c r="B1298" s="412" t="s">
        <v>938</v>
      </c>
      <c r="C1298" s="267">
        <f>sum(E1298:E1299)</f>
        <v>3</v>
      </c>
      <c r="D1298" s="238" t="s">
        <v>162</v>
      </c>
      <c r="E1298" s="238">
        <v>2.0</v>
      </c>
      <c r="F1298" s="321"/>
      <c r="G1298" s="255"/>
      <c r="H1298" s="241" t="s">
        <v>164</v>
      </c>
      <c r="I1298" s="242" t="s">
        <v>163</v>
      </c>
    </row>
    <row r="1299">
      <c r="A1299" s="217"/>
      <c r="B1299" s="218"/>
      <c r="C1299" s="218"/>
      <c r="D1299" s="252" t="s">
        <v>120</v>
      </c>
      <c r="E1299" s="252">
        <v>1.0</v>
      </c>
      <c r="F1299" s="342"/>
      <c r="G1299" s="319"/>
      <c r="H1299" s="320" t="s">
        <v>121</v>
      </c>
      <c r="I1299" s="343" t="s">
        <v>105</v>
      </c>
    </row>
    <row r="1300">
      <c r="A1300" s="314" t="s">
        <v>939</v>
      </c>
      <c r="B1300" s="277" t="s">
        <v>940</v>
      </c>
      <c r="C1300" s="197">
        <f t="shared" ref="C1300:C1302" si="1">sum(E1300)</f>
        <v>2</v>
      </c>
      <c r="D1300" s="280" t="s">
        <v>97</v>
      </c>
      <c r="E1300" s="280">
        <v>2.0</v>
      </c>
      <c r="F1300" s="281"/>
      <c r="G1300" s="281"/>
      <c r="H1300" s="282" t="s">
        <v>99</v>
      </c>
      <c r="I1300" s="242" t="s">
        <v>98</v>
      </c>
      <c r="K1300" s="204"/>
      <c r="L1300" s="204"/>
    </row>
    <row r="1301">
      <c r="A1301" s="195" t="s">
        <v>941</v>
      </c>
      <c r="B1301" s="277" t="s">
        <v>942</v>
      </c>
      <c r="C1301" s="197">
        <f t="shared" si="1"/>
        <v>2</v>
      </c>
      <c r="D1301" s="238" t="s">
        <v>19</v>
      </c>
      <c r="E1301" s="238">
        <v>2.0</v>
      </c>
      <c r="F1301" s="278"/>
      <c r="G1301" s="255"/>
      <c r="H1301" s="241" t="s">
        <v>20</v>
      </c>
      <c r="I1301" s="242" t="s">
        <v>7</v>
      </c>
      <c r="K1301" s="204"/>
      <c r="L1301" s="204"/>
    </row>
    <row r="1302">
      <c r="A1302" s="755" t="s">
        <v>943</v>
      </c>
      <c r="B1302" s="756" t="s">
        <v>944</v>
      </c>
      <c r="C1302" s="623">
        <f t="shared" si="1"/>
        <v>2</v>
      </c>
      <c r="D1302" s="624" t="s">
        <v>17</v>
      </c>
      <c r="E1302" s="624">
        <v>2.0</v>
      </c>
      <c r="F1302" s="625"/>
      <c r="G1302" s="626"/>
      <c r="H1302" s="757" t="s">
        <v>321</v>
      </c>
      <c r="I1302" s="758" t="s">
        <v>7</v>
      </c>
      <c r="K1302" s="204"/>
      <c r="L1302" s="204"/>
    </row>
    <row r="1303" ht="17.25" customHeight="1">
      <c r="A1303" s="759" t="s">
        <v>945</v>
      </c>
      <c r="B1303" s="760" t="s">
        <v>946</v>
      </c>
      <c r="C1303" s="694">
        <f>sum(E1303:E1304)</f>
        <v>2</v>
      </c>
      <c r="D1303" s="238" t="s">
        <v>185</v>
      </c>
      <c r="E1303" s="680">
        <v>1.0</v>
      </c>
      <c r="F1303" s="495"/>
      <c r="G1303" s="681"/>
      <c r="H1303" s="682" t="s">
        <v>187</v>
      </c>
      <c r="I1303" s="526" t="s">
        <v>186</v>
      </c>
      <c r="K1303" s="204"/>
      <c r="L1303" s="204"/>
    </row>
    <row r="1304" ht="17.25" customHeight="1">
      <c r="A1304" s="217"/>
      <c r="B1304" s="218"/>
      <c r="C1304" s="218"/>
      <c r="D1304" s="219" t="s">
        <v>140</v>
      </c>
      <c r="E1304" s="219">
        <v>1.0</v>
      </c>
      <c r="F1304" s="258"/>
      <c r="G1304" s="258"/>
      <c r="H1304" s="222" t="s">
        <v>141</v>
      </c>
      <c r="I1304" s="223" t="s">
        <v>105</v>
      </c>
      <c r="K1304" s="204"/>
      <c r="L1304" s="204"/>
    </row>
    <row r="1305">
      <c r="A1305" s="236" t="s">
        <v>947</v>
      </c>
      <c r="B1305" s="237" t="s">
        <v>948</v>
      </c>
      <c r="C1305" s="267">
        <f>sum(E1305:E1306)</f>
        <v>2</v>
      </c>
      <c r="D1305" s="238" t="s">
        <v>131</v>
      </c>
      <c r="E1305" s="238">
        <v>1.0</v>
      </c>
      <c r="F1305" s="278"/>
      <c r="G1305" s="255"/>
      <c r="H1305" s="241" t="s">
        <v>132</v>
      </c>
      <c r="I1305" s="242" t="s">
        <v>105</v>
      </c>
      <c r="K1305" s="204"/>
      <c r="L1305" s="204"/>
    </row>
    <row r="1306">
      <c r="A1306" s="217"/>
      <c r="B1306" s="218"/>
      <c r="C1306" s="218"/>
      <c r="D1306" s="308" t="s">
        <v>123</v>
      </c>
      <c r="E1306" s="308">
        <v>1.0</v>
      </c>
      <c r="F1306" s="80"/>
      <c r="G1306" s="86"/>
      <c r="H1306" s="309" t="s">
        <v>124</v>
      </c>
      <c r="I1306" s="213" t="s">
        <v>105</v>
      </c>
      <c r="K1306" s="204"/>
      <c r="L1306" s="204"/>
    </row>
    <row r="1307">
      <c r="A1307" s="236" t="s">
        <v>949</v>
      </c>
      <c r="B1307" s="237" t="s">
        <v>950</v>
      </c>
      <c r="C1307" s="267">
        <f>sum(E1307:E1308)</f>
        <v>2</v>
      </c>
      <c r="D1307" s="238" t="s">
        <v>131</v>
      </c>
      <c r="E1307" s="238">
        <v>1.0</v>
      </c>
      <c r="F1307" s="278"/>
      <c r="G1307" s="255"/>
      <c r="H1307" s="241" t="s">
        <v>132</v>
      </c>
      <c r="I1307" s="242" t="s">
        <v>105</v>
      </c>
      <c r="K1307" s="204"/>
      <c r="L1307" s="204"/>
    </row>
    <row r="1308">
      <c r="A1308" s="217"/>
      <c r="B1308" s="218"/>
      <c r="C1308" s="218"/>
      <c r="D1308" s="761" t="s">
        <v>85</v>
      </c>
      <c r="E1308" s="761">
        <v>1.0</v>
      </c>
      <c r="F1308" s="537"/>
      <c r="G1308" s="538"/>
      <c r="H1308" s="539" t="s">
        <v>86</v>
      </c>
      <c r="I1308" s="762" t="s">
        <v>65</v>
      </c>
      <c r="K1308" s="204"/>
      <c r="L1308" s="204"/>
    </row>
    <row r="1309">
      <c r="A1309" s="224" t="s">
        <v>951</v>
      </c>
      <c r="B1309" s="225" t="s">
        <v>304</v>
      </c>
      <c r="C1309" s="763">
        <f>sum(E1309:E1310)</f>
        <v>2</v>
      </c>
      <c r="D1309" s="227" t="s">
        <v>61</v>
      </c>
      <c r="E1309" s="227">
        <v>1.0</v>
      </c>
      <c r="F1309" s="233"/>
      <c r="G1309" s="233"/>
      <c r="H1309" s="234" t="s">
        <v>62</v>
      </c>
      <c r="I1309" s="213" t="s">
        <v>43</v>
      </c>
      <c r="K1309" s="204"/>
      <c r="L1309" s="204"/>
    </row>
    <row r="1310">
      <c r="A1310" s="217"/>
      <c r="B1310" s="218"/>
      <c r="C1310" s="218"/>
      <c r="D1310" s="219" t="s">
        <v>185</v>
      </c>
      <c r="E1310" s="396">
        <v>1.0</v>
      </c>
      <c r="F1310" s="342"/>
      <c r="G1310" s="397"/>
      <c r="H1310" s="398" t="s">
        <v>187</v>
      </c>
      <c r="I1310" s="343" t="s">
        <v>186</v>
      </c>
      <c r="K1310" s="204"/>
      <c r="L1310" s="204"/>
    </row>
    <row r="1311">
      <c r="A1311" s="423" t="s">
        <v>952</v>
      </c>
      <c r="B1311" s="424" t="s">
        <v>953</v>
      </c>
      <c r="C1311" s="694">
        <f>sum(E1311)</f>
        <v>2</v>
      </c>
      <c r="D1311" s="238" t="s">
        <v>162</v>
      </c>
      <c r="E1311" s="238">
        <v>2.0</v>
      </c>
      <c r="F1311" s="321"/>
      <c r="G1311" s="255"/>
      <c r="H1311" s="241" t="s">
        <v>164</v>
      </c>
      <c r="I1311" s="242" t="s">
        <v>163</v>
      </c>
    </row>
    <row r="1312">
      <c r="A1312" s="195" t="s">
        <v>954</v>
      </c>
      <c r="B1312" s="412" t="s">
        <v>955</v>
      </c>
      <c r="C1312" s="267">
        <f>sum(E1312:E1313)</f>
        <v>2</v>
      </c>
      <c r="D1312" s="764" t="s">
        <v>169</v>
      </c>
      <c r="E1312" s="764">
        <v>1.0</v>
      </c>
      <c r="F1312" s="765"/>
      <c r="G1312" s="766"/>
      <c r="H1312" s="767" t="s">
        <v>170</v>
      </c>
      <c r="I1312" s="768" t="s">
        <v>163</v>
      </c>
    </row>
    <row r="1313">
      <c r="A1313" s="217"/>
      <c r="B1313" s="218"/>
      <c r="C1313" s="218"/>
      <c r="D1313" s="219" t="s">
        <v>58</v>
      </c>
      <c r="E1313" s="219">
        <v>1.0</v>
      </c>
      <c r="F1313" s="219"/>
      <c r="G1313" s="219"/>
      <c r="H1313" s="222" t="s">
        <v>59</v>
      </c>
      <c r="I1313" s="223" t="s">
        <v>43</v>
      </c>
    </row>
    <row r="1314">
      <c r="A1314" s="446" t="s">
        <v>956</v>
      </c>
      <c r="B1314" s="447" t="s">
        <v>859</v>
      </c>
      <c r="C1314" s="267">
        <f>sum(E1314:E1315)</f>
        <v>2</v>
      </c>
      <c r="D1314" s="449" t="s">
        <v>159</v>
      </c>
      <c r="E1314" s="449">
        <v>1.0</v>
      </c>
      <c r="F1314" s="749"/>
      <c r="G1314" s="749"/>
      <c r="H1314" s="451" t="s">
        <v>160</v>
      </c>
      <c r="I1314" s="452" t="s">
        <v>144</v>
      </c>
      <c r="J1314" s="469"/>
      <c r="K1314" s="469"/>
      <c r="L1314" s="469"/>
      <c r="M1314" s="469"/>
      <c r="N1314" s="469"/>
      <c r="O1314" s="469"/>
      <c r="P1314" s="469"/>
      <c r="Q1314" s="469"/>
      <c r="R1314" s="469"/>
      <c r="S1314" s="469"/>
      <c r="T1314" s="469"/>
      <c r="U1314" s="469"/>
      <c r="V1314" s="469"/>
      <c r="W1314" s="469"/>
      <c r="X1314" s="469"/>
      <c r="Y1314" s="469"/>
      <c r="Z1314" s="469"/>
      <c r="AA1314" s="469"/>
      <c r="AB1314" s="469"/>
      <c r="AC1314" s="469"/>
    </row>
    <row r="1315">
      <c r="A1315" s="217"/>
      <c r="B1315" s="218"/>
      <c r="C1315" s="218"/>
      <c r="D1315" s="460" t="s">
        <v>120</v>
      </c>
      <c r="E1315" s="460">
        <v>1.0</v>
      </c>
      <c r="F1315" s="550"/>
      <c r="G1315" s="550"/>
      <c r="H1315" s="462" t="s">
        <v>327</v>
      </c>
      <c r="I1315" s="463" t="s">
        <v>105</v>
      </c>
      <c r="J1315" s="469"/>
      <c r="K1315" s="469"/>
      <c r="L1315" s="469"/>
      <c r="M1315" s="469"/>
      <c r="N1315" s="469"/>
      <c r="O1315" s="469"/>
      <c r="P1315" s="469"/>
      <c r="Q1315" s="469"/>
      <c r="R1315" s="469"/>
      <c r="S1315" s="469"/>
      <c r="T1315" s="469"/>
      <c r="U1315" s="469"/>
      <c r="V1315" s="469"/>
      <c r="W1315" s="469"/>
      <c r="X1315" s="469"/>
      <c r="Y1315" s="469"/>
      <c r="Z1315" s="469"/>
      <c r="AA1315" s="469"/>
      <c r="AB1315" s="469"/>
      <c r="AC1315" s="469"/>
    </row>
    <row r="1316">
      <c r="A1316" s="423" t="s">
        <v>957</v>
      </c>
      <c r="B1316" s="769" t="s">
        <v>958</v>
      </c>
      <c r="C1316" s="770">
        <f t="shared" ref="C1316:C1344" si="2">sum(E1316)</f>
        <v>2</v>
      </c>
      <c r="D1316" s="771" t="s">
        <v>166</v>
      </c>
      <c r="E1316" s="771">
        <v>2.0</v>
      </c>
      <c r="F1316" s="772"/>
      <c r="G1316" s="772"/>
      <c r="H1316" s="773" t="s">
        <v>167</v>
      </c>
      <c r="I1316" s="774" t="s">
        <v>163</v>
      </c>
      <c r="J1316" s="469"/>
      <c r="K1316" s="469"/>
      <c r="L1316" s="469"/>
      <c r="M1316" s="469"/>
      <c r="N1316" s="469"/>
      <c r="O1316" s="469"/>
      <c r="P1316" s="469"/>
      <c r="Q1316" s="469"/>
      <c r="R1316" s="469"/>
      <c r="S1316" s="469"/>
      <c r="T1316" s="469"/>
      <c r="U1316" s="469"/>
      <c r="V1316" s="469"/>
      <c r="W1316" s="469"/>
      <c r="X1316" s="469"/>
      <c r="Y1316" s="469"/>
      <c r="Z1316" s="469"/>
      <c r="AA1316" s="469"/>
      <c r="AB1316" s="469"/>
      <c r="AC1316" s="469"/>
    </row>
    <row r="1317">
      <c r="A1317" s="195" t="s">
        <v>959</v>
      </c>
      <c r="B1317" s="237" t="s">
        <v>960</v>
      </c>
      <c r="C1317" s="197">
        <f t="shared" si="2"/>
        <v>1</v>
      </c>
      <c r="D1317" s="238" t="s">
        <v>284</v>
      </c>
      <c r="E1317" s="238">
        <v>1.0</v>
      </c>
      <c r="F1317" s="239"/>
      <c r="G1317" s="240"/>
      <c r="H1317" s="241" t="s">
        <v>115</v>
      </c>
      <c r="I1317" s="242" t="s">
        <v>105</v>
      </c>
      <c r="K1317" s="204"/>
      <c r="L1317" s="204"/>
    </row>
    <row r="1318">
      <c r="A1318" s="775" t="s">
        <v>961</v>
      </c>
      <c r="B1318" s="776" t="s">
        <v>962</v>
      </c>
      <c r="C1318" s="623">
        <f t="shared" si="2"/>
        <v>1</v>
      </c>
      <c r="D1318" s="777" t="s">
        <v>963</v>
      </c>
      <c r="E1318" s="624">
        <v>1.0</v>
      </c>
      <c r="F1318" s="625"/>
      <c r="G1318" s="626"/>
      <c r="H1318" s="754" t="s">
        <v>964</v>
      </c>
      <c r="I1318" s="758" t="s">
        <v>105</v>
      </c>
      <c r="K1318" s="204"/>
      <c r="L1318" s="204"/>
    </row>
    <row r="1319">
      <c r="A1319" s="236" t="s">
        <v>965</v>
      </c>
      <c r="B1319" s="196" t="s">
        <v>966</v>
      </c>
      <c r="C1319" s="694">
        <f t="shared" si="2"/>
        <v>1</v>
      </c>
      <c r="D1319" s="683" t="s">
        <v>123</v>
      </c>
      <c r="E1319" s="683">
        <v>1.0</v>
      </c>
      <c r="F1319" s="442"/>
      <c r="G1319" s="684"/>
      <c r="H1319" s="685" t="s">
        <v>124</v>
      </c>
      <c r="I1319" s="242" t="s">
        <v>105</v>
      </c>
      <c r="K1319" s="204"/>
      <c r="L1319" s="204"/>
    </row>
    <row r="1320">
      <c r="A1320" s="778" t="s">
        <v>967</v>
      </c>
      <c r="B1320" s="756" t="s">
        <v>656</v>
      </c>
      <c r="C1320" s="623">
        <f t="shared" si="2"/>
        <v>1</v>
      </c>
      <c r="D1320" s="779" t="s">
        <v>137</v>
      </c>
      <c r="E1320" s="779">
        <v>1.0</v>
      </c>
      <c r="F1320" s="780"/>
      <c r="G1320" s="781"/>
      <c r="H1320" s="782" t="s">
        <v>138</v>
      </c>
      <c r="I1320" s="628" t="s">
        <v>105</v>
      </c>
      <c r="K1320" s="204"/>
      <c r="L1320" s="204"/>
    </row>
    <row r="1321">
      <c r="A1321" s="783" t="s">
        <v>968</v>
      </c>
      <c r="B1321" s="784" t="s">
        <v>969</v>
      </c>
      <c r="C1321" s="785">
        <f t="shared" si="2"/>
        <v>0</v>
      </c>
      <c r="D1321" s="786" t="s">
        <v>970</v>
      </c>
      <c r="E1321" s="218"/>
      <c r="F1321" s="218"/>
      <c r="G1321" s="218"/>
      <c r="H1321" s="218"/>
      <c r="I1321" s="509"/>
      <c r="K1321" s="204"/>
      <c r="L1321" s="204"/>
    </row>
    <row r="1322">
      <c r="A1322" s="787" t="s">
        <v>971</v>
      </c>
      <c r="B1322" s="788" t="s">
        <v>972</v>
      </c>
      <c r="C1322" s="694">
        <f t="shared" si="2"/>
        <v>0</v>
      </c>
      <c r="D1322" s="789" t="s">
        <v>970</v>
      </c>
      <c r="I1322" s="279"/>
    </row>
    <row r="1323">
      <c r="A1323" s="778" t="s">
        <v>973</v>
      </c>
      <c r="B1323" s="790" t="s">
        <v>974</v>
      </c>
      <c r="C1323" s="623">
        <f t="shared" si="2"/>
        <v>0</v>
      </c>
      <c r="D1323" s="791" t="s">
        <v>970</v>
      </c>
      <c r="E1323" s="792"/>
      <c r="F1323" s="792"/>
      <c r="G1323" s="792"/>
      <c r="H1323" s="792"/>
      <c r="I1323" s="793"/>
    </row>
    <row r="1324">
      <c r="A1324" s="783" t="s">
        <v>975</v>
      </c>
      <c r="B1324" s="784" t="s">
        <v>509</v>
      </c>
      <c r="C1324" s="785">
        <f t="shared" si="2"/>
        <v>0</v>
      </c>
      <c r="D1324" s="786" t="s">
        <v>976</v>
      </c>
      <c r="E1324" s="218"/>
      <c r="F1324" s="218"/>
      <c r="G1324" s="218"/>
      <c r="H1324" s="218"/>
      <c r="I1324" s="509"/>
      <c r="K1324" s="204"/>
      <c r="L1324" s="204"/>
    </row>
    <row r="1325">
      <c r="A1325" s="254" t="s">
        <v>977</v>
      </c>
      <c r="B1325" s="277" t="s">
        <v>978</v>
      </c>
      <c r="C1325" s="794">
        <f t="shared" si="2"/>
        <v>0</v>
      </c>
      <c r="D1325" s="795" t="s">
        <v>979</v>
      </c>
      <c r="E1325" s="294"/>
      <c r="F1325" s="294"/>
      <c r="G1325" s="294"/>
      <c r="H1325" s="294"/>
      <c r="I1325" s="796"/>
      <c r="K1325" s="204"/>
      <c r="L1325" s="204"/>
    </row>
    <row r="1326">
      <c r="A1326" s="254" t="s">
        <v>980</v>
      </c>
      <c r="B1326" s="277" t="s">
        <v>981</v>
      </c>
      <c r="C1326" s="708">
        <f t="shared" si="2"/>
        <v>0</v>
      </c>
      <c r="D1326" s="795" t="s">
        <v>979</v>
      </c>
      <c r="E1326" s="294"/>
      <c r="F1326" s="294"/>
      <c r="G1326" s="294"/>
      <c r="H1326" s="294"/>
      <c r="I1326" s="796"/>
      <c r="K1326" s="204"/>
      <c r="L1326" s="204"/>
    </row>
    <row r="1327">
      <c r="A1327" s="755" t="s">
        <v>982</v>
      </c>
      <c r="B1327" s="756" t="s">
        <v>983</v>
      </c>
      <c r="C1327" s="753">
        <f t="shared" si="2"/>
        <v>0</v>
      </c>
      <c r="D1327" s="791" t="s">
        <v>979</v>
      </c>
      <c r="E1327" s="792"/>
      <c r="F1327" s="792"/>
      <c r="G1327" s="792"/>
      <c r="H1327" s="792"/>
      <c r="I1327" s="793"/>
      <c r="K1327" s="204"/>
      <c r="L1327" s="204"/>
    </row>
    <row r="1328">
      <c r="A1328" s="236" t="s">
        <v>984</v>
      </c>
      <c r="B1328" s="237" t="s">
        <v>699</v>
      </c>
      <c r="C1328" s="197">
        <f t="shared" si="2"/>
        <v>0</v>
      </c>
      <c r="D1328" s="795" t="s">
        <v>979</v>
      </c>
      <c r="E1328" s="294"/>
      <c r="F1328" s="294"/>
      <c r="G1328" s="294"/>
      <c r="H1328" s="294"/>
      <c r="I1328" s="796"/>
      <c r="J1328" s="626"/>
      <c r="K1328" s="797"/>
      <c r="L1328" s="797"/>
      <c r="M1328" s="626"/>
      <c r="N1328" s="626"/>
      <c r="O1328" s="626"/>
      <c r="P1328" s="626"/>
      <c r="Q1328" s="626"/>
      <c r="R1328" s="626"/>
      <c r="S1328" s="626"/>
      <c r="T1328" s="626"/>
      <c r="U1328" s="626"/>
      <c r="V1328" s="626"/>
      <c r="W1328" s="626"/>
      <c r="X1328" s="626"/>
      <c r="Y1328" s="626"/>
      <c r="Z1328" s="626"/>
      <c r="AA1328" s="626"/>
      <c r="AB1328" s="626"/>
      <c r="AC1328" s="798"/>
    </row>
    <row r="1329">
      <c r="A1329" s="236" t="s">
        <v>985</v>
      </c>
      <c r="B1329" s="237" t="s">
        <v>986</v>
      </c>
      <c r="C1329" s="197">
        <f t="shared" si="2"/>
        <v>0</v>
      </c>
      <c r="D1329" s="795" t="s">
        <v>979</v>
      </c>
      <c r="E1329" s="294"/>
      <c r="F1329" s="294"/>
      <c r="G1329" s="294"/>
      <c r="H1329" s="294"/>
      <c r="I1329" s="796"/>
      <c r="K1329" s="204"/>
      <c r="L1329" s="204"/>
    </row>
    <row r="1330">
      <c r="A1330" s="621" t="s">
        <v>987</v>
      </c>
      <c r="B1330" s="622" t="s">
        <v>703</v>
      </c>
      <c r="C1330" s="753">
        <f t="shared" si="2"/>
        <v>0</v>
      </c>
      <c r="D1330" s="791" t="s">
        <v>988</v>
      </c>
      <c r="E1330" s="792"/>
      <c r="F1330" s="792"/>
      <c r="G1330" s="792"/>
      <c r="H1330" s="792"/>
      <c r="I1330" s="793"/>
      <c r="K1330" s="204"/>
      <c r="L1330" s="204"/>
    </row>
    <row r="1331">
      <c r="A1331" s="621" t="s">
        <v>989</v>
      </c>
      <c r="B1331" s="622" t="s">
        <v>990</v>
      </c>
      <c r="C1331" s="753">
        <f t="shared" si="2"/>
        <v>0</v>
      </c>
      <c r="D1331" s="791" t="s">
        <v>979</v>
      </c>
      <c r="E1331" s="792"/>
      <c r="F1331" s="792"/>
      <c r="G1331" s="792"/>
      <c r="H1331" s="792"/>
      <c r="I1331" s="793"/>
      <c r="K1331" s="204"/>
      <c r="L1331" s="204"/>
    </row>
    <row r="1332">
      <c r="A1332" s="799" t="s">
        <v>991</v>
      </c>
      <c r="B1332" s="800" t="s">
        <v>552</v>
      </c>
      <c r="C1332" s="694">
        <f t="shared" si="2"/>
        <v>0</v>
      </c>
      <c r="D1332" s="801" t="s">
        <v>979</v>
      </c>
      <c r="E1332" s="294"/>
      <c r="F1332" s="294"/>
      <c r="G1332" s="294"/>
      <c r="H1332" s="294"/>
      <c r="I1332" s="796"/>
      <c r="K1332" s="204"/>
      <c r="L1332" s="204"/>
    </row>
    <row r="1333">
      <c r="A1333" s="236" t="s">
        <v>992</v>
      </c>
      <c r="B1333" s="237" t="s">
        <v>993</v>
      </c>
      <c r="C1333" s="694">
        <f t="shared" si="2"/>
        <v>0</v>
      </c>
      <c r="D1333" s="801" t="s">
        <v>979</v>
      </c>
      <c r="E1333" s="294"/>
      <c r="F1333" s="294"/>
      <c r="G1333" s="294"/>
      <c r="H1333" s="294"/>
      <c r="I1333" s="796"/>
      <c r="K1333" s="204"/>
      <c r="L1333" s="204"/>
    </row>
    <row r="1334">
      <c r="A1334" s="236" t="s">
        <v>994</v>
      </c>
      <c r="B1334" s="196" t="s">
        <v>995</v>
      </c>
      <c r="C1334" s="694">
        <f t="shared" si="2"/>
        <v>0</v>
      </c>
      <c r="D1334" s="801" t="s">
        <v>979</v>
      </c>
      <c r="E1334" s="294"/>
      <c r="F1334" s="294"/>
      <c r="G1334" s="294"/>
      <c r="H1334" s="294"/>
      <c r="I1334" s="796"/>
      <c r="K1334" s="204"/>
      <c r="L1334" s="204"/>
    </row>
    <row r="1335">
      <c r="A1335" s="778" t="s">
        <v>996</v>
      </c>
      <c r="B1335" s="756" t="s">
        <v>997</v>
      </c>
      <c r="C1335" s="623">
        <f t="shared" si="2"/>
        <v>0</v>
      </c>
      <c r="D1335" s="802" t="s">
        <v>979</v>
      </c>
      <c r="E1335" s="792"/>
      <c r="F1335" s="792"/>
      <c r="G1335" s="792"/>
      <c r="H1335" s="792"/>
      <c r="I1335" s="793"/>
      <c r="K1335" s="204"/>
      <c r="L1335" s="204"/>
    </row>
    <row r="1336">
      <c r="A1336" s="225" t="s">
        <v>998</v>
      </c>
      <c r="B1336" s="225" t="s">
        <v>722</v>
      </c>
      <c r="C1336" s="763">
        <f t="shared" si="2"/>
        <v>0</v>
      </c>
      <c r="D1336" s="803" t="s">
        <v>979</v>
      </c>
      <c r="I1336" s="279"/>
      <c r="K1336" s="204"/>
      <c r="L1336" s="204"/>
    </row>
    <row r="1337">
      <c r="A1337" s="804" t="s">
        <v>999</v>
      </c>
      <c r="B1337" s="805" t="s">
        <v>1000</v>
      </c>
      <c r="C1337" s="694">
        <f t="shared" si="2"/>
        <v>0</v>
      </c>
      <c r="D1337" s="801" t="s">
        <v>979</v>
      </c>
      <c r="E1337" s="294"/>
      <c r="F1337" s="294"/>
      <c r="G1337" s="294"/>
      <c r="H1337" s="294"/>
      <c r="I1337" s="796"/>
      <c r="J1337" s="233"/>
      <c r="K1337" s="233"/>
      <c r="L1337" s="233"/>
      <c r="M1337" s="233"/>
      <c r="N1337" s="233"/>
      <c r="O1337" s="233"/>
      <c r="P1337" s="233"/>
      <c r="Q1337" s="233"/>
      <c r="R1337" s="233"/>
      <c r="S1337" s="233"/>
      <c r="T1337" s="233"/>
      <c r="U1337" s="233"/>
      <c r="V1337" s="233"/>
      <c r="W1337" s="233"/>
      <c r="X1337" s="233"/>
      <c r="Y1337" s="233"/>
      <c r="Z1337" s="233"/>
      <c r="AA1337" s="233"/>
      <c r="AB1337" s="233"/>
      <c r="AC1337" s="233"/>
    </row>
    <row r="1338">
      <c r="A1338" s="236" t="s">
        <v>1001</v>
      </c>
      <c r="B1338" s="237" t="s">
        <v>1002</v>
      </c>
      <c r="C1338" s="694">
        <f t="shared" si="2"/>
        <v>0</v>
      </c>
      <c r="D1338" s="801" t="s">
        <v>979</v>
      </c>
      <c r="E1338" s="294"/>
      <c r="F1338" s="294"/>
      <c r="G1338" s="294"/>
      <c r="H1338" s="294"/>
      <c r="I1338" s="796"/>
      <c r="K1338" s="204"/>
      <c r="L1338" s="204"/>
    </row>
    <row r="1339">
      <c r="A1339" s="778" t="s">
        <v>1003</v>
      </c>
      <c r="B1339" s="237" t="s">
        <v>1004</v>
      </c>
      <c r="C1339" s="623">
        <f t="shared" si="2"/>
        <v>0</v>
      </c>
      <c r="D1339" s="801" t="s">
        <v>979</v>
      </c>
      <c r="E1339" s="294"/>
      <c r="F1339" s="294"/>
      <c r="G1339" s="294"/>
      <c r="H1339" s="294"/>
      <c r="I1339" s="796"/>
      <c r="K1339" s="204"/>
      <c r="L1339" s="204"/>
    </row>
    <row r="1340">
      <c r="A1340" s="236" t="s">
        <v>1005</v>
      </c>
      <c r="B1340" s="756" t="s">
        <v>1006</v>
      </c>
      <c r="C1340" s="763">
        <f t="shared" si="2"/>
        <v>0</v>
      </c>
      <c r="D1340" s="801" t="s">
        <v>979</v>
      </c>
      <c r="E1340" s="294"/>
      <c r="F1340" s="294"/>
      <c r="G1340" s="294"/>
      <c r="H1340" s="294"/>
      <c r="I1340" s="796"/>
      <c r="K1340" s="204"/>
      <c r="L1340" s="204"/>
    </row>
    <row r="1341">
      <c r="A1341" s="236" t="s">
        <v>1007</v>
      </c>
      <c r="B1341" s="225" t="s">
        <v>1008</v>
      </c>
      <c r="C1341" s="694">
        <f t="shared" si="2"/>
        <v>0</v>
      </c>
      <c r="D1341" s="801" t="s">
        <v>979</v>
      </c>
      <c r="E1341" s="294"/>
      <c r="F1341" s="294"/>
      <c r="G1341" s="294"/>
      <c r="H1341" s="294"/>
      <c r="I1341" s="796"/>
      <c r="K1341" s="204"/>
      <c r="L1341" s="204"/>
    </row>
    <row r="1342">
      <c r="A1342" s="254" t="s">
        <v>1009</v>
      </c>
      <c r="B1342" s="412" t="s">
        <v>1010</v>
      </c>
      <c r="C1342" s="694">
        <f t="shared" si="2"/>
        <v>0</v>
      </c>
      <c r="D1342" s="801" t="s">
        <v>979</v>
      </c>
      <c r="E1342" s="294"/>
      <c r="F1342" s="294"/>
      <c r="G1342" s="294"/>
      <c r="H1342" s="294"/>
      <c r="I1342" s="796"/>
    </row>
    <row r="1343">
      <c r="A1343" s="806" t="s">
        <v>1011</v>
      </c>
      <c r="B1343" s="807" t="s">
        <v>431</v>
      </c>
      <c r="C1343" s="694">
        <f t="shared" si="2"/>
        <v>0</v>
      </c>
      <c r="D1343" s="801" t="s">
        <v>979</v>
      </c>
      <c r="E1343" s="294"/>
      <c r="F1343" s="294"/>
      <c r="G1343" s="294"/>
      <c r="H1343" s="294"/>
      <c r="I1343" s="796"/>
    </row>
    <row r="1344">
      <c r="A1344" s="755" t="s">
        <v>1012</v>
      </c>
      <c r="B1344" s="790" t="s">
        <v>1013</v>
      </c>
      <c r="C1344" s="623">
        <f t="shared" si="2"/>
        <v>0</v>
      </c>
      <c r="D1344" s="802" t="s">
        <v>979</v>
      </c>
      <c r="E1344" s="792"/>
      <c r="F1344" s="792"/>
      <c r="G1344" s="792"/>
      <c r="H1344" s="792"/>
      <c r="I1344" s="793"/>
    </row>
    <row r="1345">
      <c r="A1345" s="808" t="s">
        <v>1014</v>
      </c>
      <c r="B1345" s="751" t="s">
        <v>550</v>
      </c>
      <c r="C1345" s="809">
        <f>sum(E1345:E1351)</f>
        <v>12</v>
      </c>
      <c r="D1345" s="660" t="s">
        <v>189</v>
      </c>
      <c r="E1345" s="660">
        <v>1.0</v>
      </c>
      <c r="F1345" s="590"/>
      <c r="G1345" s="590"/>
      <c r="H1345" s="810" t="s">
        <v>190</v>
      </c>
      <c r="I1345" s="811" t="s">
        <v>186</v>
      </c>
    </row>
    <row r="1346">
      <c r="A1346" s="205"/>
      <c r="D1346" s="457" t="s">
        <v>290</v>
      </c>
      <c r="E1346" s="457">
        <v>2.0</v>
      </c>
      <c r="F1346" s="376"/>
      <c r="G1346" s="376"/>
      <c r="H1346" s="458" t="s">
        <v>283</v>
      </c>
      <c r="I1346" s="479" t="s">
        <v>65</v>
      </c>
    </row>
    <row r="1347">
      <c r="A1347" s="205"/>
      <c r="D1347" s="731" t="s">
        <v>101</v>
      </c>
      <c r="E1347" s="731">
        <v>2.0</v>
      </c>
      <c r="F1347" s="812"/>
      <c r="G1347" s="812"/>
      <c r="H1347" s="733" t="s">
        <v>102</v>
      </c>
      <c r="I1347" s="734" t="s">
        <v>98</v>
      </c>
    </row>
    <row r="1348">
      <c r="A1348" s="205"/>
      <c r="D1348" s="453" t="s">
        <v>166</v>
      </c>
      <c r="E1348" s="453">
        <v>2.0</v>
      </c>
      <c r="F1348" s="813"/>
      <c r="G1348" s="813"/>
      <c r="H1348" s="455" t="s">
        <v>167</v>
      </c>
      <c r="I1348" s="456" t="s">
        <v>163</v>
      </c>
    </row>
    <row r="1349">
      <c r="A1349" s="205"/>
      <c r="D1349" s="229" t="s">
        <v>175</v>
      </c>
      <c r="E1349" s="229">
        <v>3.0</v>
      </c>
      <c r="F1349" s="230"/>
      <c r="G1349" s="230"/>
      <c r="H1349" s="231" t="s">
        <v>289</v>
      </c>
      <c r="I1349" s="635" t="s">
        <v>176</v>
      </c>
    </row>
    <row r="1350">
      <c r="A1350" s="205"/>
      <c r="D1350" s="546" t="s">
        <v>117</v>
      </c>
      <c r="E1350" s="546">
        <v>1.0</v>
      </c>
      <c r="F1350" s="594"/>
      <c r="G1350" s="594"/>
      <c r="H1350" s="548" t="s">
        <v>322</v>
      </c>
      <c r="I1350" s="549" t="s">
        <v>105</v>
      </c>
    </row>
    <row r="1351">
      <c r="A1351" s="217"/>
      <c r="B1351" s="218"/>
      <c r="C1351" s="218"/>
      <c r="D1351" s="546" t="s">
        <v>284</v>
      </c>
      <c r="E1351" s="546">
        <v>1.0</v>
      </c>
      <c r="F1351" s="594"/>
      <c r="G1351" s="594"/>
      <c r="H1351" s="548" t="s">
        <v>115</v>
      </c>
      <c r="I1351" s="549" t="s">
        <v>105</v>
      </c>
    </row>
    <row r="1352">
      <c r="A1352" s="814"/>
      <c r="B1352" s="815"/>
      <c r="C1352" s="816"/>
      <c r="D1352" s="209"/>
      <c r="E1352" s="209"/>
      <c r="F1352" s="210"/>
      <c r="H1352" s="212"/>
      <c r="I1352" s="817"/>
    </row>
    <row r="1353">
      <c r="A1353" s="814"/>
      <c r="B1353" s="815"/>
      <c r="C1353" s="816"/>
      <c r="D1353" s="209"/>
      <c r="E1353" s="209"/>
      <c r="F1353" s="210"/>
      <c r="H1353" s="212"/>
      <c r="I1353" s="817"/>
    </row>
    <row r="1354">
      <c r="A1354" s="814"/>
      <c r="B1354" s="815"/>
      <c r="C1354" s="816"/>
      <c r="D1354" s="209"/>
      <c r="E1354" s="209"/>
      <c r="F1354" s="210"/>
      <c r="H1354" s="212"/>
      <c r="I1354" s="817"/>
    </row>
    <row r="1355">
      <c r="A1355" s="814"/>
      <c r="B1355" s="815"/>
      <c r="C1355" s="816"/>
      <c r="D1355" s="209"/>
      <c r="E1355" s="209"/>
      <c r="F1355" s="210"/>
      <c r="H1355" s="212"/>
      <c r="I1355" s="817"/>
    </row>
    <row r="1356">
      <c r="A1356" s="814"/>
      <c r="B1356" s="815"/>
      <c r="C1356" s="816"/>
      <c r="D1356" s="209"/>
      <c r="E1356" s="209"/>
      <c r="F1356" s="210"/>
      <c r="H1356" s="212"/>
      <c r="I1356" s="817"/>
    </row>
    <row r="1357">
      <c r="A1357" s="814"/>
      <c r="B1357" s="815"/>
      <c r="C1357" s="816"/>
      <c r="D1357" s="209"/>
      <c r="E1357" s="209"/>
      <c r="F1357" s="210"/>
      <c r="H1357" s="212"/>
      <c r="I1357" s="817"/>
    </row>
    <row r="1358">
      <c r="A1358" s="814"/>
      <c r="B1358" s="815"/>
      <c r="C1358" s="816"/>
      <c r="D1358" s="209"/>
      <c r="E1358" s="209"/>
      <c r="F1358" s="210"/>
      <c r="H1358" s="212"/>
      <c r="I1358" s="817"/>
    </row>
    <row r="1359">
      <c r="A1359" s="814"/>
      <c r="B1359" s="815"/>
      <c r="C1359" s="816"/>
      <c r="D1359" s="209"/>
      <c r="E1359" s="209"/>
      <c r="F1359" s="210"/>
      <c r="H1359" s="212"/>
      <c r="I1359" s="817"/>
    </row>
    <row r="1360">
      <c r="A1360" s="814"/>
      <c r="B1360" s="815"/>
      <c r="C1360" s="816"/>
      <c r="D1360" s="209"/>
      <c r="E1360" s="209"/>
      <c r="F1360" s="210"/>
      <c r="H1360" s="212"/>
      <c r="I1360" s="817"/>
    </row>
    <row r="1361">
      <c r="A1361" s="814"/>
      <c r="B1361" s="815"/>
      <c r="C1361" s="816"/>
      <c r="D1361" s="209"/>
      <c r="E1361" s="209"/>
      <c r="F1361" s="210"/>
      <c r="H1361" s="212"/>
      <c r="I1361" s="817"/>
    </row>
    <row r="1362">
      <c r="A1362" s="814"/>
      <c r="B1362" s="815"/>
      <c r="C1362" s="816"/>
      <c r="D1362" s="209"/>
      <c r="E1362" s="209"/>
      <c r="F1362" s="210"/>
      <c r="H1362" s="212"/>
      <c r="I1362" s="817"/>
    </row>
    <row r="1363">
      <c r="A1363" s="814"/>
      <c r="B1363" s="815"/>
      <c r="C1363" s="816"/>
      <c r="D1363" s="209"/>
      <c r="E1363" s="209"/>
      <c r="F1363" s="210"/>
      <c r="H1363" s="212"/>
      <c r="I1363" s="817"/>
    </row>
    <row r="1364">
      <c r="A1364" s="814"/>
      <c r="B1364" s="815"/>
      <c r="C1364" s="816"/>
      <c r="D1364" s="209"/>
      <c r="E1364" s="209"/>
      <c r="F1364" s="210"/>
      <c r="H1364" s="212"/>
      <c r="I1364" s="817"/>
    </row>
    <row r="1365">
      <c r="A1365" s="814"/>
      <c r="B1365" s="815"/>
      <c r="C1365" s="816"/>
      <c r="D1365" s="209"/>
      <c r="E1365" s="209"/>
      <c r="F1365" s="210"/>
      <c r="H1365" s="212"/>
      <c r="I1365" s="817"/>
    </row>
    <row r="1366">
      <c r="A1366" s="814"/>
      <c r="B1366" s="815"/>
      <c r="C1366" s="816"/>
      <c r="D1366" s="209"/>
      <c r="E1366" s="209"/>
      <c r="F1366" s="210"/>
      <c r="H1366" s="212"/>
      <c r="I1366" s="817"/>
    </row>
    <row r="1367">
      <c r="A1367" s="814"/>
      <c r="B1367" s="815"/>
      <c r="C1367" s="816"/>
      <c r="D1367" s="209"/>
      <c r="E1367" s="209"/>
      <c r="F1367" s="210"/>
      <c r="H1367" s="212"/>
      <c r="I1367" s="817"/>
    </row>
    <row r="1368">
      <c r="A1368" s="814"/>
      <c r="B1368" s="815"/>
      <c r="C1368" s="816"/>
      <c r="D1368" s="209"/>
      <c r="E1368" s="209"/>
      <c r="F1368" s="210"/>
      <c r="H1368" s="212"/>
      <c r="I1368" s="817"/>
    </row>
    <row r="1369">
      <c r="A1369" s="814"/>
      <c r="B1369" s="815"/>
      <c r="C1369" s="816"/>
      <c r="D1369" s="209"/>
      <c r="E1369" s="209"/>
      <c r="F1369" s="210"/>
      <c r="H1369" s="212"/>
      <c r="I1369" s="817"/>
    </row>
    <row r="1370">
      <c r="A1370" s="814"/>
      <c r="B1370" s="815"/>
      <c r="C1370" s="816"/>
      <c r="D1370" s="209"/>
      <c r="E1370" s="209"/>
      <c r="F1370" s="210"/>
      <c r="H1370" s="212"/>
      <c r="I1370" s="817"/>
    </row>
    <row r="1371">
      <c r="A1371" s="814"/>
      <c r="B1371" s="815"/>
      <c r="C1371" s="816"/>
      <c r="D1371" s="209"/>
      <c r="E1371" s="209"/>
      <c r="F1371" s="210"/>
      <c r="H1371" s="212"/>
      <c r="I1371" s="817"/>
    </row>
    <row r="1372">
      <c r="A1372" s="814"/>
      <c r="B1372" s="815"/>
      <c r="C1372" s="816"/>
      <c r="D1372" s="209"/>
      <c r="E1372" s="209"/>
      <c r="F1372" s="210"/>
      <c r="H1372" s="212"/>
      <c r="I1372" s="817"/>
    </row>
    <row r="1373">
      <c r="A1373" s="814"/>
      <c r="B1373" s="815"/>
      <c r="C1373" s="816"/>
      <c r="D1373" s="209"/>
      <c r="E1373" s="209"/>
      <c r="F1373" s="210"/>
      <c r="H1373" s="212"/>
      <c r="I1373" s="817"/>
    </row>
    <row r="1374">
      <c r="A1374" s="814"/>
      <c r="B1374" s="815"/>
      <c r="C1374" s="816"/>
      <c r="D1374" s="209"/>
      <c r="E1374" s="209"/>
      <c r="F1374" s="210"/>
      <c r="H1374" s="212"/>
      <c r="I1374" s="817"/>
    </row>
    <row r="1375">
      <c r="A1375" s="814"/>
      <c r="B1375" s="815"/>
      <c r="C1375" s="816"/>
      <c r="D1375" s="209"/>
      <c r="E1375" s="209"/>
      <c r="F1375" s="210"/>
      <c r="H1375" s="212"/>
      <c r="I1375" s="817"/>
    </row>
    <row r="1376">
      <c r="A1376" s="814"/>
      <c r="B1376" s="815"/>
      <c r="C1376" s="816"/>
      <c r="D1376" s="209"/>
      <c r="E1376" s="209"/>
      <c r="F1376" s="210"/>
      <c r="H1376" s="212"/>
      <c r="I1376" s="817"/>
    </row>
    <row r="1377">
      <c r="A1377" s="814"/>
      <c r="B1377" s="815"/>
      <c r="C1377" s="816"/>
      <c r="D1377" s="209"/>
      <c r="E1377" s="209"/>
      <c r="F1377" s="210"/>
      <c r="H1377" s="212"/>
      <c r="I1377" s="817"/>
    </row>
    <row r="1378">
      <c r="A1378" s="814"/>
      <c r="B1378" s="815"/>
      <c r="C1378" s="816"/>
      <c r="D1378" s="209"/>
      <c r="E1378" s="209"/>
      <c r="F1378" s="210"/>
      <c r="H1378" s="212"/>
      <c r="I1378" s="817"/>
    </row>
    <row r="1379">
      <c r="A1379" s="814"/>
      <c r="B1379" s="815"/>
      <c r="C1379" s="816"/>
      <c r="D1379" s="209"/>
      <c r="E1379" s="209"/>
      <c r="F1379" s="210"/>
      <c r="H1379" s="212"/>
      <c r="I1379" s="817"/>
    </row>
    <row r="1380">
      <c r="A1380" s="814"/>
      <c r="B1380" s="815"/>
      <c r="C1380" s="816"/>
      <c r="D1380" s="209"/>
      <c r="E1380" s="209"/>
      <c r="F1380" s="210"/>
      <c r="H1380" s="212"/>
      <c r="I1380" s="817"/>
    </row>
    <row r="1381">
      <c r="A1381" s="814"/>
      <c r="B1381" s="815"/>
      <c r="C1381" s="816"/>
      <c r="D1381" s="209"/>
      <c r="E1381" s="209"/>
      <c r="F1381" s="210"/>
      <c r="H1381" s="212"/>
      <c r="I1381" s="817"/>
    </row>
    <row r="1382">
      <c r="A1382" s="814"/>
      <c r="B1382" s="815"/>
      <c r="C1382" s="816"/>
      <c r="D1382" s="209"/>
      <c r="E1382" s="209"/>
      <c r="F1382" s="210"/>
      <c r="H1382" s="212"/>
      <c r="I1382" s="817"/>
    </row>
    <row r="1383">
      <c r="A1383" s="814"/>
      <c r="B1383" s="815"/>
      <c r="C1383" s="816"/>
      <c r="D1383" s="209"/>
      <c r="E1383" s="209"/>
      <c r="F1383" s="210"/>
      <c r="H1383" s="212"/>
      <c r="I1383" s="817"/>
    </row>
    <row r="1384">
      <c r="A1384" s="814"/>
      <c r="B1384" s="815"/>
      <c r="C1384" s="816"/>
      <c r="D1384" s="209"/>
      <c r="E1384" s="209"/>
      <c r="F1384" s="210"/>
      <c r="H1384" s="212"/>
      <c r="I1384" s="817"/>
    </row>
    <row r="1385">
      <c r="A1385" s="814"/>
      <c r="B1385" s="815"/>
      <c r="C1385" s="816"/>
      <c r="D1385" s="209"/>
      <c r="E1385" s="209"/>
      <c r="F1385" s="210"/>
      <c r="H1385" s="212"/>
      <c r="I1385" s="817"/>
    </row>
    <row r="1386">
      <c r="A1386" s="814"/>
      <c r="B1386" s="815"/>
      <c r="C1386" s="816"/>
      <c r="D1386" s="209"/>
      <c r="E1386" s="209"/>
      <c r="F1386" s="210"/>
      <c r="H1386" s="212"/>
      <c r="I1386" s="817"/>
    </row>
    <row r="1387">
      <c r="A1387" s="814"/>
      <c r="B1387" s="815"/>
      <c r="C1387" s="816"/>
      <c r="D1387" s="209"/>
      <c r="E1387" s="209"/>
      <c r="F1387" s="210"/>
      <c r="H1387" s="212"/>
      <c r="I1387" s="817"/>
    </row>
    <row r="1388">
      <c r="A1388" s="814"/>
      <c r="B1388" s="815"/>
      <c r="C1388" s="816"/>
      <c r="D1388" s="209"/>
      <c r="E1388" s="209"/>
      <c r="F1388" s="210"/>
      <c r="H1388" s="212"/>
      <c r="I1388" s="817"/>
    </row>
    <row r="1389">
      <c r="A1389" s="814"/>
      <c r="B1389" s="815"/>
      <c r="C1389" s="816"/>
      <c r="D1389" s="209"/>
      <c r="E1389" s="209"/>
      <c r="F1389" s="210"/>
      <c r="H1389" s="212"/>
      <c r="I1389" s="817"/>
    </row>
    <row r="1390">
      <c r="A1390" s="814"/>
      <c r="B1390" s="815"/>
      <c r="C1390" s="816"/>
      <c r="D1390" s="209"/>
      <c r="E1390" s="209"/>
      <c r="F1390" s="210"/>
      <c r="H1390" s="212"/>
      <c r="I1390" s="817"/>
    </row>
    <row r="1391">
      <c r="A1391" s="814"/>
      <c r="B1391" s="815"/>
      <c r="C1391" s="816"/>
      <c r="D1391" s="209"/>
      <c r="E1391" s="209"/>
      <c r="F1391" s="210"/>
      <c r="H1391" s="212"/>
      <c r="I1391" s="817"/>
    </row>
    <row r="1392">
      <c r="A1392" s="814"/>
      <c r="B1392" s="815"/>
      <c r="C1392" s="816"/>
      <c r="D1392" s="209"/>
      <c r="E1392" s="209"/>
      <c r="F1392" s="210"/>
      <c r="H1392" s="212"/>
      <c r="I1392" s="817"/>
    </row>
    <row r="1393">
      <c r="A1393" s="814"/>
      <c r="B1393" s="815"/>
      <c r="C1393" s="816"/>
      <c r="D1393" s="209"/>
      <c r="E1393" s="209"/>
      <c r="F1393" s="210"/>
      <c r="H1393" s="212"/>
      <c r="I1393" s="817"/>
    </row>
    <row r="1394">
      <c r="A1394" s="814"/>
      <c r="B1394" s="815"/>
      <c r="C1394" s="816"/>
      <c r="D1394" s="209"/>
      <c r="E1394" s="209"/>
      <c r="F1394" s="210"/>
      <c r="H1394" s="212"/>
      <c r="I1394" s="817"/>
    </row>
    <row r="1395">
      <c r="A1395" s="814"/>
      <c r="B1395" s="815"/>
      <c r="C1395" s="816"/>
      <c r="D1395" s="209"/>
      <c r="E1395" s="209"/>
      <c r="F1395" s="210"/>
      <c r="H1395" s="212"/>
      <c r="I1395" s="817"/>
    </row>
    <row r="1396">
      <c r="A1396" s="814"/>
      <c r="B1396" s="815"/>
      <c r="C1396" s="816"/>
      <c r="D1396" s="209"/>
      <c r="E1396" s="209"/>
      <c r="F1396" s="210"/>
      <c r="H1396" s="212"/>
      <c r="I1396" s="817"/>
    </row>
    <row r="1397">
      <c r="A1397" s="814"/>
      <c r="B1397" s="815"/>
      <c r="C1397" s="816"/>
      <c r="D1397" s="209"/>
      <c r="E1397" s="209"/>
      <c r="F1397" s="210"/>
      <c r="H1397" s="212"/>
      <c r="I1397" s="817"/>
    </row>
    <row r="1398">
      <c r="A1398" s="814"/>
      <c r="B1398" s="815"/>
      <c r="C1398" s="816"/>
      <c r="D1398" s="209"/>
      <c r="E1398" s="209"/>
      <c r="F1398" s="210"/>
      <c r="H1398" s="212"/>
      <c r="I1398" s="817"/>
    </row>
    <row r="1399">
      <c r="A1399" s="814"/>
      <c r="B1399" s="815"/>
      <c r="C1399" s="816"/>
      <c r="D1399" s="209"/>
      <c r="E1399" s="209"/>
      <c r="F1399" s="210"/>
      <c r="H1399" s="212"/>
      <c r="I1399" s="817"/>
    </row>
    <row r="1400">
      <c r="A1400" s="814"/>
      <c r="B1400" s="815"/>
      <c r="C1400" s="816"/>
      <c r="D1400" s="209"/>
      <c r="E1400" s="209"/>
      <c r="F1400" s="210"/>
      <c r="H1400" s="212"/>
      <c r="I1400" s="817"/>
    </row>
    <row r="1401">
      <c r="A1401" s="814"/>
      <c r="B1401" s="815"/>
      <c r="C1401" s="816"/>
      <c r="D1401" s="209"/>
      <c r="E1401" s="209"/>
      <c r="F1401" s="210"/>
      <c r="H1401" s="212"/>
      <c r="I1401" s="817"/>
    </row>
    <row r="1402">
      <c r="A1402" s="814"/>
      <c r="B1402" s="815"/>
      <c r="C1402" s="816"/>
      <c r="D1402" s="209"/>
      <c r="E1402" s="209"/>
      <c r="F1402" s="210"/>
      <c r="H1402" s="212"/>
      <c r="I1402" s="817"/>
    </row>
    <row r="1403">
      <c r="A1403" s="814"/>
      <c r="B1403" s="815"/>
      <c r="C1403" s="816"/>
      <c r="D1403" s="209"/>
      <c r="E1403" s="209"/>
      <c r="F1403" s="210"/>
      <c r="H1403" s="212"/>
      <c r="I1403" s="817"/>
    </row>
    <row r="1404">
      <c r="A1404" s="814"/>
      <c r="B1404" s="815"/>
      <c r="C1404" s="816"/>
      <c r="D1404" s="209"/>
      <c r="E1404" s="209"/>
      <c r="F1404" s="210"/>
      <c r="H1404" s="212"/>
      <c r="I1404" s="817"/>
    </row>
    <row r="1405">
      <c r="A1405" s="814"/>
      <c r="B1405" s="815"/>
      <c r="C1405" s="816"/>
      <c r="D1405" s="209"/>
      <c r="E1405" s="209"/>
      <c r="F1405" s="210"/>
      <c r="H1405" s="212"/>
      <c r="I1405" s="817"/>
    </row>
    <row r="1406">
      <c r="A1406" s="814"/>
      <c r="B1406" s="815"/>
      <c r="C1406" s="816"/>
      <c r="D1406" s="209"/>
      <c r="E1406" s="209"/>
      <c r="F1406" s="210"/>
      <c r="H1406" s="212"/>
      <c r="I1406" s="817"/>
    </row>
    <row r="1407">
      <c r="A1407" s="814"/>
      <c r="B1407" s="815"/>
      <c r="C1407" s="816"/>
      <c r="D1407" s="209"/>
      <c r="E1407" s="209"/>
      <c r="F1407" s="210"/>
      <c r="H1407" s="212"/>
      <c r="I1407" s="817"/>
    </row>
    <row r="1408">
      <c r="A1408" s="814"/>
      <c r="B1408" s="815"/>
      <c r="C1408" s="816"/>
      <c r="D1408" s="209"/>
      <c r="E1408" s="209"/>
      <c r="F1408" s="210"/>
      <c r="H1408" s="212"/>
      <c r="I1408" s="817"/>
    </row>
    <row r="1409">
      <c r="A1409" s="814"/>
      <c r="B1409" s="815"/>
      <c r="C1409" s="816"/>
      <c r="D1409" s="209"/>
      <c r="E1409" s="209"/>
      <c r="F1409" s="210"/>
      <c r="H1409" s="212"/>
      <c r="I1409" s="817"/>
    </row>
    <row r="1410">
      <c r="A1410" s="814"/>
      <c r="B1410" s="815"/>
      <c r="C1410" s="816"/>
      <c r="D1410" s="209"/>
      <c r="E1410" s="209"/>
      <c r="F1410" s="210"/>
      <c r="H1410" s="212"/>
      <c r="I1410" s="817"/>
    </row>
    <row r="1411">
      <c r="A1411" s="814"/>
      <c r="B1411" s="815"/>
      <c r="C1411" s="816"/>
      <c r="D1411" s="209"/>
      <c r="E1411" s="209"/>
      <c r="F1411" s="210"/>
      <c r="H1411" s="212"/>
      <c r="I1411" s="817"/>
    </row>
    <row r="1412">
      <c r="A1412" s="814"/>
      <c r="B1412" s="815"/>
      <c r="C1412" s="816"/>
      <c r="D1412" s="209"/>
      <c r="E1412" s="209"/>
      <c r="F1412" s="210"/>
      <c r="H1412" s="212"/>
      <c r="I1412" s="817"/>
    </row>
    <row r="1413">
      <c r="A1413" s="814"/>
      <c r="B1413" s="815"/>
      <c r="C1413" s="816"/>
      <c r="D1413" s="209"/>
      <c r="E1413" s="209"/>
      <c r="F1413" s="210"/>
      <c r="H1413" s="212"/>
      <c r="I1413" s="817"/>
    </row>
    <row r="1414">
      <c r="A1414" s="814"/>
      <c r="B1414" s="815"/>
      <c r="C1414" s="816"/>
      <c r="D1414" s="209"/>
      <c r="E1414" s="209"/>
      <c r="F1414" s="210"/>
      <c r="H1414" s="212"/>
      <c r="I1414" s="817"/>
    </row>
    <row r="1415">
      <c r="A1415" s="814"/>
      <c r="B1415" s="815"/>
      <c r="C1415" s="816"/>
      <c r="D1415" s="209"/>
      <c r="E1415" s="209"/>
      <c r="F1415" s="210"/>
      <c r="H1415" s="212"/>
      <c r="I1415" s="817"/>
    </row>
    <row r="1416">
      <c r="A1416" s="814"/>
      <c r="B1416" s="815"/>
      <c r="C1416" s="816"/>
      <c r="D1416" s="209"/>
      <c r="E1416" s="209"/>
      <c r="F1416" s="210"/>
      <c r="H1416" s="212"/>
      <c r="I1416" s="817"/>
    </row>
    <row r="1417">
      <c r="A1417" s="814"/>
      <c r="B1417" s="815"/>
      <c r="C1417" s="816"/>
      <c r="D1417" s="209"/>
      <c r="E1417" s="209"/>
      <c r="F1417" s="210"/>
      <c r="H1417" s="212"/>
      <c r="I1417" s="817"/>
    </row>
    <row r="1418">
      <c r="A1418" s="814"/>
      <c r="B1418" s="815"/>
      <c r="C1418" s="816"/>
      <c r="D1418" s="209"/>
      <c r="E1418" s="209"/>
      <c r="F1418" s="210"/>
      <c r="H1418" s="212"/>
      <c r="I1418" s="817"/>
    </row>
    <row r="1419">
      <c r="A1419" s="814"/>
      <c r="B1419" s="815"/>
      <c r="C1419" s="816"/>
      <c r="D1419" s="209"/>
      <c r="E1419" s="209"/>
      <c r="F1419" s="210"/>
      <c r="H1419" s="212"/>
      <c r="I1419" s="817"/>
    </row>
    <row r="1420">
      <c r="A1420" s="814"/>
      <c r="B1420" s="815"/>
      <c r="C1420" s="816"/>
      <c r="D1420" s="209"/>
      <c r="E1420" s="209"/>
      <c r="F1420" s="210"/>
      <c r="H1420" s="212"/>
      <c r="I1420" s="817"/>
    </row>
    <row r="1421">
      <c r="A1421" s="814"/>
      <c r="B1421" s="815"/>
      <c r="C1421" s="816"/>
      <c r="D1421" s="209"/>
      <c r="E1421" s="209"/>
      <c r="F1421" s="210"/>
      <c r="H1421" s="212"/>
      <c r="I1421" s="817"/>
    </row>
    <row r="1422">
      <c r="A1422" s="814"/>
      <c r="B1422" s="815"/>
      <c r="C1422" s="816"/>
      <c r="D1422" s="209"/>
      <c r="E1422" s="209"/>
      <c r="F1422" s="210"/>
      <c r="H1422" s="212"/>
      <c r="I1422" s="817"/>
    </row>
    <row r="1423">
      <c r="A1423" s="814"/>
      <c r="B1423" s="815"/>
      <c r="C1423" s="816"/>
      <c r="D1423" s="209"/>
      <c r="E1423" s="209"/>
      <c r="F1423" s="210"/>
      <c r="H1423" s="212"/>
      <c r="I1423" s="817"/>
    </row>
    <row r="1424">
      <c r="A1424" s="814"/>
      <c r="B1424" s="815"/>
      <c r="C1424" s="816"/>
      <c r="D1424" s="209"/>
      <c r="E1424" s="209"/>
      <c r="F1424" s="210"/>
      <c r="H1424" s="212"/>
      <c r="I1424" s="817"/>
    </row>
    <row r="1425">
      <c r="A1425" s="814"/>
      <c r="B1425" s="815"/>
      <c r="C1425" s="816"/>
      <c r="D1425" s="209"/>
      <c r="E1425" s="209"/>
      <c r="F1425" s="210"/>
      <c r="H1425" s="212"/>
      <c r="I1425" s="817"/>
    </row>
    <row r="1426">
      <c r="A1426" s="814"/>
      <c r="B1426" s="815"/>
      <c r="C1426" s="816"/>
      <c r="D1426" s="209"/>
      <c r="E1426" s="209"/>
      <c r="F1426" s="210"/>
      <c r="H1426" s="212"/>
      <c r="I1426" s="817"/>
    </row>
    <row r="1427">
      <c r="A1427" s="814"/>
      <c r="B1427" s="815"/>
      <c r="C1427" s="816"/>
      <c r="D1427" s="209"/>
      <c r="E1427" s="209"/>
      <c r="F1427" s="210"/>
      <c r="H1427" s="212"/>
      <c r="I1427" s="817"/>
    </row>
    <row r="1428">
      <c r="A1428" s="814"/>
      <c r="B1428" s="815"/>
      <c r="C1428" s="816"/>
      <c r="D1428" s="209"/>
      <c r="E1428" s="209"/>
      <c r="F1428" s="210"/>
      <c r="H1428" s="212"/>
      <c r="I1428" s="817"/>
    </row>
    <row r="1429">
      <c r="A1429" s="814"/>
      <c r="B1429" s="815"/>
      <c r="C1429" s="816"/>
      <c r="D1429" s="209"/>
      <c r="E1429" s="209"/>
      <c r="F1429" s="210"/>
      <c r="H1429" s="212"/>
      <c r="I1429" s="817"/>
    </row>
    <row r="1430">
      <c r="A1430" s="814"/>
      <c r="B1430" s="815"/>
      <c r="C1430" s="816"/>
      <c r="D1430" s="209"/>
      <c r="E1430" s="209"/>
      <c r="F1430" s="210"/>
      <c r="H1430" s="212"/>
      <c r="I1430" s="817"/>
    </row>
    <row r="1431">
      <c r="A1431" s="814"/>
      <c r="B1431" s="815"/>
      <c r="C1431" s="816"/>
      <c r="D1431" s="209"/>
      <c r="E1431" s="209"/>
      <c r="F1431" s="210"/>
      <c r="H1431" s="212"/>
      <c r="I1431" s="817"/>
    </row>
    <row r="1432">
      <c r="A1432" s="814"/>
      <c r="B1432" s="815"/>
      <c r="C1432" s="816"/>
      <c r="D1432" s="209"/>
      <c r="E1432" s="209"/>
      <c r="F1432" s="210"/>
      <c r="H1432" s="212"/>
      <c r="I1432" s="817"/>
    </row>
    <row r="1433">
      <c r="A1433" s="814"/>
      <c r="B1433" s="815"/>
      <c r="C1433" s="816"/>
      <c r="D1433" s="209"/>
      <c r="E1433" s="209"/>
      <c r="F1433" s="210"/>
      <c r="H1433" s="212"/>
      <c r="I1433" s="817"/>
    </row>
    <row r="1434">
      <c r="A1434" s="814"/>
      <c r="B1434" s="815"/>
      <c r="C1434" s="816"/>
      <c r="D1434" s="209"/>
      <c r="E1434" s="209"/>
      <c r="F1434" s="210"/>
      <c r="H1434" s="212"/>
      <c r="I1434" s="817"/>
    </row>
    <row r="1435">
      <c r="A1435" s="814"/>
      <c r="B1435" s="815"/>
      <c r="C1435" s="816"/>
      <c r="D1435" s="209"/>
      <c r="E1435" s="209"/>
      <c r="F1435" s="210"/>
      <c r="H1435" s="212"/>
      <c r="I1435" s="817"/>
    </row>
    <row r="1436">
      <c r="A1436" s="814"/>
      <c r="B1436" s="815"/>
      <c r="C1436" s="816"/>
      <c r="D1436" s="209"/>
      <c r="E1436" s="209"/>
      <c r="F1436" s="210"/>
      <c r="H1436" s="212"/>
      <c r="I1436" s="817"/>
    </row>
    <row r="1437">
      <c r="A1437" s="814"/>
      <c r="B1437" s="815"/>
      <c r="C1437" s="816"/>
      <c r="D1437" s="209"/>
      <c r="E1437" s="209"/>
      <c r="F1437" s="210"/>
      <c r="H1437" s="212"/>
      <c r="I1437" s="817"/>
    </row>
    <row r="1438">
      <c r="A1438" s="814"/>
      <c r="B1438" s="815"/>
      <c r="C1438" s="816"/>
      <c r="D1438" s="209"/>
      <c r="E1438" s="209"/>
      <c r="F1438" s="210"/>
      <c r="H1438" s="212"/>
      <c r="I1438" s="817"/>
    </row>
    <row r="1439">
      <c r="A1439" s="814"/>
      <c r="B1439" s="815"/>
      <c r="C1439" s="816"/>
      <c r="D1439" s="209"/>
      <c r="E1439" s="209"/>
      <c r="F1439" s="210"/>
      <c r="H1439" s="212"/>
      <c r="I1439" s="817"/>
    </row>
    <row r="1440">
      <c r="A1440" s="814"/>
      <c r="B1440" s="815"/>
      <c r="C1440" s="816"/>
      <c r="D1440" s="209"/>
      <c r="E1440" s="209"/>
      <c r="F1440" s="210"/>
      <c r="H1440" s="212"/>
      <c r="I1440" s="817"/>
    </row>
    <row r="1441">
      <c r="A1441" s="814"/>
      <c r="B1441" s="815"/>
      <c r="C1441" s="816"/>
      <c r="D1441" s="209"/>
      <c r="E1441" s="209"/>
      <c r="F1441" s="210"/>
      <c r="H1441" s="212"/>
      <c r="I1441" s="817"/>
    </row>
    <row r="1442">
      <c r="A1442" s="814"/>
      <c r="B1442" s="815"/>
      <c r="C1442" s="816"/>
      <c r="D1442" s="209"/>
      <c r="E1442" s="209"/>
      <c r="F1442" s="210"/>
      <c r="H1442" s="212"/>
      <c r="I1442" s="817"/>
    </row>
    <row r="1443">
      <c r="A1443" s="814"/>
      <c r="B1443" s="815"/>
      <c r="C1443" s="816"/>
      <c r="D1443" s="209"/>
      <c r="E1443" s="209"/>
      <c r="F1443" s="210"/>
      <c r="H1443" s="212"/>
      <c r="I1443" s="817"/>
    </row>
    <row r="1444">
      <c r="A1444" s="814"/>
      <c r="B1444" s="815"/>
      <c r="C1444" s="816"/>
      <c r="D1444" s="209"/>
      <c r="E1444" s="209"/>
      <c r="F1444" s="210"/>
      <c r="H1444" s="212"/>
      <c r="I1444" s="817"/>
    </row>
    <row r="1445">
      <c r="A1445" s="814"/>
      <c r="B1445" s="815"/>
      <c r="C1445" s="816"/>
      <c r="D1445" s="209"/>
      <c r="E1445" s="209"/>
      <c r="F1445" s="210"/>
      <c r="H1445" s="212"/>
      <c r="I1445" s="817"/>
    </row>
    <row r="1446">
      <c r="A1446" s="814"/>
      <c r="B1446" s="815"/>
      <c r="C1446" s="816"/>
      <c r="D1446" s="209"/>
      <c r="E1446" s="209"/>
      <c r="F1446" s="210"/>
      <c r="H1446" s="212"/>
      <c r="I1446" s="817"/>
    </row>
    <row r="1447">
      <c r="A1447" s="814"/>
      <c r="B1447" s="815"/>
      <c r="C1447" s="816"/>
      <c r="D1447" s="209"/>
      <c r="E1447" s="209"/>
      <c r="F1447" s="210"/>
      <c r="H1447" s="212"/>
      <c r="I1447" s="817"/>
    </row>
    <row r="1448">
      <c r="A1448" s="814"/>
      <c r="B1448" s="815"/>
      <c r="C1448" s="816"/>
      <c r="D1448" s="209"/>
      <c r="E1448" s="209"/>
      <c r="F1448" s="210"/>
      <c r="H1448" s="212"/>
      <c r="I1448" s="817"/>
    </row>
    <row r="1449">
      <c r="A1449" s="814"/>
      <c r="B1449" s="815"/>
      <c r="C1449" s="816"/>
      <c r="D1449" s="209"/>
      <c r="E1449" s="209"/>
      <c r="F1449" s="210"/>
      <c r="H1449" s="212"/>
      <c r="I1449" s="817"/>
    </row>
    <row r="1450">
      <c r="A1450" s="814"/>
      <c r="B1450" s="815"/>
      <c r="C1450" s="816"/>
      <c r="D1450" s="209"/>
      <c r="E1450" s="209"/>
      <c r="F1450" s="210"/>
      <c r="H1450" s="212"/>
      <c r="I1450" s="817"/>
    </row>
    <row r="1451">
      <c r="A1451" s="814"/>
      <c r="B1451" s="815"/>
      <c r="C1451" s="816"/>
      <c r="D1451" s="209"/>
      <c r="E1451" s="209"/>
      <c r="F1451" s="210"/>
      <c r="H1451" s="212"/>
      <c r="I1451" s="817"/>
    </row>
    <row r="1452">
      <c r="A1452" s="814"/>
      <c r="B1452" s="815"/>
      <c r="C1452" s="816"/>
      <c r="D1452" s="209"/>
      <c r="E1452" s="209"/>
      <c r="F1452" s="210"/>
      <c r="H1452" s="212"/>
      <c r="I1452" s="817"/>
    </row>
    <row r="1453">
      <c r="A1453" s="814"/>
      <c r="B1453" s="815"/>
      <c r="C1453" s="816"/>
      <c r="D1453" s="209"/>
      <c r="E1453" s="209"/>
      <c r="F1453" s="210"/>
      <c r="H1453" s="212"/>
      <c r="I1453" s="817"/>
    </row>
    <row r="1454">
      <c r="A1454" s="814"/>
      <c r="B1454" s="815"/>
      <c r="C1454" s="816"/>
      <c r="D1454" s="209"/>
      <c r="E1454" s="209"/>
      <c r="F1454" s="210"/>
      <c r="H1454" s="212"/>
      <c r="I1454" s="817"/>
    </row>
    <row r="1455">
      <c r="A1455" s="814"/>
      <c r="B1455" s="815"/>
      <c r="C1455" s="816"/>
      <c r="D1455" s="209"/>
      <c r="E1455" s="209"/>
      <c r="F1455" s="210"/>
      <c r="H1455" s="212"/>
      <c r="I1455" s="817"/>
    </row>
    <row r="1456">
      <c r="A1456" s="814"/>
      <c r="B1456" s="815"/>
      <c r="C1456" s="816"/>
      <c r="D1456" s="209"/>
      <c r="E1456" s="209"/>
      <c r="F1456" s="210"/>
      <c r="H1456" s="212"/>
      <c r="I1456" s="817"/>
    </row>
    <row r="1457">
      <c r="A1457" s="814"/>
      <c r="B1457" s="815"/>
      <c r="C1457" s="816"/>
      <c r="D1457" s="209"/>
      <c r="E1457" s="209"/>
      <c r="F1457" s="210"/>
      <c r="H1457" s="212"/>
      <c r="I1457" s="817"/>
    </row>
    <row r="1458">
      <c r="A1458" s="814"/>
      <c r="B1458" s="815"/>
      <c r="C1458" s="816"/>
      <c r="D1458" s="209"/>
      <c r="E1458" s="209"/>
      <c r="F1458" s="210"/>
      <c r="H1458" s="212"/>
      <c r="I1458" s="817"/>
    </row>
    <row r="1459">
      <c r="A1459" s="814"/>
      <c r="B1459" s="815"/>
      <c r="C1459" s="816"/>
      <c r="D1459" s="209"/>
      <c r="E1459" s="209"/>
      <c r="F1459" s="210"/>
      <c r="H1459" s="212"/>
      <c r="I1459" s="817"/>
    </row>
    <row r="1460">
      <c r="A1460" s="814"/>
      <c r="B1460" s="815"/>
      <c r="C1460" s="816"/>
      <c r="D1460" s="209"/>
      <c r="E1460" s="209"/>
      <c r="F1460" s="210"/>
      <c r="H1460" s="212"/>
      <c r="I1460" s="817"/>
    </row>
    <row r="1461">
      <c r="A1461" s="814"/>
      <c r="B1461" s="815"/>
      <c r="C1461" s="816"/>
      <c r="D1461" s="209"/>
      <c r="E1461" s="209"/>
      <c r="F1461" s="210"/>
      <c r="H1461" s="212"/>
      <c r="I1461" s="817"/>
    </row>
    <row r="1462">
      <c r="A1462" s="814"/>
      <c r="B1462" s="815"/>
      <c r="C1462" s="816"/>
      <c r="D1462" s="209"/>
      <c r="E1462" s="209"/>
      <c r="F1462" s="210"/>
      <c r="H1462" s="212"/>
      <c r="I1462" s="817"/>
    </row>
    <row r="1463">
      <c r="A1463" s="814"/>
      <c r="B1463" s="815"/>
      <c r="C1463" s="816"/>
      <c r="D1463" s="209"/>
      <c r="E1463" s="209"/>
      <c r="F1463" s="210"/>
      <c r="H1463" s="212"/>
      <c r="I1463" s="817"/>
    </row>
    <row r="1464">
      <c r="A1464" s="814"/>
      <c r="B1464" s="815"/>
      <c r="C1464" s="816"/>
      <c r="D1464" s="209"/>
      <c r="E1464" s="209"/>
      <c r="F1464" s="210"/>
      <c r="H1464" s="212"/>
      <c r="I1464" s="817"/>
    </row>
    <row r="1465">
      <c r="A1465" s="814"/>
      <c r="B1465" s="815"/>
      <c r="C1465" s="816"/>
      <c r="D1465" s="209"/>
      <c r="E1465" s="209"/>
      <c r="F1465" s="210"/>
      <c r="H1465" s="212"/>
      <c r="I1465" s="817"/>
    </row>
    <row r="1466">
      <c r="A1466" s="814"/>
      <c r="B1466" s="815"/>
      <c r="C1466" s="816"/>
      <c r="D1466" s="209"/>
      <c r="E1466" s="209"/>
      <c r="F1466" s="210"/>
      <c r="H1466" s="212"/>
      <c r="I1466" s="817"/>
    </row>
    <row r="1467">
      <c r="A1467" s="814"/>
      <c r="B1467" s="815"/>
      <c r="C1467" s="816"/>
      <c r="D1467" s="209"/>
      <c r="E1467" s="209"/>
      <c r="F1467" s="210"/>
      <c r="H1467" s="212"/>
      <c r="I1467" s="817"/>
    </row>
    <row r="1468">
      <c r="A1468" s="814"/>
      <c r="B1468" s="815"/>
      <c r="C1468" s="816"/>
      <c r="D1468" s="209"/>
      <c r="E1468" s="209"/>
      <c r="F1468" s="210"/>
      <c r="H1468" s="212"/>
      <c r="I1468" s="817"/>
    </row>
    <row r="1469">
      <c r="A1469" s="814"/>
      <c r="B1469" s="815"/>
      <c r="C1469" s="816"/>
      <c r="D1469" s="209"/>
      <c r="E1469" s="209"/>
      <c r="F1469" s="210"/>
      <c r="H1469" s="212"/>
      <c r="I1469" s="817"/>
    </row>
    <row r="1470">
      <c r="A1470" s="814"/>
      <c r="B1470" s="815"/>
      <c r="C1470" s="816"/>
      <c r="D1470" s="209"/>
      <c r="E1470" s="209"/>
      <c r="F1470" s="210"/>
      <c r="H1470" s="212"/>
      <c r="I1470" s="817"/>
    </row>
    <row r="1471">
      <c r="A1471" s="814"/>
      <c r="B1471" s="815"/>
      <c r="C1471" s="816"/>
      <c r="D1471" s="209"/>
      <c r="E1471" s="209"/>
      <c r="F1471" s="210"/>
      <c r="H1471" s="212"/>
      <c r="I1471" s="817"/>
    </row>
    <row r="1472">
      <c r="A1472" s="814"/>
      <c r="B1472" s="815"/>
      <c r="C1472" s="816"/>
      <c r="D1472" s="209"/>
      <c r="E1472" s="209"/>
      <c r="F1472" s="210"/>
      <c r="H1472" s="212"/>
      <c r="I1472" s="817"/>
    </row>
    <row r="1473">
      <c r="A1473" s="814"/>
      <c r="B1473" s="815"/>
      <c r="C1473" s="816"/>
      <c r="D1473" s="209"/>
      <c r="E1473" s="209"/>
      <c r="F1473" s="210"/>
      <c r="H1473" s="212"/>
      <c r="I1473" s="817"/>
    </row>
    <row r="1474">
      <c r="A1474" s="814"/>
      <c r="B1474" s="815"/>
      <c r="C1474" s="816"/>
      <c r="D1474" s="209"/>
      <c r="E1474" s="209"/>
      <c r="F1474" s="210"/>
      <c r="H1474" s="212"/>
      <c r="I1474" s="817"/>
    </row>
    <row r="1475">
      <c r="A1475" s="814"/>
      <c r="B1475" s="815"/>
      <c r="C1475" s="816"/>
      <c r="D1475" s="209"/>
      <c r="E1475" s="209"/>
      <c r="F1475" s="210"/>
      <c r="H1475" s="212"/>
      <c r="I1475" s="817"/>
    </row>
    <row r="1476">
      <c r="A1476" s="814"/>
      <c r="B1476" s="815"/>
      <c r="C1476" s="816"/>
      <c r="D1476" s="209"/>
      <c r="E1476" s="209"/>
      <c r="F1476" s="210"/>
      <c r="H1476" s="212"/>
      <c r="I1476" s="817"/>
    </row>
    <row r="1477">
      <c r="A1477" s="814"/>
      <c r="B1477" s="815"/>
      <c r="C1477" s="816"/>
      <c r="D1477" s="209"/>
      <c r="E1477" s="209"/>
      <c r="F1477" s="210"/>
      <c r="H1477" s="212"/>
      <c r="I1477" s="817"/>
    </row>
    <row r="1478">
      <c r="A1478" s="814"/>
      <c r="B1478" s="815"/>
      <c r="C1478" s="816"/>
      <c r="D1478" s="209"/>
      <c r="E1478" s="209"/>
      <c r="F1478" s="210"/>
      <c r="H1478" s="212"/>
      <c r="I1478" s="817"/>
    </row>
    <row r="1479">
      <c r="A1479" s="814"/>
      <c r="B1479" s="815"/>
      <c r="C1479" s="816"/>
      <c r="D1479" s="209"/>
      <c r="E1479" s="209"/>
      <c r="F1479" s="210"/>
      <c r="H1479" s="212"/>
      <c r="I1479" s="817"/>
    </row>
    <row r="1480">
      <c r="A1480" s="814"/>
      <c r="B1480" s="815"/>
      <c r="C1480" s="816"/>
      <c r="D1480" s="209"/>
      <c r="E1480" s="209"/>
      <c r="F1480" s="210"/>
      <c r="H1480" s="212"/>
      <c r="I1480" s="817"/>
    </row>
    <row r="1481">
      <c r="A1481" s="814"/>
      <c r="B1481" s="815"/>
      <c r="C1481" s="816"/>
      <c r="D1481" s="209"/>
      <c r="E1481" s="209"/>
      <c r="F1481" s="210"/>
      <c r="H1481" s="212"/>
      <c r="I1481" s="817"/>
    </row>
    <row r="1482">
      <c r="A1482" s="814"/>
      <c r="B1482" s="815"/>
      <c r="C1482" s="816"/>
      <c r="D1482" s="209"/>
      <c r="E1482" s="209"/>
      <c r="F1482" s="210"/>
      <c r="H1482" s="212"/>
      <c r="I1482" s="817"/>
    </row>
    <row r="1483">
      <c r="A1483" s="814"/>
      <c r="B1483" s="815"/>
      <c r="C1483" s="816"/>
      <c r="D1483" s="209"/>
      <c r="E1483" s="209"/>
      <c r="F1483" s="210"/>
      <c r="H1483" s="212"/>
      <c r="I1483" s="817"/>
    </row>
    <row r="1484">
      <c r="A1484" s="814"/>
      <c r="B1484" s="815"/>
      <c r="C1484" s="816"/>
      <c r="D1484" s="209"/>
      <c r="E1484" s="209"/>
      <c r="F1484" s="210"/>
      <c r="H1484" s="212"/>
      <c r="I1484" s="817"/>
    </row>
    <row r="1485">
      <c r="A1485" s="814"/>
      <c r="B1485" s="815"/>
      <c r="C1485" s="816"/>
      <c r="D1485" s="209"/>
      <c r="E1485" s="209"/>
      <c r="F1485" s="210"/>
      <c r="H1485" s="212"/>
      <c r="I1485" s="817"/>
    </row>
    <row r="1486">
      <c r="A1486" s="814"/>
      <c r="B1486" s="815"/>
      <c r="C1486" s="816"/>
      <c r="D1486" s="209"/>
      <c r="E1486" s="209"/>
      <c r="F1486" s="210"/>
      <c r="H1486" s="212"/>
      <c r="I1486" s="817"/>
    </row>
    <row r="1487">
      <c r="A1487" s="814"/>
      <c r="B1487" s="815"/>
      <c r="C1487" s="816"/>
      <c r="D1487" s="209"/>
      <c r="E1487" s="209"/>
      <c r="F1487" s="210"/>
      <c r="H1487" s="212"/>
      <c r="I1487" s="817"/>
    </row>
    <row r="1488">
      <c r="A1488" s="814"/>
      <c r="B1488" s="815"/>
      <c r="C1488" s="816"/>
      <c r="D1488" s="209"/>
      <c r="E1488" s="209"/>
      <c r="F1488" s="210"/>
      <c r="H1488" s="212"/>
      <c r="I1488" s="817"/>
    </row>
    <row r="1489">
      <c r="A1489" s="814"/>
      <c r="B1489" s="815"/>
      <c r="C1489" s="816"/>
      <c r="D1489" s="209"/>
      <c r="E1489" s="209"/>
      <c r="F1489" s="210"/>
      <c r="H1489" s="212"/>
      <c r="I1489" s="817"/>
    </row>
    <row r="1490">
      <c r="A1490" s="814"/>
      <c r="B1490" s="815"/>
      <c r="C1490" s="816"/>
      <c r="D1490" s="209"/>
      <c r="E1490" s="209"/>
      <c r="F1490" s="210"/>
      <c r="H1490" s="212"/>
      <c r="I1490" s="817"/>
    </row>
    <row r="1491">
      <c r="A1491" s="814"/>
      <c r="B1491" s="815"/>
      <c r="C1491" s="816"/>
      <c r="D1491" s="209"/>
      <c r="E1491" s="209"/>
      <c r="F1491" s="210"/>
      <c r="H1491" s="212"/>
      <c r="I1491" s="817"/>
    </row>
    <row r="1492">
      <c r="A1492" s="814"/>
      <c r="B1492" s="815"/>
      <c r="C1492" s="816"/>
      <c r="D1492" s="209"/>
      <c r="E1492" s="209"/>
      <c r="F1492" s="210"/>
      <c r="H1492" s="212"/>
      <c r="I1492" s="817"/>
    </row>
    <row r="1493">
      <c r="A1493" s="814"/>
      <c r="B1493" s="815"/>
      <c r="C1493" s="816"/>
      <c r="D1493" s="209"/>
      <c r="E1493" s="209"/>
      <c r="F1493" s="210"/>
      <c r="H1493" s="212"/>
      <c r="I1493" s="817"/>
    </row>
    <row r="1494">
      <c r="A1494" s="814"/>
      <c r="B1494" s="815"/>
      <c r="C1494" s="816"/>
      <c r="D1494" s="209"/>
      <c r="E1494" s="209"/>
      <c r="F1494" s="210"/>
      <c r="H1494" s="212"/>
      <c r="I1494" s="817"/>
    </row>
    <row r="1495">
      <c r="A1495" s="814"/>
      <c r="B1495" s="815"/>
      <c r="C1495" s="816"/>
      <c r="D1495" s="209"/>
      <c r="E1495" s="209"/>
      <c r="F1495" s="210"/>
      <c r="H1495" s="212"/>
      <c r="I1495" s="817"/>
    </row>
    <row r="1496">
      <c r="A1496" s="814"/>
      <c r="B1496" s="815"/>
      <c r="C1496" s="816"/>
      <c r="D1496" s="209"/>
      <c r="E1496" s="209"/>
      <c r="F1496" s="210"/>
      <c r="H1496" s="212"/>
      <c r="I1496" s="817"/>
    </row>
    <row r="1497">
      <c r="A1497" s="814"/>
      <c r="B1497" s="815"/>
      <c r="C1497" s="816"/>
      <c r="D1497" s="209"/>
      <c r="E1497" s="209"/>
      <c r="F1497" s="210"/>
      <c r="H1497" s="212"/>
      <c r="I1497" s="817"/>
    </row>
    <row r="1498">
      <c r="A1498" s="814"/>
      <c r="B1498" s="815"/>
      <c r="C1498" s="816"/>
      <c r="D1498" s="209"/>
      <c r="E1498" s="209"/>
      <c r="F1498" s="210"/>
      <c r="H1498" s="212"/>
      <c r="I1498" s="817"/>
    </row>
    <row r="1499">
      <c r="A1499" s="814"/>
      <c r="B1499" s="815"/>
      <c r="C1499" s="816"/>
      <c r="D1499" s="209"/>
      <c r="E1499" s="209"/>
      <c r="F1499" s="210"/>
      <c r="H1499" s="212"/>
      <c r="I1499" s="817"/>
    </row>
    <row r="1500">
      <c r="A1500" s="814"/>
      <c r="B1500" s="815"/>
      <c r="C1500" s="816"/>
      <c r="D1500" s="209"/>
      <c r="E1500" s="209"/>
      <c r="F1500" s="210"/>
      <c r="H1500" s="212"/>
      <c r="I1500" s="817"/>
    </row>
    <row r="1501">
      <c r="A1501" s="814"/>
      <c r="B1501" s="815"/>
      <c r="C1501" s="816"/>
      <c r="D1501" s="209"/>
      <c r="E1501" s="209"/>
      <c r="F1501" s="210"/>
      <c r="H1501" s="212"/>
      <c r="I1501" s="817"/>
    </row>
    <row r="1502">
      <c r="A1502" s="814"/>
      <c r="B1502" s="815"/>
      <c r="C1502" s="816"/>
      <c r="D1502" s="209"/>
      <c r="E1502" s="209"/>
      <c r="F1502" s="210"/>
      <c r="H1502" s="212"/>
      <c r="I1502" s="817"/>
    </row>
    <row r="1503">
      <c r="A1503" s="814"/>
      <c r="B1503" s="815"/>
      <c r="C1503" s="816"/>
      <c r="D1503" s="209"/>
      <c r="E1503" s="209"/>
      <c r="F1503" s="210"/>
      <c r="H1503" s="212"/>
      <c r="I1503" s="817"/>
    </row>
    <row r="1504">
      <c r="A1504" s="814"/>
      <c r="B1504" s="815"/>
      <c r="C1504" s="816"/>
      <c r="D1504" s="209"/>
      <c r="E1504" s="209"/>
      <c r="F1504" s="210"/>
      <c r="H1504" s="212"/>
      <c r="I1504" s="817"/>
    </row>
    <row r="1505">
      <c r="A1505" s="814"/>
      <c r="B1505" s="815"/>
      <c r="C1505" s="816"/>
      <c r="D1505" s="209"/>
      <c r="E1505" s="209"/>
      <c r="F1505" s="210"/>
      <c r="H1505" s="212"/>
      <c r="I1505" s="817"/>
    </row>
    <row r="1506">
      <c r="A1506" s="814"/>
      <c r="B1506" s="815"/>
      <c r="C1506" s="816"/>
      <c r="D1506" s="209"/>
      <c r="E1506" s="209"/>
      <c r="F1506" s="210"/>
      <c r="H1506" s="212"/>
      <c r="I1506" s="817"/>
    </row>
    <row r="1507">
      <c r="A1507" s="814"/>
      <c r="B1507" s="815"/>
      <c r="C1507" s="816"/>
      <c r="D1507" s="209"/>
      <c r="E1507" s="209"/>
      <c r="F1507" s="210"/>
      <c r="H1507" s="212"/>
      <c r="I1507" s="817"/>
    </row>
    <row r="1508">
      <c r="A1508" s="814"/>
      <c r="B1508" s="815"/>
      <c r="C1508" s="816"/>
      <c r="D1508" s="209"/>
      <c r="E1508" s="209"/>
      <c r="F1508" s="210"/>
      <c r="H1508" s="212"/>
      <c r="I1508" s="817"/>
    </row>
    <row r="1509">
      <c r="A1509" s="814"/>
      <c r="B1509" s="815"/>
      <c r="C1509" s="816"/>
      <c r="D1509" s="209"/>
      <c r="E1509" s="209"/>
      <c r="F1509" s="210"/>
      <c r="H1509" s="212"/>
      <c r="I1509" s="817"/>
    </row>
    <row r="1510">
      <c r="A1510" s="814"/>
      <c r="B1510" s="815"/>
      <c r="C1510" s="816"/>
      <c r="D1510" s="209"/>
      <c r="E1510" s="209"/>
      <c r="F1510" s="210"/>
      <c r="H1510" s="212"/>
      <c r="I1510" s="817"/>
    </row>
    <row r="1511">
      <c r="A1511" s="814"/>
      <c r="B1511" s="815"/>
      <c r="C1511" s="816"/>
      <c r="D1511" s="209"/>
      <c r="E1511" s="209"/>
      <c r="F1511" s="210"/>
      <c r="H1511" s="212"/>
      <c r="I1511" s="817"/>
    </row>
    <row r="1512">
      <c r="A1512" s="814"/>
      <c r="B1512" s="815"/>
      <c r="C1512" s="816"/>
      <c r="D1512" s="209"/>
      <c r="E1512" s="209"/>
      <c r="F1512" s="210"/>
      <c r="H1512" s="212"/>
      <c r="I1512" s="817"/>
    </row>
    <row r="1513">
      <c r="A1513" s="814"/>
      <c r="B1513" s="815"/>
      <c r="C1513" s="816"/>
      <c r="D1513" s="209"/>
      <c r="E1513" s="209"/>
      <c r="F1513" s="210"/>
      <c r="H1513" s="212"/>
      <c r="I1513" s="817"/>
    </row>
    <row r="1514">
      <c r="A1514" s="814"/>
      <c r="B1514" s="815"/>
      <c r="C1514" s="816"/>
      <c r="D1514" s="209"/>
      <c r="E1514" s="209"/>
      <c r="F1514" s="210"/>
      <c r="H1514" s="212"/>
      <c r="I1514" s="817"/>
    </row>
    <row r="1515">
      <c r="A1515" s="814"/>
      <c r="B1515" s="815"/>
      <c r="C1515" s="816"/>
      <c r="D1515" s="209"/>
      <c r="E1515" s="209"/>
      <c r="F1515" s="210"/>
      <c r="H1515" s="212"/>
      <c r="I1515" s="817"/>
    </row>
    <row r="1516">
      <c r="A1516" s="814"/>
      <c r="B1516" s="815"/>
      <c r="C1516" s="816"/>
      <c r="D1516" s="209"/>
      <c r="E1516" s="209"/>
      <c r="F1516" s="210"/>
      <c r="H1516" s="212"/>
      <c r="I1516" s="817"/>
    </row>
    <row r="1517">
      <c r="A1517" s="814"/>
      <c r="B1517" s="815"/>
      <c r="C1517" s="816"/>
      <c r="D1517" s="209"/>
      <c r="E1517" s="209"/>
      <c r="F1517" s="210"/>
      <c r="H1517" s="212"/>
      <c r="I1517" s="817"/>
    </row>
    <row r="1518">
      <c r="A1518" s="814"/>
      <c r="B1518" s="815"/>
      <c r="C1518" s="816"/>
      <c r="D1518" s="209"/>
      <c r="E1518" s="209"/>
      <c r="F1518" s="210"/>
      <c r="H1518" s="212"/>
      <c r="I1518" s="817"/>
    </row>
    <row r="1519">
      <c r="A1519" s="814"/>
      <c r="B1519" s="815"/>
      <c r="C1519" s="816"/>
      <c r="D1519" s="209"/>
      <c r="E1519" s="209"/>
      <c r="F1519" s="210"/>
      <c r="H1519" s="212"/>
      <c r="I1519" s="817"/>
    </row>
    <row r="1520">
      <c r="A1520" s="814"/>
      <c r="B1520" s="815"/>
      <c r="C1520" s="816"/>
      <c r="D1520" s="209"/>
      <c r="E1520" s="209"/>
      <c r="F1520" s="210"/>
      <c r="H1520" s="212"/>
      <c r="I1520" s="817"/>
    </row>
    <row r="1521">
      <c r="A1521" s="814"/>
      <c r="B1521" s="815"/>
      <c r="C1521" s="816"/>
      <c r="D1521" s="209"/>
      <c r="E1521" s="209"/>
      <c r="F1521" s="210"/>
      <c r="H1521" s="212"/>
      <c r="I1521" s="817"/>
    </row>
    <row r="1522">
      <c r="A1522" s="814"/>
      <c r="B1522" s="815"/>
      <c r="C1522" s="816"/>
      <c r="D1522" s="209"/>
      <c r="E1522" s="209"/>
      <c r="F1522" s="210"/>
      <c r="H1522" s="212"/>
      <c r="I1522" s="817"/>
    </row>
    <row r="1523">
      <c r="A1523" s="814"/>
      <c r="B1523" s="815"/>
      <c r="C1523" s="816"/>
      <c r="D1523" s="209"/>
      <c r="E1523" s="209"/>
      <c r="F1523" s="210"/>
      <c r="H1523" s="212"/>
      <c r="I1523" s="817"/>
    </row>
    <row r="1524">
      <c r="A1524" s="814"/>
      <c r="B1524" s="815"/>
      <c r="C1524" s="816"/>
      <c r="D1524" s="209"/>
      <c r="E1524" s="209"/>
      <c r="F1524" s="210"/>
      <c r="H1524" s="212"/>
      <c r="I1524" s="817"/>
    </row>
    <row r="1525">
      <c r="A1525" s="814"/>
      <c r="B1525" s="815"/>
      <c r="C1525" s="816"/>
      <c r="D1525" s="209"/>
      <c r="E1525" s="209"/>
      <c r="F1525" s="210"/>
      <c r="H1525" s="212"/>
      <c r="I1525" s="817"/>
    </row>
    <row r="1526">
      <c r="A1526" s="814"/>
      <c r="B1526" s="815"/>
      <c r="C1526" s="816"/>
      <c r="D1526" s="209"/>
      <c r="E1526" s="209"/>
      <c r="F1526" s="210"/>
      <c r="H1526" s="212"/>
      <c r="I1526" s="817"/>
    </row>
    <row r="1527">
      <c r="A1527" s="814"/>
      <c r="B1527" s="815"/>
      <c r="C1527" s="816"/>
      <c r="D1527" s="209"/>
      <c r="E1527" s="209"/>
      <c r="F1527" s="210"/>
      <c r="H1527" s="212"/>
      <c r="I1527" s="817"/>
    </row>
    <row r="1528">
      <c r="A1528" s="814"/>
      <c r="B1528" s="815"/>
      <c r="C1528" s="816"/>
      <c r="D1528" s="209"/>
      <c r="E1528" s="209"/>
      <c r="F1528" s="210"/>
      <c r="H1528" s="212"/>
      <c r="I1528" s="817"/>
    </row>
    <row r="1529">
      <c r="A1529" s="814"/>
      <c r="B1529" s="815"/>
      <c r="C1529" s="816"/>
      <c r="D1529" s="209"/>
      <c r="E1529" s="209"/>
      <c r="F1529" s="210"/>
      <c r="H1529" s="212"/>
      <c r="I1529" s="817"/>
    </row>
    <row r="1530">
      <c r="A1530" s="814"/>
      <c r="B1530" s="815"/>
      <c r="C1530" s="816"/>
      <c r="D1530" s="209"/>
      <c r="E1530" s="209"/>
      <c r="F1530" s="210"/>
      <c r="H1530" s="212"/>
      <c r="I1530" s="817"/>
    </row>
    <row r="1531">
      <c r="A1531" s="814"/>
      <c r="B1531" s="815"/>
      <c r="C1531" s="816"/>
      <c r="D1531" s="209"/>
      <c r="E1531" s="209"/>
      <c r="F1531" s="210"/>
      <c r="H1531" s="212"/>
      <c r="I1531" s="817"/>
    </row>
    <row r="1532">
      <c r="A1532" s="814"/>
      <c r="B1532" s="815"/>
      <c r="C1532" s="816"/>
      <c r="D1532" s="209"/>
      <c r="E1532" s="209"/>
      <c r="F1532" s="210"/>
      <c r="H1532" s="212"/>
      <c r="I1532" s="817"/>
    </row>
    <row r="1533">
      <c r="A1533" s="814"/>
      <c r="B1533" s="815"/>
      <c r="C1533" s="816"/>
      <c r="D1533" s="209"/>
      <c r="E1533" s="209"/>
      <c r="F1533" s="210"/>
      <c r="H1533" s="212"/>
      <c r="I1533" s="817"/>
    </row>
    <row r="1534">
      <c r="A1534" s="814"/>
      <c r="B1534" s="815"/>
      <c r="C1534" s="816"/>
      <c r="D1534" s="209"/>
      <c r="E1534" s="209"/>
      <c r="F1534" s="210"/>
      <c r="H1534" s="212"/>
      <c r="I1534" s="817"/>
    </row>
    <row r="1535">
      <c r="A1535" s="814"/>
      <c r="B1535" s="815"/>
      <c r="C1535" s="816"/>
      <c r="D1535" s="209"/>
      <c r="E1535" s="209"/>
      <c r="F1535" s="210"/>
      <c r="H1535" s="212"/>
      <c r="I1535" s="817"/>
    </row>
    <row r="1536">
      <c r="A1536" s="814"/>
      <c r="B1536" s="815"/>
      <c r="C1536" s="816"/>
      <c r="D1536" s="209"/>
      <c r="E1536" s="209"/>
      <c r="F1536" s="210"/>
      <c r="H1536" s="212"/>
      <c r="I1536" s="817"/>
    </row>
    <row r="1537">
      <c r="A1537" s="814"/>
      <c r="B1537" s="815"/>
      <c r="C1537" s="816"/>
      <c r="D1537" s="209"/>
      <c r="E1537" s="209"/>
      <c r="F1537" s="210"/>
      <c r="H1537" s="212"/>
      <c r="I1537" s="817"/>
    </row>
    <row r="1538">
      <c r="A1538" s="814"/>
      <c r="B1538" s="815"/>
      <c r="C1538" s="816"/>
      <c r="D1538" s="209"/>
      <c r="E1538" s="209"/>
      <c r="F1538" s="210"/>
      <c r="H1538" s="212"/>
      <c r="I1538" s="817"/>
    </row>
    <row r="1539">
      <c r="A1539" s="814"/>
      <c r="B1539" s="815"/>
      <c r="C1539" s="816"/>
      <c r="D1539" s="209"/>
      <c r="E1539" s="209"/>
      <c r="F1539" s="210"/>
      <c r="H1539" s="212"/>
      <c r="I1539" s="817"/>
    </row>
    <row r="1540">
      <c r="A1540" s="814"/>
      <c r="B1540" s="815"/>
      <c r="C1540" s="816"/>
      <c r="D1540" s="209"/>
      <c r="E1540" s="209"/>
      <c r="F1540" s="210"/>
      <c r="H1540" s="212"/>
      <c r="I1540" s="817"/>
    </row>
    <row r="1541">
      <c r="A1541" s="814"/>
      <c r="B1541" s="815"/>
      <c r="C1541" s="816"/>
      <c r="D1541" s="209"/>
      <c r="E1541" s="209"/>
      <c r="F1541" s="210"/>
      <c r="H1541" s="212"/>
      <c r="I1541" s="817"/>
    </row>
    <row r="1542">
      <c r="A1542" s="814"/>
      <c r="B1542" s="815"/>
      <c r="C1542" s="816"/>
      <c r="D1542" s="209"/>
      <c r="E1542" s="209"/>
      <c r="F1542" s="210"/>
      <c r="H1542" s="212"/>
      <c r="I1542" s="817"/>
    </row>
    <row r="1543">
      <c r="A1543" s="814"/>
      <c r="B1543" s="815"/>
      <c r="C1543" s="816"/>
      <c r="D1543" s="209"/>
      <c r="E1543" s="209"/>
      <c r="F1543" s="210"/>
      <c r="H1543" s="212"/>
      <c r="I1543" s="817"/>
    </row>
    <row r="1544">
      <c r="A1544" s="814"/>
      <c r="B1544" s="815"/>
      <c r="C1544" s="816"/>
      <c r="D1544" s="209"/>
      <c r="E1544" s="209"/>
      <c r="F1544" s="210"/>
      <c r="H1544" s="212"/>
      <c r="I1544" s="817"/>
    </row>
    <row r="1545">
      <c r="A1545" s="814"/>
      <c r="B1545" s="815"/>
      <c r="C1545" s="816"/>
      <c r="D1545" s="209"/>
      <c r="E1545" s="209"/>
      <c r="F1545" s="210"/>
      <c r="H1545" s="212"/>
      <c r="I1545" s="817"/>
    </row>
    <row r="1546">
      <c r="A1546" s="814"/>
      <c r="B1546" s="815"/>
      <c r="C1546" s="816"/>
      <c r="D1546" s="209"/>
      <c r="E1546" s="209"/>
      <c r="F1546" s="210"/>
      <c r="H1546" s="212"/>
      <c r="I1546" s="817"/>
    </row>
    <row r="1547">
      <c r="A1547" s="814"/>
      <c r="B1547" s="815"/>
      <c r="C1547" s="816"/>
      <c r="D1547" s="209"/>
      <c r="E1547" s="209"/>
      <c r="F1547" s="210"/>
      <c r="H1547" s="212"/>
      <c r="I1547" s="817"/>
    </row>
    <row r="1548">
      <c r="A1548" s="814"/>
      <c r="B1548" s="815"/>
      <c r="C1548" s="816"/>
      <c r="D1548" s="209"/>
      <c r="E1548" s="209"/>
      <c r="F1548" s="210"/>
      <c r="H1548" s="212"/>
      <c r="I1548" s="817"/>
    </row>
    <row r="1549">
      <c r="A1549" s="814"/>
      <c r="B1549" s="815"/>
      <c r="C1549" s="816"/>
      <c r="D1549" s="209"/>
      <c r="E1549" s="209"/>
      <c r="F1549" s="210"/>
      <c r="H1549" s="212"/>
      <c r="I1549" s="817"/>
    </row>
    <row r="1550">
      <c r="A1550" s="814"/>
      <c r="B1550" s="815"/>
      <c r="C1550" s="816"/>
      <c r="D1550" s="209"/>
      <c r="E1550" s="209"/>
      <c r="F1550" s="210"/>
      <c r="H1550" s="212"/>
      <c r="I1550" s="817"/>
    </row>
    <row r="1551">
      <c r="A1551" s="814"/>
      <c r="B1551" s="815"/>
      <c r="C1551" s="816"/>
      <c r="D1551" s="209"/>
      <c r="E1551" s="209"/>
      <c r="F1551" s="210"/>
      <c r="H1551" s="212"/>
      <c r="I1551" s="817"/>
    </row>
    <row r="1552">
      <c r="A1552" s="814"/>
      <c r="B1552" s="815"/>
      <c r="C1552" s="816"/>
      <c r="D1552" s="209"/>
      <c r="E1552" s="209"/>
      <c r="F1552" s="210"/>
      <c r="H1552" s="212"/>
      <c r="I1552" s="817"/>
    </row>
    <row r="1553">
      <c r="A1553" s="814"/>
      <c r="B1553" s="815"/>
      <c r="C1553" s="816"/>
      <c r="D1553" s="209"/>
      <c r="E1553" s="209"/>
      <c r="F1553" s="210"/>
      <c r="H1553" s="212"/>
      <c r="I1553" s="817"/>
    </row>
    <row r="1554">
      <c r="A1554" s="814"/>
      <c r="B1554" s="815"/>
      <c r="C1554" s="816"/>
      <c r="D1554" s="209"/>
      <c r="E1554" s="209"/>
      <c r="F1554" s="210"/>
      <c r="H1554" s="212"/>
      <c r="I1554" s="817"/>
    </row>
    <row r="1555">
      <c r="A1555" s="814"/>
      <c r="B1555" s="815"/>
      <c r="C1555" s="816"/>
      <c r="D1555" s="209"/>
      <c r="E1555" s="209"/>
      <c r="F1555" s="210"/>
      <c r="H1555" s="212"/>
      <c r="I1555" s="817"/>
    </row>
    <row r="1556">
      <c r="A1556" s="814"/>
      <c r="B1556" s="815"/>
      <c r="C1556" s="816"/>
      <c r="D1556" s="209"/>
      <c r="E1556" s="209"/>
      <c r="F1556" s="210"/>
      <c r="H1556" s="212"/>
      <c r="I1556" s="817"/>
    </row>
    <row r="1557">
      <c r="A1557" s="814"/>
      <c r="B1557" s="815"/>
      <c r="C1557" s="816"/>
      <c r="D1557" s="209"/>
      <c r="E1557" s="209"/>
      <c r="F1557" s="210"/>
      <c r="H1557" s="212"/>
      <c r="I1557" s="817"/>
    </row>
    <row r="1558">
      <c r="A1558" s="814"/>
      <c r="B1558" s="815"/>
      <c r="C1558" s="816"/>
      <c r="D1558" s="209"/>
      <c r="E1558" s="209"/>
      <c r="F1558" s="210"/>
      <c r="H1558" s="212"/>
      <c r="I1558" s="817"/>
    </row>
    <row r="1559">
      <c r="A1559" s="814"/>
      <c r="B1559" s="815"/>
      <c r="C1559" s="816"/>
      <c r="D1559" s="209"/>
      <c r="E1559" s="209"/>
      <c r="F1559" s="210"/>
      <c r="H1559" s="212"/>
      <c r="I1559" s="817"/>
    </row>
    <row r="1560">
      <c r="A1560" s="814"/>
      <c r="B1560" s="815"/>
      <c r="C1560" s="816"/>
      <c r="D1560" s="209"/>
      <c r="E1560" s="209"/>
      <c r="F1560" s="210"/>
      <c r="H1560" s="212"/>
      <c r="I1560" s="817"/>
    </row>
    <row r="1561">
      <c r="A1561" s="814"/>
      <c r="B1561" s="815"/>
      <c r="C1561" s="816"/>
      <c r="D1561" s="209"/>
      <c r="E1561" s="209"/>
      <c r="F1561" s="210"/>
      <c r="H1561" s="212"/>
      <c r="I1561" s="817"/>
    </row>
    <row r="1562">
      <c r="A1562" s="814"/>
      <c r="B1562" s="815"/>
      <c r="C1562" s="816"/>
      <c r="D1562" s="209"/>
      <c r="E1562" s="209"/>
      <c r="F1562" s="210"/>
      <c r="H1562" s="212"/>
      <c r="I1562" s="817"/>
    </row>
    <row r="1563">
      <c r="A1563" s="814"/>
      <c r="B1563" s="815"/>
      <c r="C1563" s="816"/>
      <c r="D1563" s="209"/>
      <c r="E1563" s="209"/>
      <c r="F1563" s="210"/>
      <c r="H1563" s="212"/>
      <c r="I1563" s="817"/>
    </row>
    <row r="1564">
      <c r="A1564" s="814"/>
      <c r="B1564" s="815"/>
      <c r="C1564" s="816"/>
      <c r="D1564" s="209"/>
      <c r="E1564" s="209"/>
      <c r="F1564" s="210"/>
      <c r="H1564" s="212"/>
      <c r="I1564" s="817"/>
    </row>
    <row r="1565">
      <c r="A1565" s="814"/>
      <c r="B1565" s="815"/>
      <c r="C1565" s="816"/>
      <c r="D1565" s="209"/>
      <c r="E1565" s="209"/>
      <c r="F1565" s="210"/>
      <c r="H1565" s="212"/>
      <c r="I1565" s="817"/>
    </row>
    <row r="1566">
      <c r="A1566" s="814"/>
      <c r="B1566" s="815"/>
      <c r="C1566" s="816"/>
      <c r="D1566" s="209"/>
      <c r="E1566" s="209"/>
      <c r="F1566" s="210"/>
      <c r="H1566" s="212"/>
      <c r="I1566" s="817"/>
    </row>
    <row r="1567">
      <c r="A1567" s="814"/>
      <c r="B1567" s="815"/>
      <c r="C1567" s="816"/>
      <c r="D1567" s="209"/>
      <c r="E1567" s="209"/>
      <c r="F1567" s="210"/>
      <c r="H1567" s="212"/>
      <c r="I1567" s="817"/>
    </row>
    <row r="1568">
      <c r="A1568" s="814"/>
      <c r="B1568" s="815"/>
      <c r="C1568" s="816"/>
      <c r="D1568" s="209"/>
      <c r="E1568" s="209"/>
      <c r="F1568" s="210"/>
      <c r="H1568" s="212"/>
      <c r="I1568" s="817"/>
    </row>
    <row r="1569">
      <c r="A1569" s="814"/>
      <c r="B1569" s="815"/>
      <c r="C1569" s="816"/>
      <c r="D1569" s="209"/>
      <c r="E1569" s="209"/>
      <c r="F1569" s="210"/>
      <c r="H1569" s="212"/>
      <c r="I1569" s="817"/>
    </row>
    <row r="1570">
      <c r="A1570" s="814"/>
      <c r="B1570" s="815"/>
      <c r="C1570" s="816"/>
      <c r="D1570" s="209"/>
      <c r="E1570" s="209"/>
      <c r="F1570" s="210"/>
      <c r="H1570" s="212"/>
      <c r="I1570" s="817"/>
    </row>
    <row r="1571">
      <c r="A1571" s="814"/>
      <c r="B1571" s="815"/>
      <c r="C1571" s="816"/>
      <c r="D1571" s="209"/>
      <c r="E1571" s="209"/>
      <c r="F1571" s="210"/>
      <c r="H1571" s="212"/>
      <c r="I1571" s="817"/>
    </row>
    <row r="1572">
      <c r="A1572" s="814"/>
      <c r="B1572" s="815"/>
      <c r="C1572" s="816"/>
      <c r="D1572" s="209"/>
      <c r="E1572" s="209"/>
      <c r="F1572" s="210"/>
      <c r="H1572" s="212"/>
      <c r="I1572" s="817"/>
    </row>
    <row r="1573">
      <c r="A1573" s="814"/>
      <c r="B1573" s="815"/>
      <c r="C1573" s="816"/>
      <c r="D1573" s="209"/>
      <c r="E1573" s="209"/>
      <c r="F1573" s="210"/>
      <c r="H1573" s="212"/>
      <c r="I1573" s="817"/>
    </row>
    <row r="1574">
      <c r="A1574" s="814"/>
      <c r="B1574" s="815"/>
      <c r="C1574" s="816"/>
      <c r="D1574" s="209"/>
      <c r="E1574" s="209"/>
      <c r="F1574" s="210"/>
      <c r="H1574" s="212"/>
      <c r="I1574" s="817"/>
    </row>
    <row r="1575">
      <c r="A1575" s="814"/>
      <c r="B1575" s="815"/>
      <c r="C1575" s="816"/>
      <c r="D1575" s="209"/>
      <c r="E1575" s="209"/>
      <c r="F1575" s="210"/>
      <c r="H1575" s="212"/>
      <c r="I1575" s="817"/>
    </row>
    <row r="1576">
      <c r="A1576" s="814"/>
      <c r="B1576" s="815"/>
      <c r="C1576" s="816"/>
      <c r="D1576" s="209"/>
      <c r="E1576" s="209"/>
      <c r="F1576" s="210"/>
      <c r="H1576" s="212"/>
      <c r="I1576" s="817"/>
    </row>
    <row r="1577">
      <c r="A1577" s="814"/>
      <c r="B1577" s="815"/>
      <c r="C1577" s="816"/>
      <c r="D1577" s="209"/>
      <c r="E1577" s="209"/>
      <c r="F1577" s="210"/>
      <c r="H1577" s="212"/>
      <c r="I1577" s="817"/>
    </row>
    <row r="1578">
      <c r="A1578" s="814"/>
      <c r="B1578" s="815"/>
      <c r="C1578" s="816"/>
      <c r="D1578" s="209"/>
      <c r="E1578" s="209"/>
      <c r="F1578" s="210"/>
      <c r="H1578" s="212"/>
      <c r="I1578" s="817"/>
    </row>
    <row r="1579">
      <c r="A1579" s="814"/>
      <c r="B1579" s="815"/>
      <c r="C1579" s="816"/>
      <c r="D1579" s="209"/>
      <c r="E1579" s="209"/>
      <c r="F1579" s="210"/>
      <c r="H1579" s="212"/>
      <c r="I1579" s="817"/>
    </row>
    <row r="1580">
      <c r="A1580" s="814"/>
      <c r="B1580" s="815"/>
      <c r="C1580" s="816"/>
      <c r="D1580" s="209"/>
      <c r="E1580" s="209"/>
      <c r="F1580" s="210"/>
      <c r="H1580" s="212"/>
      <c r="I1580" s="817"/>
    </row>
    <row r="1581">
      <c r="A1581" s="814"/>
      <c r="B1581" s="815"/>
      <c r="C1581" s="816"/>
      <c r="D1581" s="209"/>
      <c r="E1581" s="209"/>
      <c r="F1581" s="210"/>
      <c r="H1581" s="212"/>
      <c r="I1581" s="817"/>
    </row>
    <row r="1582">
      <c r="A1582" s="814"/>
      <c r="B1582" s="815"/>
      <c r="C1582" s="816"/>
      <c r="D1582" s="209"/>
      <c r="E1582" s="209"/>
      <c r="F1582" s="210"/>
      <c r="H1582" s="212"/>
      <c r="I1582" s="817"/>
    </row>
    <row r="1583">
      <c r="A1583" s="814"/>
      <c r="B1583" s="815"/>
      <c r="C1583" s="816"/>
      <c r="D1583" s="209"/>
      <c r="E1583" s="209"/>
      <c r="F1583" s="210"/>
      <c r="H1583" s="212"/>
      <c r="I1583" s="817"/>
    </row>
    <row r="1584">
      <c r="A1584" s="814"/>
      <c r="B1584" s="815"/>
      <c r="C1584" s="816"/>
      <c r="D1584" s="209"/>
      <c r="E1584" s="209"/>
      <c r="F1584" s="210"/>
      <c r="H1584" s="212"/>
      <c r="I1584" s="817"/>
    </row>
    <row r="1585">
      <c r="A1585" s="814"/>
      <c r="B1585" s="815"/>
      <c r="C1585" s="816"/>
      <c r="D1585" s="209"/>
      <c r="E1585" s="209"/>
      <c r="F1585" s="210"/>
      <c r="H1585" s="212"/>
      <c r="I1585" s="817"/>
    </row>
    <row r="1586">
      <c r="A1586" s="814"/>
      <c r="B1586" s="815"/>
      <c r="C1586" s="816"/>
      <c r="D1586" s="209"/>
      <c r="E1586" s="209"/>
      <c r="F1586" s="210"/>
      <c r="H1586" s="212"/>
      <c r="I1586" s="817"/>
    </row>
    <row r="1587">
      <c r="A1587" s="814"/>
      <c r="B1587" s="815"/>
      <c r="C1587" s="816"/>
      <c r="D1587" s="209"/>
      <c r="E1587" s="209"/>
      <c r="F1587" s="210"/>
      <c r="H1587" s="212"/>
      <c r="I1587" s="817"/>
    </row>
    <row r="1588">
      <c r="A1588" s="814"/>
      <c r="B1588" s="815"/>
      <c r="C1588" s="816"/>
      <c r="D1588" s="209"/>
      <c r="E1588" s="209"/>
      <c r="F1588" s="210"/>
      <c r="H1588" s="212"/>
      <c r="I1588" s="817"/>
    </row>
    <row r="1589">
      <c r="A1589" s="814"/>
      <c r="B1589" s="815"/>
      <c r="C1589" s="816"/>
      <c r="D1589" s="209"/>
      <c r="E1589" s="209"/>
      <c r="F1589" s="210"/>
      <c r="H1589" s="212"/>
      <c r="I1589" s="817"/>
    </row>
    <row r="1590">
      <c r="A1590" s="814"/>
      <c r="B1590" s="815"/>
      <c r="C1590" s="816"/>
      <c r="D1590" s="209"/>
      <c r="E1590" s="209"/>
      <c r="F1590" s="210"/>
      <c r="H1590" s="212"/>
      <c r="I1590" s="817"/>
    </row>
    <row r="1591">
      <c r="A1591" s="814"/>
      <c r="B1591" s="815"/>
      <c r="C1591" s="816"/>
      <c r="D1591" s="209"/>
      <c r="E1591" s="209"/>
      <c r="F1591" s="210"/>
      <c r="H1591" s="212"/>
      <c r="I1591" s="817"/>
    </row>
    <row r="1592">
      <c r="A1592" s="814"/>
      <c r="B1592" s="815"/>
      <c r="C1592" s="816"/>
      <c r="D1592" s="209"/>
      <c r="E1592" s="209"/>
      <c r="F1592" s="210"/>
      <c r="H1592" s="212"/>
      <c r="I1592" s="817"/>
    </row>
    <row r="1593">
      <c r="A1593" s="814"/>
      <c r="B1593" s="815"/>
      <c r="C1593" s="816"/>
      <c r="D1593" s="209"/>
      <c r="E1593" s="209"/>
      <c r="F1593" s="210"/>
      <c r="H1593" s="212"/>
      <c r="I1593" s="817"/>
    </row>
    <row r="1594">
      <c r="A1594" s="814"/>
      <c r="B1594" s="815"/>
      <c r="C1594" s="816"/>
      <c r="D1594" s="209"/>
      <c r="E1594" s="209"/>
      <c r="F1594" s="210"/>
      <c r="H1594" s="212"/>
      <c r="I1594" s="817"/>
    </row>
    <row r="1595">
      <c r="A1595" s="814"/>
      <c r="B1595" s="815"/>
      <c r="C1595" s="816"/>
      <c r="D1595" s="209"/>
      <c r="E1595" s="209"/>
      <c r="F1595" s="210"/>
      <c r="H1595" s="212"/>
      <c r="I1595" s="817"/>
    </row>
    <row r="1596">
      <c r="A1596" s="814"/>
      <c r="B1596" s="815"/>
      <c r="C1596" s="816"/>
      <c r="D1596" s="209"/>
      <c r="E1596" s="209"/>
      <c r="F1596" s="210"/>
      <c r="H1596" s="212"/>
      <c r="I1596" s="817"/>
    </row>
    <row r="1597">
      <c r="A1597" s="814"/>
      <c r="B1597" s="815"/>
      <c r="C1597" s="816"/>
      <c r="D1597" s="209"/>
      <c r="E1597" s="209"/>
      <c r="F1597" s="210"/>
      <c r="H1597" s="212"/>
      <c r="I1597" s="817"/>
    </row>
    <row r="1598">
      <c r="A1598" s="814"/>
      <c r="B1598" s="815"/>
      <c r="C1598" s="816"/>
      <c r="D1598" s="209"/>
      <c r="E1598" s="209"/>
      <c r="F1598" s="210"/>
      <c r="H1598" s="212"/>
      <c r="I1598" s="817"/>
    </row>
    <row r="1599">
      <c r="A1599" s="814"/>
      <c r="B1599" s="815"/>
      <c r="C1599" s="816"/>
      <c r="D1599" s="209"/>
      <c r="E1599" s="209"/>
      <c r="F1599" s="210"/>
      <c r="H1599" s="212"/>
      <c r="I1599" s="817"/>
    </row>
    <row r="1600">
      <c r="A1600" s="814"/>
      <c r="B1600" s="815"/>
      <c r="C1600" s="816"/>
      <c r="D1600" s="209"/>
      <c r="E1600" s="209"/>
      <c r="F1600" s="210"/>
      <c r="H1600" s="212"/>
      <c r="I1600" s="817"/>
    </row>
    <row r="1601">
      <c r="A1601" s="814"/>
      <c r="B1601" s="815"/>
      <c r="C1601" s="816"/>
      <c r="D1601" s="209"/>
      <c r="E1601" s="209"/>
      <c r="F1601" s="210"/>
      <c r="H1601" s="212"/>
      <c r="I1601" s="817"/>
    </row>
    <row r="1602">
      <c r="A1602" s="814"/>
      <c r="B1602" s="815"/>
      <c r="C1602" s="816"/>
      <c r="D1602" s="209"/>
      <c r="E1602" s="209"/>
      <c r="F1602" s="210"/>
      <c r="H1602" s="212"/>
      <c r="I1602" s="817"/>
    </row>
    <row r="1603">
      <c r="A1603" s="814"/>
      <c r="B1603" s="815"/>
      <c r="C1603" s="816"/>
      <c r="D1603" s="209"/>
      <c r="E1603" s="209"/>
      <c r="F1603" s="210"/>
      <c r="H1603" s="212"/>
      <c r="I1603" s="817"/>
    </row>
    <row r="1604">
      <c r="A1604" s="814"/>
      <c r="B1604" s="815"/>
      <c r="C1604" s="816"/>
      <c r="D1604" s="209"/>
      <c r="E1604" s="209"/>
      <c r="F1604" s="210"/>
      <c r="H1604" s="212"/>
      <c r="I1604" s="817"/>
    </row>
    <row r="1605">
      <c r="A1605" s="814"/>
      <c r="B1605" s="815"/>
      <c r="C1605" s="816"/>
      <c r="D1605" s="209"/>
      <c r="E1605" s="209"/>
      <c r="F1605" s="210"/>
      <c r="H1605" s="212"/>
      <c r="I1605" s="817"/>
    </row>
    <row r="1606">
      <c r="A1606" s="814"/>
      <c r="B1606" s="815"/>
      <c r="C1606" s="816"/>
      <c r="D1606" s="209"/>
      <c r="E1606" s="209"/>
      <c r="F1606" s="210"/>
      <c r="H1606" s="212"/>
      <c r="I1606" s="817"/>
    </row>
    <row r="1607">
      <c r="A1607" s="814"/>
      <c r="B1607" s="815"/>
      <c r="C1607" s="816"/>
      <c r="D1607" s="209"/>
      <c r="E1607" s="209"/>
      <c r="F1607" s="210"/>
      <c r="H1607" s="212"/>
      <c r="I1607" s="817"/>
    </row>
    <row r="1608">
      <c r="A1608" s="814"/>
      <c r="B1608" s="815"/>
      <c r="C1608" s="816"/>
      <c r="D1608" s="209"/>
      <c r="E1608" s="209"/>
      <c r="F1608" s="210"/>
      <c r="H1608" s="212"/>
      <c r="I1608" s="817"/>
    </row>
    <row r="1609">
      <c r="A1609" s="814"/>
      <c r="B1609" s="815"/>
      <c r="C1609" s="816"/>
      <c r="D1609" s="209"/>
      <c r="E1609" s="209"/>
      <c r="F1609" s="210"/>
      <c r="H1609" s="212"/>
      <c r="I1609" s="817"/>
    </row>
    <row r="1610">
      <c r="A1610" s="814"/>
      <c r="B1610" s="815"/>
      <c r="C1610" s="816"/>
      <c r="D1610" s="209"/>
      <c r="E1610" s="209"/>
      <c r="F1610" s="210"/>
      <c r="H1610" s="212"/>
      <c r="I1610" s="817"/>
    </row>
    <row r="1611">
      <c r="A1611" s="814"/>
      <c r="B1611" s="815"/>
      <c r="C1611" s="816"/>
      <c r="D1611" s="209"/>
      <c r="E1611" s="209"/>
      <c r="F1611" s="210"/>
      <c r="H1611" s="212"/>
      <c r="I1611" s="817"/>
    </row>
    <row r="1612">
      <c r="A1612" s="814"/>
      <c r="B1612" s="815"/>
      <c r="C1612" s="816"/>
      <c r="D1612" s="209"/>
      <c r="E1612" s="209"/>
      <c r="F1612" s="210"/>
      <c r="H1612" s="212"/>
      <c r="I1612" s="817"/>
    </row>
    <row r="1613">
      <c r="A1613" s="814"/>
      <c r="B1613" s="815"/>
      <c r="C1613" s="816"/>
      <c r="D1613" s="209"/>
      <c r="E1613" s="209"/>
      <c r="F1613" s="210"/>
      <c r="H1613" s="212"/>
      <c r="I1613" s="817"/>
    </row>
    <row r="1614">
      <c r="A1614" s="814"/>
      <c r="B1614" s="815"/>
      <c r="C1614" s="816"/>
      <c r="D1614" s="209"/>
      <c r="E1614" s="209"/>
      <c r="F1614" s="210"/>
      <c r="H1614" s="212"/>
      <c r="I1614" s="817"/>
    </row>
    <row r="1615">
      <c r="A1615" s="814"/>
      <c r="B1615" s="815"/>
      <c r="C1615" s="816"/>
      <c r="D1615" s="209"/>
      <c r="E1615" s="209"/>
      <c r="F1615" s="210"/>
      <c r="H1615" s="212"/>
      <c r="I1615" s="817"/>
    </row>
    <row r="1616">
      <c r="A1616" s="814"/>
      <c r="B1616" s="815"/>
      <c r="C1616" s="816"/>
      <c r="D1616" s="209"/>
      <c r="E1616" s="209"/>
      <c r="F1616" s="210"/>
      <c r="H1616" s="212"/>
      <c r="I1616" s="817"/>
    </row>
    <row r="1617">
      <c r="A1617" s="814"/>
      <c r="B1617" s="815"/>
      <c r="C1617" s="816"/>
      <c r="D1617" s="209"/>
      <c r="E1617" s="209"/>
      <c r="F1617" s="210"/>
      <c r="H1617" s="212"/>
      <c r="I1617" s="817"/>
    </row>
    <row r="1618">
      <c r="A1618" s="814"/>
      <c r="B1618" s="815"/>
      <c r="C1618" s="816"/>
      <c r="D1618" s="209"/>
      <c r="E1618" s="209"/>
      <c r="F1618" s="210"/>
      <c r="H1618" s="212"/>
      <c r="I1618" s="817"/>
    </row>
    <row r="1619">
      <c r="A1619" s="814"/>
      <c r="B1619" s="815"/>
      <c r="C1619" s="816"/>
      <c r="D1619" s="209"/>
      <c r="E1619" s="209"/>
      <c r="F1619" s="210"/>
      <c r="H1619" s="212"/>
      <c r="I1619" s="817"/>
    </row>
    <row r="1620">
      <c r="A1620" s="814"/>
      <c r="B1620" s="815"/>
      <c r="C1620" s="816"/>
      <c r="D1620" s="209"/>
      <c r="E1620" s="209"/>
      <c r="F1620" s="210"/>
      <c r="H1620" s="212"/>
      <c r="I1620" s="817"/>
    </row>
    <row r="1621">
      <c r="A1621" s="814"/>
      <c r="B1621" s="815"/>
      <c r="C1621" s="816"/>
      <c r="D1621" s="209"/>
      <c r="E1621" s="209"/>
      <c r="F1621" s="210"/>
      <c r="H1621" s="212"/>
      <c r="I1621" s="817"/>
    </row>
    <row r="1622">
      <c r="A1622" s="814"/>
      <c r="B1622" s="815"/>
      <c r="C1622" s="816"/>
      <c r="D1622" s="209"/>
      <c r="E1622" s="209"/>
      <c r="F1622" s="210"/>
      <c r="H1622" s="212"/>
      <c r="I1622" s="817"/>
    </row>
    <row r="1623">
      <c r="A1623" s="814"/>
      <c r="B1623" s="815"/>
      <c r="C1623" s="816"/>
      <c r="D1623" s="209"/>
      <c r="E1623" s="209"/>
      <c r="F1623" s="210"/>
      <c r="H1623" s="212"/>
      <c r="I1623" s="817"/>
    </row>
    <row r="1624">
      <c r="A1624" s="814"/>
      <c r="B1624" s="815"/>
      <c r="C1624" s="816"/>
      <c r="D1624" s="209"/>
      <c r="E1624" s="209"/>
      <c r="F1624" s="210"/>
      <c r="H1624" s="212"/>
      <c r="I1624" s="817"/>
    </row>
    <row r="1625">
      <c r="A1625" s="814"/>
      <c r="B1625" s="815"/>
      <c r="C1625" s="816"/>
      <c r="D1625" s="209"/>
      <c r="E1625" s="209"/>
      <c r="F1625" s="210"/>
      <c r="H1625" s="212"/>
      <c r="I1625" s="817"/>
    </row>
    <row r="1626">
      <c r="A1626" s="814"/>
      <c r="B1626" s="815"/>
      <c r="C1626" s="816"/>
      <c r="D1626" s="209"/>
      <c r="E1626" s="209"/>
      <c r="F1626" s="210"/>
      <c r="H1626" s="212"/>
      <c r="I1626" s="817"/>
    </row>
    <row r="1627">
      <c r="A1627" s="814"/>
      <c r="B1627" s="815"/>
      <c r="C1627" s="816"/>
      <c r="D1627" s="209"/>
      <c r="E1627" s="209"/>
      <c r="F1627" s="210"/>
      <c r="H1627" s="212"/>
      <c r="I1627" s="817"/>
    </row>
    <row r="1628">
      <c r="A1628" s="814"/>
      <c r="B1628" s="815"/>
      <c r="C1628" s="816"/>
      <c r="D1628" s="209"/>
      <c r="E1628" s="209"/>
      <c r="F1628" s="210"/>
      <c r="H1628" s="212"/>
      <c r="I1628" s="817"/>
    </row>
    <row r="1629">
      <c r="A1629" s="814"/>
      <c r="B1629" s="815"/>
      <c r="C1629" s="816"/>
      <c r="D1629" s="209"/>
      <c r="E1629" s="209"/>
      <c r="F1629" s="210"/>
      <c r="H1629" s="212"/>
      <c r="I1629" s="817"/>
    </row>
    <row r="1630">
      <c r="A1630" s="814"/>
      <c r="B1630" s="815"/>
      <c r="C1630" s="816"/>
      <c r="D1630" s="209"/>
      <c r="E1630" s="209"/>
      <c r="F1630" s="210"/>
      <c r="H1630" s="212"/>
      <c r="I1630" s="817"/>
    </row>
    <row r="1631">
      <c r="A1631" s="814"/>
      <c r="B1631" s="815"/>
      <c r="C1631" s="816"/>
      <c r="D1631" s="209"/>
      <c r="E1631" s="209"/>
      <c r="F1631" s="210"/>
      <c r="H1631" s="212"/>
      <c r="I1631" s="817"/>
    </row>
    <row r="1632">
      <c r="A1632" s="814"/>
      <c r="B1632" s="815"/>
      <c r="C1632" s="816"/>
      <c r="D1632" s="209"/>
      <c r="E1632" s="209"/>
      <c r="F1632" s="210"/>
      <c r="H1632" s="212"/>
      <c r="I1632" s="817"/>
    </row>
    <row r="1633">
      <c r="A1633" s="814"/>
      <c r="B1633" s="815"/>
      <c r="C1633" s="816"/>
      <c r="D1633" s="209"/>
      <c r="E1633" s="209"/>
      <c r="F1633" s="210"/>
      <c r="H1633" s="212"/>
      <c r="I1633" s="817"/>
    </row>
    <row r="1634">
      <c r="A1634" s="814"/>
      <c r="B1634" s="815"/>
      <c r="C1634" s="816"/>
      <c r="D1634" s="209"/>
      <c r="E1634" s="209"/>
      <c r="F1634" s="210"/>
      <c r="H1634" s="212"/>
      <c r="I1634" s="817"/>
    </row>
    <row r="1635">
      <c r="A1635" s="814"/>
      <c r="B1635" s="815"/>
      <c r="C1635" s="816"/>
      <c r="D1635" s="209"/>
      <c r="E1635" s="209"/>
      <c r="F1635" s="210"/>
      <c r="H1635" s="212"/>
      <c r="I1635" s="817"/>
    </row>
    <row r="1636">
      <c r="A1636" s="814"/>
      <c r="B1636" s="815"/>
      <c r="C1636" s="816"/>
      <c r="D1636" s="209"/>
      <c r="E1636" s="209"/>
      <c r="F1636" s="210"/>
      <c r="H1636" s="212"/>
      <c r="I1636" s="817"/>
    </row>
    <row r="1637">
      <c r="A1637" s="814"/>
      <c r="B1637" s="815"/>
      <c r="C1637" s="816"/>
      <c r="D1637" s="209"/>
      <c r="E1637" s="209"/>
      <c r="F1637" s="210"/>
      <c r="H1637" s="212"/>
      <c r="I1637" s="817"/>
    </row>
    <row r="1638">
      <c r="A1638" s="814"/>
      <c r="B1638" s="815"/>
      <c r="C1638" s="816"/>
      <c r="D1638" s="209"/>
      <c r="E1638" s="209"/>
      <c r="F1638" s="210"/>
      <c r="H1638" s="212"/>
      <c r="I1638" s="817"/>
    </row>
    <row r="1639">
      <c r="A1639" s="814"/>
      <c r="B1639" s="815"/>
      <c r="C1639" s="816"/>
      <c r="D1639" s="209"/>
      <c r="E1639" s="209"/>
      <c r="F1639" s="210"/>
      <c r="H1639" s="212"/>
      <c r="I1639" s="817"/>
    </row>
    <row r="1640">
      <c r="A1640" s="814"/>
      <c r="B1640" s="815"/>
      <c r="C1640" s="816"/>
      <c r="D1640" s="209"/>
      <c r="E1640" s="209"/>
      <c r="F1640" s="210"/>
      <c r="H1640" s="212"/>
      <c r="I1640" s="817"/>
    </row>
    <row r="1641">
      <c r="A1641" s="814"/>
      <c r="B1641" s="815"/>
      <c r="C1641" s="816"/>
      <c r="D1641" s="209"/>
      <c r="E1641" s="209"/>
      <c r="F1641" s="210"/>
      <c r="H1641" s="212"/>
      <c r="I1641" s="817"/>
    </row>
    <row r="1642">
      <c r="A1642" s="814"/>
      <c r="B1642" s="815"/>
      <c r="C1642" s="816"/>
      <c r="D1642" s="209"/>
      <c r="E1642" s="209"/>
      <c r="F1642" s="210"/>
      <c r="H1642" s="212"/>
      <c r="I1642" s="817"/>
    </row>
    <row r="1643">
      <c r="A1643" s="814"/>
      <c r="B1643" s="815"/>
      <c r="C1643" s="816"/>
      <c r="D1643" s="209"/>
      <c r="E1643" s="209"/>
      <c r="F1643" s="210"/>
      <c r="H1643" s="212"/>
      <c r="I1643" s="817"/>
    </row>
    <row r="1644">
      <c r="A1644" s="814"/>
      <c r="B1644" s="815"/>
      <c r="C1644" s="816"/>
      <c r="D1644" s="209"/>
      <c r="E1644" s="209"/>
      <c r="F1644" s="210"/>
      <c r="H1644" s="212"/>
      <c r="I1644" s="817"/>
    </row>
    <row r="1645">
      <c r="A1645" s="814"/>
      <c r="B1645" s="815"/>
      <c r="C1645" s="816"/>
      <c r="D1645" s="209"/>
      <c r="E1645" s="209"/>
      <c r="F1645" s="210"/>
      <c r="H1645" s="212"/>
      <c r="I1645" s="817"/>
    </row>
    <row r="1646">
      <c r="A1646" s="814"/>
      <c r="B1646" s="815"/>
      <c r="C1646" s="816"/>
      <c r="D1646" s="209"/>
      <c r="E1646" s="209"/>
      <c r="F1646" s="210"/>
      <c r="H1646" s="212"/>
      <c r="I1646" s="817"/>
    </row>
    <row r="1647">
      <c r="A1647" s="814"/>
      <c r="B1647" s="815"/>
      <c r="C1647" s="816"/>
      <c r="D1647" s="209"/>
      <c r="E1647" s="209"/>
      <c r="F1647" s="210"/>
      <c r="H1647" s="212"/>
      <c r="I1647" s="817"/>
    </row>
    <row r="1648">
      <c r="A1648" s="814"/>
      <c r="B1648" s="815"/>
      <c r="C1648" s="816"/>
      <c r="D1648" s="209"/>
      <c r="E1648" s="209"/>
      <c r="F1648" s="210"/>
      <c r="H1648" s="212"/>
      <c r="I1648" s="817"/>
    </row>
    <row r="1649">
      <c r="A1649" s="814"/>
      <c r="B1649" s="815"/>
      <c r="C1649" s="816"/>
      <c r="D1649" s="209"/>
      <c r="E1649" s="209"/>
      <c r="F1649" s="210"/>
      <c r="H1649" s="212"/>
      <c r="I1649" s="817"/>
    </row>
    <row r="1650">
      <c r="A1650" s="814"/>
      <c r="B1650" s="815"/>
      <c r="C1650" s="816"/>
      <c r="D1650" s="209"/>
      <c r="E1650" s="209"/>
      <c r="F1650" s="210"/>
      <c r="H1650" s="212"/>
      <c r="I1650" s="817"/>
    </row>
    <row r="1651">
      <c r="A1651" s="814"/>
      <c r="B1651" s="815"/>
      <c r="C1651" s="816"/>
      <c r="D1651" s="209"/>
      <c r="E1651" s="209"/>
      <c r="F1651" s="210"/>
      <c r="H1651" s="212"/>
      <c r="I1651" s="817"/>
    </row>
    <row r="1652">
      <c r="A1652" s="814"/>
      <c r="B1652" s="815"/>
      <c r="C1652" s="816"/>
      <c r="D1652" s="209"/>
      <c r="E1652" s="209"/>
      <c r="F1652" s="210"/>
      <c r="H1652" s="212"/>
      <c r="I1652" s="817"/>
    </row>
    <row r="1653">
      <c r="A1653" s="814"/>
      <c r="B1653" s="815"/>
      <c r="C1653" s="816"/>
      <c r="D1653" s="209"/>
      <c r="E1653" s="209"/>
      <c r="F1653" s="210"/>
      <c r="H1653" s="212"/>
      <c r="I1653" s="817"/>
    </row>
    <row r="1654">
      <c r="A1654" s="814"/>
      <c r="B1654" s="815"/>
      <c r="C1654" s="816"/>
      <c r="D1654" s="209"/>
      <c r="E1654" s="209"/>
      <c r="F1654" s="210"/>
      <c r="H1654" s="212"/>
      <c r="I1654" s="817"/>
    </row>
    <row r="1655">
      <c r="A1655" s="814"/>
      <c r="B1655" s="815"/>
      <c r="C1655" s="816"/>
      <c r="D1655" s="209"/>
      <c r="E1655" s="209"/>
      <c r="F1655" s="210"/>
      <c r="H1655" s="212"/>
      <c r="I1655" s="817"/>
    </row>
    <row r="1656">
      <c r="A1656" s="814"/>
      <c r="B1656" s="815"/>
      <c r="C1656" s="816"/>
      <c r="D1656" s="209"/>
      <c r="E1656" s="209"/>
      <c r="F1656" s="210"/>
      <c r="H1656" s="212"/>
      <c r="I1656" s="817"/>
    </row>
    <row r="1657">
      <c r="A1657" s="814"/>
      <c r="B1657" s="815"/>
      <c r="C1657" s="816"/>
      <c r="D1657" s="209"/>
      <c r="E1657" s="209"/>
      <c r="F1657" s="210"/>
      <c r="H1657" s="212"/>
      <c r="I1657" s="817"/>
    </row>
    <row r="1658">
      <c r="A1658" s="814"/>
      <c r="B1658" s="815"/>
      <c r="C1658" s="816"/>
      <c r="D1658" s="209"/>
      <c r="E1658" s="209"/>
      <c r="F1658" s="210"/>
      <c r="H1658" s="212"/>
      <c r="I1658" s="817"/>
    </row>
    <row r="1659">
      <c r="A1659" s="814"/>
      <c r="B1659" s="815"/>
      <c r="C1659" s="816"/>
      <c r="D1659" s="209"/>
      <c r="E1659" s="209"/>
      <c r="F1659" s="210"/>
      <c r="H1659" s="212"/>
      <c r="I1659" s="817"/>
    </row>
    <row r="1660">
      <c r="A1660" s="814"/>
      <c r="B1660" s="815"/>
      <c r="C1660" s="816"/>
      <c r="D1660" s="209"/>
      <c r="E1660" s="209"/>
      <c r="F1660" s="210"/>
      <c r="H1660" s="212"/>
      <c r="I1660" s="817"/>
    </row>
    <row r="1661">
      <c r="A1661" s="814"/>
      <c r="B1661" s="815"/>
      <c r="C1661" s="816"/>
      <c r="D1661" s="209"/>
      <c r="E1661" s="209"/>
      <c r="F1661" s="210"/>
      <c r="H1661" s="212"/>
      <c r="I1661" s="817"/>
    </row>
    <row r="1662">
      <c r="A1662" s="814"/>
      <c r="B1662" s="815"/>
      <c r="C1662" s="816"/>
      <c r="D1662" s="209"/>
      <c r="E1662" s="209"/>
      <c r="F1662" s="210"/>
      <c r="H1662" s="212"/>
      <c r="I1662" s="817"/>
    </row>
    <row r="1663">
      <c r="A1663" s="814"/>
      <c r="B1663" s="815"/>
      <c r="C1663" s="816"/>
      <c r="D1663" s="209"/>
      <c r="E1663" s="209"/>
      <c r="F1663" s="210"/>
      <c r="H1663" s="212"/>
      <c r="I1663" s="817"/>
    </row>
    <row r="1664">
      <c r="A1664" s="814"/>
      <c r="B1664" s="815"/>
      <c r="C1664" s="816"/>
      <c r="D1664" s="209"/>
      <c r="E1664" s="209"/>
      <c r="F1664" s="210"/>
      <c r="H1664" s="212"/>
      <c r="I1664" s="817"/>
    </row>
    <row r="1665">
      <c r="A1665" s="814"/>
      <c r="B1665" s="815"/>
      <c r="C1665" s="816"/>
      <c r="D1665" s="209"/>
      <c r="E1665" s="209"/>
      <c r="F1665" s="210"/>
      <c r="H1665" s="212"/>
      <c r="I1665" s="817"/>
    </row>
    <row r="1666">
      <c r="A1666" s="814"/>
      <c r="B1666" s="815"/>
      <c r="C1666" s="816"/>
      <c r="D1666" s="209"/>
      <c r="E1666" s="209"/>
      <c r="F1666" s="210"/>
      <c r="H1666" s="212"/>
      <c r="I1666" s="817"/>
    </row>
    <row r="1667">
      <c r="A1667" s="814"/>
      <c r="B1667" s="815"/>
      <c r="C1667" s="816"/>
      <c r="D1667" s="209"/>
      <c r="E1667" s="209"/>
      <c r="F1667" s="210"/>
      <c r="H1667" s="212"/>
      <c r="I1667" s="817"/>
    </row>
    <row r="1668">
      <c r="A1668" s="814"/>
      <c r="B1668" s="815"/>
      <c r="C1668" s="816"/>
      <c r="D1668" s="209"/>
      <c r="E1668" s="209"/>
      <c r="F1668" s="210"/>
      <c r="H1668" s="212"/>
      <c r="I1668" s="817"/>
    </row>
    <row r="1669">
      <c r="A1669" s="814"/>
      <c r="B1669" s="815"/>
      <c r="C1669" s="816"/>
      <c r="D1669" s="209"/>
      <c r="E1669" s="209"/>
      <c r="F1669" s="210"/>
      <c r="H1669" s="212"/>
      <c r="I1669" s="817"/>
    </row>
    <row r="1670">
      <c r="A1670" s="814"/>
      <c r="B1670" s="815"/>
      <c r="C1670" s="816"/>
      <c r="D1670" s="209"/>
      <c r="E1670" s="209"/>
      <c r="F1670" s="210"/>
      <c r="H1670" s="212"/>
      <c r="I1670" s="817"/>
    </row>
    <row r="1671">
      <c r="A1671" s="814"/>
      <c r="B1671" s="815"/>
      <c r="C1671" s="816"/>
      <c r="D1671" s="209"/>
      <c r="E1671" s="209"/>
      <c r="F1671" s="210"/>
      <c r="H1671" s="212"/>
      <c r="I1671" s="817"/>
    </row>
    <row r="1672">
      <c r="A1672" s="814"/>
      <c r="B1672" s="815"/>
      <c r="C1672" s="816"/>
      <c r="D1672" s="209"/>
      <c r="E1672" s="209"/>
      <c r="F1672" s="210"/>
      <c r="H1672" s="212"/>
      <c r="I1672" s="817"/>
    </row>
    <row r="1673">
      <c r="A1673" s="814"/>
      <c r="B1673" s="815"/>
      <c r="C1673" s="816"/>
      <c r="D1673" s="209"/>
      <c r="E1673" s="209"/>
      <c r="F1673" s="210"/>
      <c r="H1673" s="212"/>
      <c r="I1673" s="817"/>
    </row>
    <row r="1674">
      <c r="A1674" s="814"/>
      <c r="B1674" s="815"/>
      <c r="C1674" s="816"/>
      <c r="D1674" s="209"/>
      <c r="E1674" s="209"/>
      <c r="F1674" s="210"/>
      <c r="H1674" s="212"/>
      <c r="I1674" s="817"/>
    </row>
    <row r="1675">
      <c r="A1675" s="814"/>
      <c r="B1675" s="815"/>
      <c r="C1675" s="816"/>
      <c r="D1675" s="209"/>
      <c r="E1675" s="209"/>
      <c r="F1675" s="210"/>
      <c r="H1675" s="212"/>
      <c r="I1675" s="817"/>
    </row>
    <row r="1676">
      <c r="A1676" s="814"/>
      <c r="B1676" s="815"/>
      <c r="C1676" s="816"/>
      <c r="D1676" s="209"/>
      <c r="E1676" s="209"/>
      <c r="F1676" s="210"/>
      <c r="H1676" s="212"/>
      <c r="I1676" s="817"/>
    </row>
    <row r="1677">
      <c r="A1677" s="814"/>
      <c r="B1677" s="815"/>
      <c r="C1677" s="816"/>
      <c r="D1677" s="209"/>
      <c r="E1677" s="209"/>
      <c r="F1677" s="210"/>
      <c r="H1677" s="212"/>
      <c r="I1677" s="817"/>
    </row>
    <row r="1678">
      <c r="A1678" s="814"/>
      <c r="B1678" s="815"/>
      <c r="C1678" s="816"/>
      <c r="D1678" s="209"/>
      <c r="E1678" s="209"/>
      <c r="F1678" s="210"/>
      <c r="H1678" s="212"/>
      <c r="I1678" s="817"/>
    </row>
    <row r="1679">
      <c r="A1679" s="814"/>
      <c r="B1679" s="815"/>
      <c r="C1679" s="816"/>
      <c r="D1679" s="209"/>
      <c r="E1679" s="209"/>
      <c r="F1679" s="210"/>
      <c r="H1679" s="212"/>
      <c r="I1679" s="817"/>
    </row>
    <row r="1680">
      <c r="A1680" s="814"/>
      <c r="B1680" s="815"/>
      <c r="C1680" s="816"/>
      <c r="D1680" s="209"/>
      <c r="E1680" s="209"/>
      <c r="F1680" s="210"/>
      <c r="H1680" s="212"/>
      <c r="I1680" s="817"/>
    </row>
    <row r="1681">
      <c r="A1681" s="814"/>
      <c r="B1681" s="815"/>
      <c r="C1681" s="816"/>
      <c r="D1681" s="209"/>
      <c r="E1681" s="209"/>
      <c r="F1681" s="210"/>
      <c r="H1681" s="212"/>
      <c r="I1681" s="817"/>
    </row>
    <row r="1682">
      <c r="A1682" s="814"/>
      <c r="B1682" s="815"/>
      <c r="C1682" s="816"/>
      <c r="D1682" s="209"/>
      <c r="E1682" s="209"/>
      <c r="F1682" s="210"/>
      <c r="H1682" s="212"/>
      <c r="I1682" s="817"/>
    </row>
    <row r="1683">
      <c r="A1683" s="814"/>
      <c r="B1683" s="815"/>
      <c r="C1683" s="816"/>
      <c r="D1683" s="209"/>
      <c r="E1683" s="209"/>
      <c r="F1683" s="210"/>
      <c r="H1683" s="212"/>
      <c r="I1683" s="817"/>
    </row>
    <row r="1684">
      <c r="A1684" s="814"/>
      <c r="B1684" s="815"/>
      <c r="C1684" s="816"/>
      <c r="D1684" s="209"/>
      <c r="E1684" s="209"/>
      <c r="F1684" s="210"/>
      <c r="H1684" s="212"/>
      <c r="I1684" s="817"/>
    </row>
    <row r="1685">
      <c r="A1685" s="814"/>
      <c r="B1685" s="815"/>
      <c r="C1685" s="816"/>
      <c r="D1685" s="209"/>
      <c r="E1685" s="209"/>
      <c r="F1685" s="210"/>
      <c r="H1685" s="212"/>
      <c r="I1685" s="817"/>
    </row>
    <row r="1686">
      <c r="A1686" s="814"/>
      <c r="B1686" s="815"/>
      <c r="C1686" s="816"/>
      <c r="D1686" s="209"/>
      <c r="E1686" s="209"/>
      <c r="F1686" s="210"/>
      <c r="H1686" s="212"/>
      <c r="I1686" s="817"/>
    </row>
    <row r="1687">
      <c r="A1687" s="814"/>
      <c r="B1687" s="815"/>
      <c r="C1687" s="816"/>
      <c r="D1687" s="209"/>
      <c r="E1687" s="209"/>
      <c r="F1687" s="210"/>
      <c r="H1687" s="212"/>
      <c r="I1687" s="817"/>
    </row>
    <row r="1688">
      <c r="A1688" s="814"/>
      <c r="B1688" s="815"/>
      <c r="C1688" s="816"/>
      <c r="D1688" s="209"/>
      <c r="E1688" s="209"/>
      <c r="F1688" s="210"/>
      <c r="H1688" s="212"/>
      <c r="I1688" s="817"/>
    </row>
    <row r="1689">
      <c r="A1689" s="814"/>
      <c r="B1689" s="815"/>
      <c r="C1689" s="816"/>
      <c r="D1689" s="209"/>
      <c r="E1689" s="209"/>
      <c r="F1689" s="210"/>
      <c r="H1689" s="212"/>
      <c r="I1689" s="817"/>
    </row>
    <row r="1690">
      <c r="A1690" s="814"/>
      <c r="B1690" s="815"/>
      <c r="C1690" s="816"/>
      <c r="D1690" s="209"/>
      <c r="E1690" s="209"/>
      <c r="F1690" s="210"/>
      <c r="H1690" s="212"/>
      <c r="I1690" s="817"/>
    </row>
    <row r="1691">
      <c r="A1691" s="814"/>
      <c r="B1691" s="815"/>
      <c r="C1691" s="816"/>
      <c r="D1691" s="209"/>
      <c r="E1691" s="209"/>
      <c r="F1691" s="210"/>
      <c r="H1691" s="212"/>
      <c r="I1691" s="817"/>
    </row>
    <row r="1692">
      <c r="A1692" s="814"/>
      <c r="B1692" s="815"/>
      <c r="C1692" s="816"/>
      <c r="D1692" s="209"/>
      <c r="E1692" s="209"/>
      <c r="F1692" s="210"/>
      <c r="H1692" s="212"/>
      <c r="I1692" s="817"/>
    </row>
    <row r="1693">
      <c r="A1693" s="814"/>
      <c r="B1693" s="815"/>
      <c r="C1693" s="816"/>
      <c r="D1693" s="209"/>
      <c r="E1693" s="209"/>
      <c r="F1693" s="210"/>
      <c r="H1693" s="212"/>
      <c r="I1693" s="817"/>
    </row>
    <row r="1694">
      <c r="A1694" s="814"/>
      <c r="B1694" s="815"/>
      <c r="C1694" s="816"/>
      <c r="D1694" s="209"/>
      <c r="E1694" s="209"/>
      <c r="F1694" s="210"/>
      <c r="H1694" s="212"/>
      <c r="I1694" s="817"/>
    </row>
    <row r="1695">
      <c r="A1695" s="814"/>
      <c r="B1695" s="815"/>
      <c r="C1695" s="816"/>
      <c r="D1695" s="209"/>
      <c r="E1695" s="209"/>
      <c r="F1695" s="210"/>
      <c r="H1695" s="212"/>
      <c r="I1695" s="817"/>
    </row>
    <row r="1696">
      <c r="A1696" s="814"/>
      <c r="B1696" s="815"/>
      <c r="C1696" s="816"/>
      <c r="D1696" s="209"/>
      <c r="E1696" s="209"/>
      <c r="F1696" s="210"/>
      <c r="H1696" s="212"/>
      <c r="I1696" s="817"/>
    </row>
    <row r="1697">
      <c r="A1697" s="814"/>
      <c r="B1697" s="815"/>
      <c r="C1697" s="816"/>
      <c r="D1697" s="209"/>
      <c r="E1697" s="209"/>
      <c r="F1697" s="210"/>
      <c r="H1697" s="212"/>
      <c r="I1697" s="817"/>
    </row>
    <row r="1698">
      <c r="A1698" s="814"/>
      <c r="B1698" s="815"/>
      <c r="C1698" s="816"/>
      <c r="D1698" s="209"/>
      <c r="E1698" s="209"/>
      <c r="F1698" s="210"/>
      <c r="H1698" s="212"/>
      <c r="I1698" s="817"/>
    </row>
    <row r="1699">
      <c r="A1699" s="814"/>
      <c r="B1699" s="815"/>
      <c r="C1699" s="816"/>
      <c r="D1699" s="209"/>
      <c r="E1699" s="209"/>
      <c r="F1699" s="210"/>
      <c r="H1699" s="212"/>
      <c r="I1699" s="817"/>
    </row>
    <row r="1700">
      <c r="A1700" s="814"/>
      <c r="B1700" s="815"/>
      <c r="C1700" s="816"/>
      <c r="D1700" s="209"/>
      <c r="E1700" s="209"/>
      <c r="F1700" s="210"/>
      <c r="H1700" s="212"/>
      <c r="I1700" s="817"/>
    </row>
    <row r="1701">
      <c r="A1701" s="814"/>
      <c r="B1701" s="815"/>
      <c r="C1701" s="816"/>
      <c r="D1701" s="209"/>
      <c r="E1701" s="209"/>
      <c r="F1701" s="210"/>
      <c r="H1701" s="212"/>
      <c r="I1701" s="817"/>
    </row>
    <row r="1702">
      <c r="A1702" s="814"/>
      <c r="B1702" s="815"/>
      <c r="C1702" s="816"/>
      <c r="D1702" s="209"/>
      <c r="E1702" s="209"/>
      <c r="F1702" s="210"/>
      <c r="H1702" s="212"/>
      <c r="I1702" s="817"/>
    </row>
    <row r="1703">
      <c r="A1703" s="814"/>
      <c r="B1703" s="815"/>
      <c r="C1703" s="816"/>
      <c r="D1703" s="209"/>
      <c r="E1703" s="209"/>
      <c r="F1703" s="210"/>
      <c r="H1703" s="212"/>
      <c r="I1703" s="817"/>
    </row>
    <row r="1704">
      <c r="A1704" s="814"/>
      <c r="B1704" s="815"/>
      <c r="C1704" s="816"/>
      <c r="D1704" s="209"/>
      <c r="E1704" s="209"/>
      <c r="F1704" s="210"/>
      <c r="H1704" s="212"/>
      <c r="I1704" s="817"/>
    </row>
    <row r="1705">
      <c r="A1705" s="814"/>
      <c r="B1705" s="815"/>
      <c r="C1705" s="816"/>
      <c r="D1705" s="209"/>
      <c r="E1705" s="209"/>
      <c r="F1705" s="210"/>
      <c r="H1705" s="212"/>
      <c r="I1705" s="817"/>
    </row>
    <row r="1706">
      <c r="A1706" s="814"/>
      <c r="B1706" s="815"/>
      <c r="C1706" s="816"/>
      <c r="D1706" s="209"/>
      <c r="E1706" s="209"/>
      <c r="F1706" s="210"/>
      <c r="H1706" s="212"/>
      <c r="I1706" s="817"/>
    </row>
    <row r="1707">
      <c r="A1707" s="814"/>
      <c r="B1707" s="815"/>
      <c r="C1707" s="816"/>
      <c r="D1707" s="209"/>
      <c r="E1707" s="209"/>
      <c r="F1707" s="210"/>
      <c r="H1707" s="212"/>
      <c r="I1707" s="817"/>
    </row>
    <row r="1708">
      <c r="A1708" s="814"/>
      <c r="B1708" s="815"/>
      <c r="C1708" s="816"/>
      <c r="D1708" s="209"/>
      <c r="E1708" s="209"/>
      <c r="F1708" s="210"/>
      <c r="H1708" s="212"/>
      <c r="I1708" s="817"/>
    </row>
    <row r="1709">
      <c r="A1709" s="814"/>
      <c r="B1709" s="815"/>
      <c r="C1709" s="816"/>
      <c r="D1709" s="209"/>
      <c r="E1709" s="209"/>
      <c r="F1709" s="210"/>
      <c r="H1709" s="212"/>
      <c r="I1709" s="817"/>
    </row>
    <row r="1710">
      <c r="A1710" s="814"/>
      <c r="B1710" s="815"/>
      <c r="C1710" s="816"/>
      <c r="D1710" s="209"/>
      <c r="E1710" s="209"/>
      <c r="F1710" s="210"/>
      <c r="H1710" s="212"/>
      <c r="I1710" s="817"/>
    </row>
    <row r="1711">
      <c r="A1711" s="814"/>
      <c r="B1711" s="815"/>
      <c r="C1711" s="816"/>
      <c r="D1711" s="209"/>
      <c r="E1711" s="209"/>
      <c r="F1711" s="210"/>
      <c r="H1711" s="212"/>
      <c r="I1711" s="817"/>
    </row>
    <row r="1712">
      <c r="A1712" s="814"/>
      <c r="B1712" s="815"/>
      <c r="C1712" s="816"/>
      <c r="D1712" s="209"/>
      <c r="E1712" s="209"/>
      <c r="F1712" s="210"/>
      <c r="H1712" s="212"/>
      <c r="I1712" s="817"/>
    </row>
    <row r="1713">
      <c r="A1713" s="814"/>
      <c r="B1713" s="815"/>
      <c r="C1713" s="816"/>
      <c r="D1713" s="209"/>
      <c r="E1713" s="209"/>
      <c r="F1713" s="210"/>
      <c r="H1713" s="212"/>
      <c r="I1713" s="817"/>
    </row>
    <row r="1714">
      <c r="A1714" s="814"/>
      <c r="B1714" s="815"/>
      <c r="C1714" s="816"/>
      <c r="D1714" s="209"/>
      <c r="E1714" s="209"/>
      <c r="F1714" s="210"/>
      <c r="H1714" s="212"/>
      <c r="I1714" s="817"/>
    </row>
    <row r="1715">
      <c r="A1715" s="814"/>
      <c r="B1715" s="815"/>
      <c r="C1715" s="816"/>
      <c r="D1715" s="209"/>
      <c r="E1715" s="209"/>
      <c r="F1715" s="210"/>
      <c r="H1715" s="212"/>
      <c r="I1715" s="817"/>
    </row>
    <row r="1716">
      <c r="A1716" s="814"/>
      <c r="B1716" s="815"/>
      <c r="C1716" s="816"/>
      <c r="D1716" s="209"/>
      <c r="E1716" s="209"/>
      <c r="F1716" s="210"/>
      <c r="H1716" s="212"/>
      <c r="I1716" s="817"/>
    </row>
    <row r="1717">
      <c r="A1717" s="814"/>
      <c r="B1717" s="815"/>
      <c r="C1717" s="816"/>
      <c r="D1717" s="209"/>
      <c r="E1717" s="209"/>
      <c r="F1717" s="210"/>
      <c r="H1717" s="212"/>
      <c r="I1717" s="817"/>
    </row>
    <row r="1718">
      <c r="A1718" s="814"/>
      <c r="B1718" s="815"/>
      <c r="C1718" s="816"/>
      <c r="D1718" s="209"/>
      <c r="E1718" s="209"/>
      <c r="F1718" s="210"/>
      <c r="H1718" s="212"/>
      <c r="I1718" s="817"/>
    </row>
    <row r="1719">
      <c r="A1719" s="814"/>
      <c r="B1719" s="815"/>
      <c r="C1719" s="816"/>
      <c r="D1719" s="209"/>
      <c r="E1719" s="209"/>
      <c r="F1719" s="210"/>
      <c r="H1719" s="212"/>
      <c r="I1719" s="817"/>
    </row>
    <row r="1720">
      <c r="A1720" s="814"/>
      <c r="B1720" s="815"/>
      <c r="C1720" s="816"/>
      <c r="D1720" s="209"/>
      <c r="E1720" s="209"/>
      <c r="F1720" s="210"/>
      <c r="H1720" s="212"/>
      <c r="I1720" s="817"/>
    </row>
    <row r="1721">
      <c r="A1721" s="814"/>
      <c r="B1721" s="815"/>
      <c r="C1721" s="816"/>
      <c r="D1721" s="209"/>
      <c r="E1721" s="209"/>
      <c r="F1721" s="210"/>
      <c r="H1721" s="212"/>
      <c r="I1721" s="817"/>
    </row>
    <row r="1722">
      <c r="A1722" s="814"/>
      <c r="B1722" s="815"/>
      <c r="C1722" s="816"/>
      <c r="D1722" s="209"/>
      <c r="E1722" s="209"/>
      <c r="F1722" s="210"/>
      <c r="H1722" s="212"/>
      <c r="I1722" s="817"/>
    </row>
    <row r="1723">
      <c r="A1723" s="814"/>
      <c r="B1723" s="815"/>
      <c r="C1723" s="816"/>
      <c r="D1723" s="209"/>
      <c r="E1723" s="209"/>
      <c r="F1723" s="210"/>
      <c r="H1723" s="212"/>
      <c r="I1723" s="817"/>
    </row>
    <row r="1724">
      <c r="A1724" s="814"/>
      <c r="B1724" s="815"/>
      <c r="C1724" s="816"/>
      <c r="D1724" s="209"/>
      <c r="E1724" s="209"/>
      <c r="F1724" s="210"/>
      <c r="H1724" s="212"/>
      <c r="I1724" s="817"/>
    </row>
    <row r="1725">
      <c r="A1725" s="814"/>
      <c r="B1725" s="815"/>
      <c r="C1725" s="816"/>
      <c r="D1725" s="209"/>
      <c r="E1725" s="209"/>
      <c r="F1725" s="210"/>
      <c r="H1725" s="212"/>
      <c r="I1725" s="817"/>
    </row>
    <row r="1726">
      <c r="A1726" s="814"/>
      <c r="B1726" s="815"/>
      <c r="C1726" s="816"/>
      <c r="D1726" s="209"/>
      <c r="E1726" s="209"/>
      <c r="F1726" s="210"/>
      <c r="H1726" s="212"/>
      <c r="I1726" s="817"/>
    </row>
    <row r="1727">
      <c r="A1727" s="814"/>
      <c r="B1727" s="815"/>
      <c r="C1727" s="816"/>
      <c r="D1727" s="209"/>
      <c r="E1727" s="209"/>
      <c r="F1727" s="210"/>
      <c r="H1727" s="212"/>
      <c r="I1727" s="817"/>
    </row>
    <row r="1728">
      <c r="A1728" s="814"/>
      <c r="B1728" s="815"/>
      <c r="C1728" s="816"/>
      <c r="D1728" s="209"/>
      <c r="E1728" s="209"/>
      <c r="F1728" s="210"/>
      <c r="H1728" s="212"/>
      <c r="I1728" s="817"/>
    </row>
    <row r="1729">
      <c r="A1729" s="814"/>
      <c r="B1729" s="815"/>
      <c r="C1729" s="816"/>
      <c r="D1729" s="209"/>
      <c r="E1729" s="209"/>
      <c r="F1729" s="210"/>
      <c r="H1729" s="212"/>
      <c r="I1729" s="817"/>
    </row>
    <row r="1730">
      <c r="A1730" s="814"/>
      <c r="B1730" s="815"/>
      <c r="C1730" s="816"/>
      <c r="D1730" s="209"/>
      <c r="E1730" s="209"/>
      <c r="F1730" s="210"/>
      <c r="H1730" s="212"/>
      <c r="I1730" s="817"/>
    </row>
    <row r="1731">
      <c r="A1731" s="814"/>
      <c r="B1731" s="815"/>
      <c r="C1731" s="816"/>
      <c r="D1731" s="209"/>
      <c r="E1731" s="209"/>
      <c r="F1731" s="210"/>
      <c r="H1731" s="212"/>
      <c r="I1731" s="817"/>
    </row>
    <row r="1732">
      <c r="A1732" s="814"/>
      <c r="B1732" s="815"/>
      <c r="C1732" s="816"/>
      <c r="D1732" s="209"/>
      <c r="E1732" s="209"/>
      <c r="F1732" s="210"/>
      <c r="H1732" s="212"/>
      <c r="I1732" s="817"/>
    </row>
    <row r="1733">
      <c r="A1733" s="814"/>
      <c r="B1733" s="815"/>
      <c r="C1733" s="816"/>
      <c r="D1733" s="209"/>
      <c r="E1733" s="209"/>
      <c r="F1733" s="210"/>
      <c r="H1733" s="212"/>
      <c r="I1733" s="817"/>
    </row>
    <row r="1734">
      <c r="A1734" s="814"/>
      <c r="B1734" s="815"/>
      <c r="C1734" s="816"/>
      <c r="D1734" s="209"/>
      <c r="E1734" s="209"/>
      <c r="F1734" s="210"/>
      <c r="H1734" s="212"/>
      <c r="I1734" s="817"/>
    </row>
    <row r="1735">
      <c r="A1735" s="814"/>
      <c r="B1735" s="815"/>
      <c r="C1735" s="816"/>
      <c r="D1735" s="209"/>
      <c r="E1735" s="209"/>
      <c r="F1735" s="210"/>
      <c r="H1735" s="212"/>
      <c r="I1735" s="817"/>
    </row>
    <row r="1736">
      <c r="A1736" s="814"/>
      <c r="B1736" s="815"/>
      <c r="C1736" s="816"/>
      <c r="D1736" s="209"/>
      <c r="E1736" s="209"/>
      <c r="F1736" s="210"/>
      <c r="H1736" s="212"/>
      <c r="I1736" s="817"/>
    </row>
    <row r="1737">
      <c r="A1737" s="814"/>
      <c r="B1737" s="815"/>
      <c r="C1737" s="816"/>
      <c r="D1737" s="209"/>
      <c r="E1737" s="209"/>
      <c r="F1737" s="210"/>
      <c r="H1737" s="212"/>
      <c r="I1737" s="817"/>
    </row>
    <row r="1738">
      <c r="A1738" s="814"/>
      <c r="B1738" s="815"/>
      <c r="C1738" s="816"/>
      <c r="D1738" s="209"/>
      <c r="E1738" s="209"/>
      <c r="F1738" s="210"/>
      <c r="H1738" s="212"/>
      <c r="I1738" s="817"/>
    </row>
    <row r="1739">
      <c r="A1739" s="814"/>
      <c r="B1739" s="815"/>
      <c r="C1739" s="816"/>
      <c r="D1739" s="209"/>
      <c r="E1739" s="209"/>
      <c r="F1739" s="210"/>
      <c r="H1739" s="212"/>
      <c r="I1739" s="817"/>
    </row>
    <row r="1740">
      <c r="A1740" s="814"/>
      <c r="B1740" s="815"/>
      <c r="C1740" s="816"/>
      <c r="D1740" s="209"/>
      <c r="E1740" s="209"/>
      <c r="F1740" s="210"/>
      <c r="H1740" s="212"/>
      <c r="I1740" s="817"/>
    </row>
    <row r="1741">
      <c r="A1741" s="814"/>
      <c r="B1741" s="815"/>
      <c r="C1741" s="816"/>
      <c r="D1741" s="209"/>
      <c r="E1741" s="209"/>
      <c r="F1741" s="210"/>
      <c r="H1741" s="212"/>
      <c r="I1741" s="817"/>
    </row>
    <row r="1742">
      <c r="A1742" s="814"/>
      <c r="B1742" s="815"/>
      <c r="C1742" s="816"/>
      <c r="D1742" s="209"/>
      <c r="E1742" s="209"/>
      <c r="F1742" s="210"/>
      <c r="H1742" s="212"/>
      <c r="I1742" s="817"/>
    </row>
    <row r="1743">
      <c r="A1743" s="814"/>
      <c r="B1743" s="815"/>
      <c r="C1743" s="816"/>
      <c r="D1743" s="209"/>
      <c r="E1743" s="209"/>
      <c r="F1743" s="210"/>
      <c r="H1743" s="212"/>
      <c r="I1743" s="817"/>
    </row>
    <row r="1744">
      <c r="A1744" s="814"/>
      <c r="B1744" s="815"/>
      <c r="C1744" s="816"/>
      <c r="D1744" s="209"/>
      <c r="E1744" s="209"/>
      <c r="F1744" s="210"/>
      <c r="H1744" s="212"/>
      <c r="I1744" s="817"/>
    </row>
    <row r="1745">
      <c r="A1745" s="814"/>
      <c r="B1745" s="815"/>
      <c r="C1745" s="816"/>
      <c r="D1745" s="209"/>
      <c r="E1745" s="209"/>
      <c r="F1745" s="210"/>
      <c r="H1745" s="212"/>
      <c r="I1745" s="817"/>
    </row>
    <row r="1746">
      <c r="A1746" s="814"/>
      <c r="B1746" s="815"/>
      <c r="C1746" s="816"/>
      <c r="D1746" s="209"/>
      <c r="E1746" s="209"/>
      <c r="F1746" s="210"/>
      <c r="H1746" s="212"/>
      <c r="I1746" s="817"/>
    </row>
    <row r="1747">
      <c r="A1747" s="814"/>
      <c r="B1747" s="815"/>
      <c r="C1747" s="816"/>
      <c r="D1747" s="209"/>
      <c r="E1747" s="209"/>
      <c r="F1747" s="210"/>
      <c r="H1747" s="212"/>
      <c r="I1747" s="817"/>
    </row>
    <row r="1748">
      <c r="A1748" s="814"/>
      <c r="B1748" s="815"/>
      <c r="C1748" s="816"/>
      <c r="D1748" s="209"/>
      <c r="E1748" s="209"/>
      <c r="F1748" s="210"/>
      <c r="H1748" s="212"/>
      <c r="I1748" s="817"/>
    </row>
    <row r="1749">
      <c r="A1749" s="814"/>
      <c r="B1749" s="815"/>
      <c r="C1749" s="816"/>
      <c r="D1749" s="209"/>
      <c r="E1749" s="209"/>
      <c r="F1749" s="210"/>
      <c r="H1749" s="212"/>
      <c r="I1749" s="817"/>
    </row>
    <row r="1750">
      <c r="A1750" s="814"/>
      <c r="B1750" s="815"/>
      <c r="C1750" s="816"/>
      <c r="D1750" s="209"/>
      <c r="E1750" s="209"/>
      <c r="F1750" s="210"/>
      <c r="H1750" s="212"/>
      <c r="I1750" s="817"/>
    </row>
    <row r="1751">
      <c r="A1751" s="814"/>
      <c r="B1751" s="815"/>
      <c r="C1751" s="816"/>
      <c r="D1751" s="209"/>
      <c r="E1751" s="209"/>
      <c r="F1751" s="210"/>
      <c r="H1751" s="212"/>
      <c r="I1751" s="817"/>
    </row>
    <row r="1752">
      <c r="A1752" s="814"/>
      <c r="B1752" s="815"/>
      <c r="C1752" s="816"/>
      <c r="D1752" s="209"/>
      <c r="E1752" s="209"/>
      <c r="F1752" s="210"/>
      <c r="H1752" s="212"/>
      <c r="I1752" s="817"/>
    </row>
    <row r="1753">
      <c r="A1753" s="814"/>
      <c r="B1753" s="815"/>
      <c r="C1753" s="816"/>
      <c r="D1753" s="209"/>
      <c r="E1753" s="209"/>
      <c r="F1753" s="210"/>
      <c r="H1753" s="212"/>
      <c r="I1753" s="817"/>
    </row>
    <row r="1754">
      <c r="A1754" s="814"/>
      <c r="B1754" s="815"/>
      <c r="C1754" s="816"/>
      <c r="D1754" s="209"/>
      <c r="E1754" s="209"/>
      <c r="F1754" s="210"/>
      <c r="H1754" s="212"/>
      <c r="I1754" s="817"/>
    </row>
    <row r="1755">
      <c r="A1755" s="814"/>
      <c r="B1755" s="815"/>
      <c r="C1755" s="816"/>
      <c r="D1755" s="209"/>
      <c r="E1755" s="209"/>
      <c r="F1755" s="210"/>
      <c r="H1755" s="212"/>
      <c r="I1755" s="817"/>
    </row>
    <row r="1756">
      <c r="A1756" s="814"/>
      <c r="B1756" s="815"/>
      <c r="C1756" s="816"/>
      <c r="D1756" s="209"/>
      <c r="E1756" s="209"/>
      <c r="F1756" s="210"/>
      <c r="H1756" s="212"/>
      <c r="I1756" s="817"/>
    </row>
    <row r="1757">
      <c r="A1757" s="814"/>
      <c r="B1757" s="815"/>
      <c r="C1757" s="816"/>
      <c r="D1757" s="209"/>
      <c r="E1757" s="209"/>
      <c r="F1757" s="210"/>
      <c r="H1757" s="212"/>
      <c r="I1757" s="817"/>
    </row>
    <row r="1758">
      <c r="A1758" s="814"/>
      <c r="B1758" s="815"/>
      <c r="C1758" s="816"/>
      <c r="D1758" s="209"/>
      <c r="E1758" s="209"/>
      <c r="F1758" s="210"/>
      <c r="H1758" s="212"/>
      <c r="I1758" s="817"/>
    </row>
    <row r="1759">
      <c r="A1759" s="814"/>
      <c r="B1759" s="815"/>
      <c r="C1759" s="816"/>
      <c r="D1759" s="209"/>
      <c r="E1759" s="209"/>
      <c r="F1759" s="210"/>
      <c r="H1759" s="212"/>
      <c r="I1759" s="817"/>
    </row>
    <row r="1760">
      <c r="A1760" s="814"/>
      <c r="B1760" s="815"/>
      <c r="C1760" s="816"/>
      <c r="D1760" s="209"/>
      <c r="E1760" s="209"/>
      <c r="F1760" s="210"/>
      <c r="H1760" s="212"/>
      <c r="I1760" s="817"/>
    </row>
    <row r="1761">
      <c r="A1761" s="814"/>
      <c r="B1761" s="815"/>
      <c r="C1761" s="816"/>
      <c r="D1761" s="209"/>
      <c r="E1761" s="209"/>
      <c r="F1761" s="210"/>
      <c r="H1761" s="212"/>
      <c r="I1761" s="817"/>
    </row>
    <row r="1762">
      <c r="A1762" s="814"/>
      <c r="B1762" s="815"/>
      <c r="C1762" s="816"/>
      <c r="D1762" s="209"/>
      <c r="E1762" s="209"/>
      <c r="F1762" s="210"/>
      <c r="H1762" s="212"/>
      <c r="I1762" s="817"/>
    </row>
    <row r="1763">
      <c r="A1763" s="814"/>
      <c r="B1763" s="815"/>
      <c r="C1763" s="816"/>
      <c r="D1763" s="209"/>
      <c r="E1763" s="209"/>
      <c r="F1763" s="210"/>
      <c r="H1763" s="212"/>
      <c r="I1763" s="817"/>
    </row>
    <row r="1764">
      <c r="A1764" s="814"/>
      <c r="B1764" s="815"/>
      <c r="C1764" s="816"/>
      <c r="D1764" s="209"/>
      <c r="E1764" s="209"/>
      <c r="F1764" s="210"/>
      <c r="H1764" s="212"/>
      <c r="I1764" s="817"/>
    </row>
    <row r="1765">
      <c r="A1765" s="814"/>
      <c r="B1765" s="815"/>
      <c r="C1765" s="816"/>
      <c r="D1765" s="209"/>
      <c r="E1765" s="209"/>
      <c r="F1765" s="210"/>
      <c r="H1765" s="212"/>
      <c r="I1765" s="817"/>
    </row>
    <row r="1766">
      <c r="A1766" s="814"/>
      <c r="B1766" s="815"/>
      <c r="C1766" s="816"/>
      <c r="D1766" s="209"/>
      <c r="E1766" s="209"/>
      <c r="F1766" s="210"/>
      <c r="H1766" s="212"/>
      <c r="I1766" s="817"/>
    </row>
    <row r="1767">
      <c r="A1767" s="814"/>
      <c r="B1767" s="815"/>
      <c r="C1767" s="816"/>
      <c r="D1767" s="209"/>
      <c r="E1767" s="209"/>
      <c r="F1767" s="210"/>
      <c r="H1767" s="212"/>
      <c r="I1767" s="817"/>
    </row>
    <row r="1768">
      <c r="A1768" s="814"/>
      <c r="B1768" s="815"/>
      <c r="C1768" s="816"/>
      <c r="D1768" s="209"/>
      <c r="E1768" s="209"/>
      <c r="F1768" s="210"/>
      <c r="H1768" s="212"/>
      <c r="I1768" s="817"/>
    </row>
    <row r="1769">
      <c r="A1769" s="814"/>
      <c r="B1769" s="815"/>
      <c r="C1769" s="816"/>
      <c r="D1769" s="209"/>
      <c r="E1769" s="209"/>
      <c r="F1769" s="210"/>
      <c r="H1769" s="212"/>
      <c r="I1769" s="817"/>
    </row>
    <row r="1770">
      <c r="A1770" s="814"/>
      <c r="B1770" s="815"/>
      <c r="C1770" s="816"/>
      <c r="D1770" s="209"/>
      <c r="E1770" s="209"/>
      <c r="F1770" s="210"/>
      <c r="H1770" s="212"/>
      <c r="I1770" s="817"/>
    </row>
    <row r="1771">
      <c r="A1771" s="814"/>
      <c r="B1771" s="815"/>
      <c r="C1771" s="816"/>
      <c r="D1771" s="209"/>
      <c r="E1771" s="209"/>
      <c r="F1771" s="210"/>
      <c r="H1771" s="212"/>
      <c r="I1771" s="817"/>
    </row>
    <row r="1772">
      <c r="A1772" s="814"/>
      <c r="B1772" s="815"/>
      <c r="C1772" s="816"/>
      <c r="D1772" s="209"/>
      <c r="E1772" s="209"/>
      <c r="F1772" s="210"/>
      <c r="H1772" s="212"/>
      <c r="I1772" s="817"/>
    </row>
    <row r="1773">
      <c r="A1773" s="814"/>
      <c r="B1773" s="815"/>
      <c r="C1773" s="816"/>
      <c r="D1773" s="209"/>
      <c r="E1773" s="209"/>
      <c r="F1773" s="210"/>
      <c r="H1773" s="212"/>
      <c r="I1773" s="817"/>
    </row>
    <row r="1774">
      <c r="A1774" s="814"/>
      <c r="B1774" s="815"/>
      <c r="C1774" s="816"/>
      <c r="D1774" s="209"/>
      <c r="E1774" s="209"/>
      <c r="F1774" s="210"/>
      <c r="H1774" s="212"/>
      <c r="I1774" s="817"/>
    </row>
    <row r="1775">
      <c r="A1775" s="814"/>
      <c r="B1775" s="815"/>
      <c r="C1775" s="816"/>
      <c r="D1775" s="209"/>
      <c r="E1775" s="209"/>
      <c r="F1775" s="210"/>
      <c r="H1775" s="212"/>
      <c r="I1775" s="817"/>
    </row>
    <row r="1776">
      <c r="A1776" s="814"/>
      <c r="B1776" s="815"/>
      <c r="C1776" s="816"/>
      <c r="D1776" s="209"/>
      <c r="E1776" s="209"/>
      <c r="F1776" s="210"/>
      <c r="H1776" s="212"/>
      <c r="I1776" s="817"/>
    </row>
    <row r="1777">
      <c r="A1777" s="814"/>
      <c r="B1777" s="815"/>
      <c r="C1777" s="816"/>
      <c r="D1777" s="209"/>
      <c r="E1777" s="209"/>
      <c r="F1777" s="210"/>
      <c r="H1777" s="212"/>
      <c r="I1777" s="817"/>
    </row>
    <row r="1778">
      <c r="A1778" s="814"/>
      <c r="B1778" s="815"/>
      <c r="C1778" s="816"/>
      <c r="D1778" s="209"/>
      <c r="E1778" s="209"/>
      <c r="F1778" s="210"/>
      <c r="H1778" s="212"/>
      <c r="I1778" s="817"/>
    </row>
    <row r="1779">
      <c r="A1779" s="814"/>
      <c r="B1779" s="815"/>
      <c r="C1779" s="816"/>
      <c r="D1779" s="209"/>
      <c r="E1779" s="209"/>
      <c r="F1779" s="210"/>
      <c r="H1779" s="212"/>
      <c r="I1779" s="817"/>
    </row>
    <row r="1780">
      <c r="A1780" s="814"/>
      <c r="B1780" s="815"/>
      <c r="C1780" s="816"/>
      <c r="D1780" s="209"/>
      <c r="E1780" s="209"/>
      <c r="F1780" s="210"/>
      <c r="H1780" s="212"/>
      <c r="I1780" s="817"/>
    </row>
    <row r="1781">
      <c r="A1781" s="814"/>
      <c r="B1781" s="815"/>
      <c r="C1781" s="816"/>
      <c r="D1781" s="209"/>
      <c r="E1781" s="209"/>
      <c r="F1781" s="210"/>
      <c r="H1781" s="212"/>
      <c r="I1781" s="817"/>
    </row>
    <row r="1782">
      <c r="A1782" s="814"/>
      <c r="B1782" s="815"/>
      <c r="C1782" s="816"/>
      <c r="D1782" s="209"/>
      <c r="E1782" s="209"/>
      <c r="F1782" s="210"/>
      <c r="H1782" s="212"/>
      <c r="I1782" s="817"/>
    </row>
    <row r="1783">
      <c r="A1783" s="814"/>
      <c r="B1783" s="815"/>
      <c r="C1783" s="816"/>
      <c r="D1783" s="209"/>
      <c r="E1783" s="209"/>
      <c r="F1783" s="210"/>
      <c r="H1783" s="212"/>
      <c r="I1783" s="817"/>
    </row>
    <row r="1784">
      <c r="A1784" s="814"/>
      <c r="B1784" s="815"/>
      <c r="C1784" s="816"/>
      <c r="D1784" s="209"/>
      <c r="E1784" s="209"/>
      <c r="F1784" s="210"/>
      <c r="H1784" s="212"/>
      <c r="I1784" s="817"/>
    </row>
    <row r="1785">
      <c r="A1785" s="814"/>
      <c r="B1785" s="815"/>
      <c r="C1785" s="816"/>
      <c r="D1785" s="209"/>
      <c r="E1785" s="209"/>
      <c r="F1785" s="210"/>
      <c r="H1785" s="212"/>
      <c r="I1785" s="817"/>
    </row>
    <row r="1786">
      <c r="A1786" s="814"/>
      <c r="B1786" s="815"/>
      <c r="C1786" s="816"/>
      <c r="D1786" s="209"/>
      <c r="E1786" s="209"/>
      <c r="F1786" s="210"/>
      <c r="H1786" s="212"/>
      <c r="I1786" s="817"/>
    </row>
    <row r="1787">
      <c r="A1787" s="814"/>
      <c r="B1787" s="815"/>
      <c r="C1787" s="816"/>
      <c r="D1787" s="209"/>
      <c r="E1787" s="209"/>
      <c r="F1787" s="210"/>
      <c r="H1787" s="212"/>
      <c r="I1787" s="817"/>
    </row>
    <row r="1788">
      <c r="A1788" s="814"/>
      <c r="B1788" s="815"/>
      <c r="C1788" s="816"/>
      <c r="D1788" s="209"/>
      <c r="E1788" s="209"/>
      <c r="F1788" s="210"/>
      <c r="H1788" s="212"/>
      <c r="I1788" s="817"/>
    </row>
    <row r="1789">
      <c r="A1789" s="814"/>
      <c r="B1789" s="815"/>
      <c r="C1789" s="816"/>
      <c r="D1789" s="209"/>
      <c r="E1789" s="209"/>
      <c r="F1789" s="210"/>
      <c r="H1789" s="212"/>
      <c r="I1789" s="817"/>
    </row>
    <row r="1790">
      <c r="A1790" s="814"/>
      <c r="B1790" s="815"/>
      <c r="C1790" s="816"/>
      <c r="D1790" s="209"/>
      <c r="E1790" s="209"/>
      <c r="F1790" s="210"/>
      <c r="H1790" s="212"/>
      <c r="I1790" s="817"/>
    </row>
    <row r="1791">
      <c r="A1791" s="814"/>
      <c r="B1791" s="815"/>
      <c r="C1791" s="816"/>
      <c r="D1791" s="209"/>
      <c r="E1791" s="209"/>
      <c r="F1791" s="210"/>
      <c r="H1791" s="212"/>
      <c r="I1791" s="817"/>
    </row>
    <row r="1792">
      <c r="A1792" s="814"/>
      <c r="B1792" s="815"/>
      <c r="C1792" s="816"/>
      <c r="D1792" s="209"/>
      <c r="E1792" s="209"/>
      <c r="F1792" s="210"/>
      <c r="H1792" s="212"/>
      <c r="I1792" s="817"/>
    </row>
    <row r="1793">
      <c r="A1793" s="814"/>
      <c r="B1793" s="815"/>
      <c r="C1793" s="816"/>
      <c r="D1793" s="209"/>
      <c r="E1793" s="209"/>
      <c r="F1793" s="210"/>
      <c r="H1793" s="212"/>
      <c r="I1793" s="817"/>
    </row>
    <row r="1794">
      <c r="A1794" s="814"/>
      <c r="B1794" s="815"/>
      <c r="C1794" s="816"/>
      <c r="D1794" s="209"/>
      <c r="E1794" s="209"/>
      <c r="F1794" s="210"/>
      <c r="H1794" s="212"/>
      <c r="I1794" s="817"/>
    </row>
    <row r="1795">
      <c r="A1795" s="814"/>
      <c r="B1795" s="815"/>
      <c r="C1795" s="816"/>
      <c r="D1795" s="209"/>
      <c r="E1795" s="209"/>
      <c r="F1795" s="210"/>
      <c r="H1795" s="212"/>
      <c r="I1795" s="817"/>
    </row>
    <row r="1796">
      <c r="A1796" s="814"/>
      <c r="B1796" s="815"/>
      <c r="C1796" s="816"/>
      <c r="D1796" s="209"/>
      <c r="E1796" s="209"/>
      <c r="F1796" s="210"/>
      <c r="H1796" s="212"/>
      <c r="I1796" s="817"/>
    </row>
    <row r="1797">
      <c r="A1797" s="814"/>
      <c r="B1797" s="815"/>
      <c r="C1797" s="816"/>
      <c r="D1797" s="209"/>
      <c r="E1797" s="209"/>
      <c r="F1797" s="210"/>
      <c r="H1797" s="212"/>
      <c r="I1797" s="817"/>
    </row>
    <row r="1798">
      <c r="A1798" s="814"/>
      <c r="B1798" s="815"/>
      <c r="C1798" s="816"/>
      <c r="D1798" s="209"/>
      <c r="E1798" s="209"/>
      <c r="F1798" s="210"/>
      <c r="H1798" s="212"/>
      <c r="I1798" s="817"/>
    </row>
    <row r="1799">
      <c r="A1799" s="814"/>
      <c r="B1799" s="815"/>
      <c r="C1799" s="816"/>
      <c r="D1799" s="209"/>
      <c r="E1799" s="209"/>
      <c r="F1799" s="210"/>
      <c r="H1799" s="212"/>
      <c r="I1799" s="817"/>
    </row>
    <row r="1800">
      <c r="A1800" s="814"/>
      <c r="B1800" s="815"/>
      <c r="C1800" s="816"/>
      <c r="D1800" s="209"/>
      <c r="E1800" s="209"/>
      <c r="F1800" s="210"/>
      <c r="H1800" s="212"/>
      <c r="I1800" s="817"/>
    </row>
    <row r="1801">
      <c r="A1801" s="814"/>
      <c r="B1801" s="815"/>
      <c r="C1801" s="816"/>
      <c r="D1801" s="209"/>
      <c r="E1801" s="209"/>
      <c r="F1801" s="210"/>
      <c r="H1801" s="212"/>
      <c r="I1801" s="817"/>
    </row>
    <row r="1802">
      <c r="A1802" s="814"/>
      <c r="B1802" s="815"/>
      <c r="C1802" s="816"/>
      <c r="D1802" s="209"/>
      <c r="E1802" s="209"/>
      <c r="F1802" s="210"/>
      <c r="H1802" s="212"/>
      <c r="I1802" s="817"/>
    </row>
    <row r="1803">
      <c r="A1803" s="814"/>
      <c r="B1803" s="815"/>
      <c r="C1803" s="816"/>
      <c r="D1803" s="209"/>
      <c r="E1803" s="209"/>
      <c r="F1803" s="210"/>
      <c r="H1803" s="212"/>
      <c r="I1803" s="817"/>
    </row>
    <row r="1804">
      <c r="A1804" s="814"/>
      <c r="B1804" s="815"/>
      <c r="C1804" s="816"/>
      <c r="D1804" s="209"/>
      <c r="E1804" s="209"/>
      <c r="F1804" s="210"/>
      <c r="H1804" s="212"/>
      <c r="I1804" s="817"/>
    </row>
    <row r="1805">
      <c r="A1805" s="814"/>
      <c r="B1805" s="815"/>
      <c r="C1805" s="816"/>
      <c r="D1805" s="209"/>
      <c r="E1805" s="209"/>
      <c r="F1805" s="210"/>
      <c r="H1805" s="212"/>
      <c r="I1805" s="817"/>
    </row>
    <row r="1806">
      <c r="A1806" s="814"/>
      <c r="B1806" s="815"/>
      <c r="C1806" s="816"/>
      <c r="D1806" s="209"/>
      <c r="E1806" s="209"/>
      <c r="F1806" s="210"/>
      <c r="H1806" s="212"/>
      <c r="I1806" s="817"/>
    </row>
    <row r="1807">
      <c r="A1807" s="814"/>
      <c r="B1807" s="815"/>
      <c r="C1807" s="816"/>
      <c r="D1807" s="209"/>
      <c r="E1807" s="209"/>
      <c r="F1807" s="210"/>
      <c r="H1807" s="212"/>
      <c r="I1807" s="817"/>
    </row>
    <row r="1808">
      <c r="A1808" s="814"/>
      <c r="B1808" s="815"/>
      <c r="C1808" s="816"/>
      <c r="D1808" s="209"/>
      <c r="E1808" s="209"/>
      <c r="F1808" s="210"/>
      <c r="H1808" s="212"/>
      <c r="I1808" s="817"/>
    </row>
    <row r="1809">
      <c r="A1809" s="814"/>
      <c r="B1809" s="815"/>
      <c r="C1809" s="816"/>
      <c r="D1809" s="209"/>
      <c r="E1809" s="209"/>
      <c r="F1809" s="210"/>
      <c r="H1809" s="212"/>
      <c r="I1809" s="817"/>
    </row>
    <row r="1810">
      <c r="A1810" s="814"/>
      <c r="B1810" s="815"/>
      <c r="C1810" s="816"/>
      <c r="D1810" s="209"/>
      <c r="E1810" s="209"/>
      <c r="F1810" s="210"/>
      <c r="H1810" s="212"/>
      <c r="I1810" s="817"/>
    </row>
    <row r="1811">
      <c r="A1811" s="814"/>
      <c r="B1811" s="815"/>
      <c r="C1811" s="816"/>
      <c r="D1811" s="209"/>
      <c r="E1811" s="209"/>
      <c r="F1811" s="210"/>
      <c r="H1811" s="212"/>
      <c r="I1811" s="817"/>
    </row>
    <row r="1812">
      <c r="A1812" s="814"/>
      <c r="B1812" s="815"/>
      <c r="C1812" s="816"/>
      <c r="D1812" s="209"/>
      <c r="E1812" s="209"/>
      <c r="F1812" s="210"/>
      <c r="H1812" s="212"/>
      <c r="I1812" s="817"/>
    </row>
    <row r="1813">
      <c r="A1813" s="814"/>
      <c r="B1813" s="815"/>
      <c r="C1813" s="816"/>
      <c r="D1813" s="209"/>
      <c r="E1813" s="209"/>
      <c r="F1813" s="210"/>
      <c r="H1813" s="212"/>
      <c r="I1813" s="817"/>
    </row>
    <row r="1814">
      <c r="A1814" s="814"/>
      <c r="B1814" s="815"/>
      <c r="C1814" s="816"/>
      <c r="D1814" s="209"/>
      <c r="E1814" s="209"/>
      <c r="F1814" s="210"/>
      <c r="H1814" s="212"/>
      <c r="I1814" s="817"/>
    </row>
    <row r="1815">
      <c r="A1815" s="814"/>
      <c r="B1815" s="815"/>
      <c r="C1815" s="816"/>
      <c r="D1815" s="209"/>
      <c r="E1815" s="209"/>
      <c r="F1815" s="210"/>
      <c r="H1815" s="212"/>
      <c r="I1815" s="817"/>
    </row>
    <row r="1816">
      <c r="A1816" s="814"/>
      <c r="B1816" s="815"/>
      <c r="C1816" s="816"/>
      <c r="D1816" s="209"/>
      <c r="E1816" s="209"/>
      <c r="F1816" s="210"/>
      <c r="H1816" s="212"/>
      <c r="I1816" s="817"/>
    </row>
    <row r="1817">
      <c r="A1817" s="814"/>
      <c r="B1817" s="815"/>
      <c r="C1817" s="816"/>
      <c r="D1817" s="209"/>
      <c r="E1817" s="209"/>
      <c r="F1817" s="210"/>
      <c r="H1817" s="212"/>
      <c r="I1817" s="817"/>
    </row>
    <row r="1818">
      <c r="A1818" s="814"/>
      <c r="B1818" s="815"/>
      <c r="C1818" s="816"/>
      <c r="D1818" s="209"/>
      <c r="E1818" s="209"/>
      <c r="F1818" s="210"/>
      <c r="H1818" s="212"/>
      <c r="I1818" s="817"/>
    </row>
    <row r="1819">
      <c r="A1819" s="814"/>
      <c r="B1819" s="815"/>
      <c r="C1819" s="816"/>
      <c r="D1819" s="209"/>
      <c r="E1819" s="209"/>
      <c r="F1819" s="210"/>
      <c r="H1819" s="212"/>
      <c r="I1819" s="817"/>
    </row>
    <row r="1820">
      <c r="A1820" s="814"/>
      <c r="B1820" s="815"/>
      <c r="C1820" s="816"/>
      <c r="D1820" s="209"/>
      <c r="E1820" s="209"/>
      <c r="F1820" s="210"/>
      <c r="H1820" s="212"/>
      <c r="I1820" s="817"/>
    </row>
    <row r="1821">
      <c r="A1821" s="814"/>
      <c r="B1821" s="815"/>
      <c r="C1821" s="816"/>
      <c r="D1821" s="209"/>
      <c r="E1821" s="209"/>
      <c r="F1821" s="210"/>
      <c r="H1821" s="212"/>
      <c r="I1821" s="817"/>
    </row>
    <row r="1822">
      <c r="A1822" s="814"/>
      <c r="B1822" s="815"/>
      <c r="C1822" s="816"/>
      <c r="D1822" s="209"/>
      <c r="E1822" s="209"/>
      <c r="F1822" s="210"/>
      <c r="H1822" s="212"/>
      <c r="I1822" s="817"/>
    </row>
    <row r="1823">
      <c r="A1823" s="814"/>
      <c r="B1823" s="815"/>
      <c r="C1823" s="816"/>
      <c r="D1823" s="209"/>
      <c r="E1823" s="209"/>
      <c r="F1823" s="210"/>
      <c r="H1823" s="212"/>
      <c r="I1823" s="817"/>
    </row>
    <row r="1824">
      <c r="A1824" s="814"/>
      <c r="B1824" s="815"/>
      <c r="C1824" s="816"/>
      <c r="D1824" s="209"/>
      <c r="E1824" s="209"/>
      <c r="F1824" s="210"/>
      <c r="H1824" s="212"/>
      <c r="I1824" s="817"/>
    </row>
    <row r="1825">
      <c r="A1825" s="814"/>
      <c r="B1825" s="815"/>
      <c r="C1825" s="816"/>
      <c r="D1825" s="209"/>
      <c r="E1825" s="209"/>
      <c r="F1825" s="210"/>
      <c r="H1825" s="212"/>
      <c r="I1825" s="817"/>
    </row>
    <row r="1826">
      <c r="A1826" s="814"/>
      <c r="B1826" s="815"/>
      <c r="C1826" s="816"/>
      <c r="D1826" s="209"/>
      <c r="E1826" s="209"/>
      <c r="F1826" s="210"/>
      <c r="H1826" s="212"/>
      <c r="I1826" s="817"/>
    </row>
    <row r="1827">
      <c r="A1827" s="814"/>
      <c r="B1827" s="815"/>
      <c r="C1827" s="816"/>
      <c r="D1827" s="209"/>
      <c r="E1827" s="209"/>
      <c r="F1827" s="210"/>
      <c r="H1827" s="212"/>
      <c r="I1827" s="817"/>
    </row>
    <row r="1828">
      <c r="A1828" s="814"/>
      <c r="B1828" s="815"/>
      <c r="C1828" s="816"/>
      <c r="D1828" s="209"/>
      <c r="E1828" s="209"/>
      <c r="F1828" s="210"/>
      <c r="H1828" s="212"/>
      <c r="I1828" s="817"/>
    </row>
    <row r="1829">
      <c r="A1829" s="814"/>
      <c r="B1829" s="815"/>
      <c r="C1829" s="816"/>
      <c r="D1829" s="209"/>
      <c r="E1829" s="209"/>
      <c r="F1829" s="210"/>
      <c r="H1829" s="212"/>
      <c r="I1829" s="817"/>
    </row>
    <row r="1830">
      <c r="A1830" s="814"/>
      <c r="B1830" s="815"/>
      <c r="C1830" s="816"/>
      <c r="D1830" s="209"/>
      <c r="E1830" s="209"/>
      <c r="F1830" s="210"/>
      <c r="H1830" s="212"/>
      <c r="I1830" s="817"/>
    </row>
    <row r="1831">
      <c r="A1831" s="814"/>
      <c r="B1831" s="815"/>
      <c r="C1831" s="816"/>
      <c r="D1831" s="209"/>
      <c r="E1831" s="209"/>
      <c r="F1831" s="210"/>
      <c r="H1831" s="212"/>
      <c r="I1831" s="817"/>
    </row>
    <row r="1832">
      <c r="A1832" s="814"/>
      <c r="B1832" s="815"/>
      <c r="C1832" s="816"/>
      <c r="D1832" s="209"/>
      <c r="E1832" s="209"/>
      <c r="F1832" s="210"/>
      <c r="H1832" s="212"/>
      <c r="I1832" s="817"/>
    </row>
    <row r="1833">
      <c r="A1833" s="814"/>
      <c r="B1833" s="815"/>
      <c r="C1833" s="816"/>
      <c r="D1833" s="209"/>
      <c r="E1833" s="209"/>
      <c r="F1833" s="210"/>
      <c r="H1833" s="212"/>
      <c r="I1833" s="817"/>
    </row>
    <row r="1834">
      <c r="A1834" s="814"/>
      <c r="B1834" s="815"/>
      <c r="C1834" s="816"/>
      <c r="D1834" s="209"/>
      <c r="E1834" s="209"/>
      <c r="F1834" s="210"/>
      <c r="H1834" s="212"/>
      <c r="I1834" s="817"/>
    </row>
    <row r="1835">
      <c r="A1835" s="814"/>
      <c r="B1835" s="815"/>
      <c r="C1835" s="816"/>
      <c r="D1835" s="209"/>
      <c r="E1835" s="209"/>
      <c r="F1835" s="210"/>
      <c r="H1835" s="212"/>
      <c r="I1835" s="817"/>
    </row>
    <row r="1836">
      <c r="A1836" s="814"/>
      <c r="B1836" s="815"/>
      <c r="C1836" s="816"/>
      <c r="D1836" s="209"/>
      <c r="E1836" s="209"/>
      <c r="F1836" s="210"/>
      <c r="H1836" s="212"/>
      <c r="I1836" s="817"/>
    </row>
    <row r="1837">
      <c r="A1837" s="814"/>
      <c r="B1837" s="815"/>
      <c r="C1837" s="816"/>
      <c r="D1837" s="209"/>
      <c r="E1837" s="209"/>
      <c r="F1837" s="210"/>
      <c r="H1837" s="212"/>
      <c r="I1837" s="817"/>
    </row>
    <row r="1838">
      <c r="A1838" s="814"/>
      <c r="B1838" s="815"/>
      <c r="C1838" s="816"/>
      <c r="D1838" s="209"/>
      <c r="E1838" s="209"/>
      <c r="F1838" s="210"/>
      <c r="H1838" s="212"/>
      <c r="I1838" s="817"/>
    </row>
    <row r="1839">
      <c r="A1839" s="814"/>
      <c r="B1839" s="815"/>
      <c r="C1839" s="816"/>
      <c r="D1839" s="209"/>
      <c r="E1839" s="209"/>
      <c r="F1839" s="210"/>
      <c r="H1839" s="212"/>
      <c r="I1839" s="817"/>
    </row>
    <row r="1840">
      <c r="A1840" s="814"/>
      <c r="B1840" s="815"/>
      <c r="C1840" s="816"/>
      <c r="D1840" s="209"/>
      <c r="E1840" s="209"/>
      <c r="F1840" s="210"/>
      <c r="H1840" s="212"/>
      <c r="I1840" s="817"/>
    </row>
    <row r="1841">
      <c r="A1841" s="814"/>
      <c r="B1841" s="815"/>
      <c r="C1841" s="816"/>
      <c r="D1841" s="209"/>
      <c r="E1841" s="209"/>
      <c r="F1841" s="210"/>
      <c r="H1841" s="212"/>
      <c r="I1841" s="817"/>
    </row>
    <row r="1842">
      <c r="A1842" s="814"/>
      <c r="B1842" s="815"/>
      <c r="C1842" s="816"/>
      <c r="D1842" s="209"/>
      <c r="E1842" s="209"/>
      <c r="F1842" s="210"/>
      <c r="H1842" s="212"/>
      <c r="I1842" s="817"/>
    </row>
    <row r="1843">
      <c r="A1843" s="814"/>
      <c r="B1843" s="815"/>
      <c r="C1843" s="816"/>
      <c r="D1843" s="209"/>
      <c r="E1843" s="209"/>
      <c r="F1843" s="210"/>
      <c r="H1843" s="212"/>
      <c r="I1843" s="817"/>
    </row>
    <row r="1844">
      <c r="A1844" s="814"/>
      <c r="B1844" s="815"/>
      <c r="C1844" s="816"/>
      <c r="D1844" s="209"/>
      <c r="E1844" s="209"/>
      <c r="F1844" s="210"/>
      <c r="H1844" s="212"/>
      <c r="I1844" s="817"/>
    </row>
    <row r="1845">
      <c r="A1845" s="814"/>
      <c r="B1845" s="815"/>
      <c r="C1845" s="816"/>
      <c r="D1845" s="209"/>
      <c r="E1845" s="209"/>
      <c r="F1845" s="210"/>
      <c r="H1845" s="212"/>
      <c r="I1845" s="817"/>
    </row>
    <row r="1846">
      <c r="A1846" s="814"/>
      <c r="B1846" s="815"/>
      <c r="C1846" s="816"/>
      <c r="D1846" s="209"/>
      <c r="E1846" s="209"/>
      <c r="F1846" s="210"/>
      <c r="H1846" s="212"/>
      <c r="I1846" s="817"/>
    </row>
    <row r="1847">
      <c r="A1847" s="814"/>
      <c r="B1847" s="815"/>
      <c r="C1847" s="816"/>
      <c r="D1847" s="209"/>
      <c r="E1847" s="209"/>
      <c r="F1847" s="210"/>
      <c r="H1847" s="212"/>
      <c r="I1847" s="817"/>
    </row>
    <row r="1848">
      <c r="A1848" s="814"/>
      <c r="B1848" s="815"/>
      <c r="C1848" s="816"/>
      <c r="D1848" s="209"/>
      <c r="E1848" s="209"/>
      <c r="F1848" s="210"/>
      <c r="H1848" s="212"/>
      <c r="I1848" s="817"/>
    </row>
    <row r="1849">
      <c r="A1849" s="814"/>
      <c r="B1849" s="815"/>
      <c r="C1849" s="816"/>
      <c r="D1849" s="209"/>
      <c r="E1849" s="209"/>
      <c r="F1849" s="210"/>
      <c r="H1849" s="212"/>
      <c r="I1849" s="817"/>
    </row>
    <row r="1850">
      <c r="A1850" s="814"/>
      <c r="B1850" s="815"/>
      <c r="C1850" s="816"/>
      <c r="D1850" s="209"/>
      <c r="E1850" s="209"/>
      <c r="F1850" s="210"/>
      <c r="H1850" s="212"/>
      <c r="I1850" s="817"/>
    </row>
    <row r="1851">
      <c r="A1851" s="814"/>
      <c r="B1851" s="815"/>
      <c r="C1851" s="816"/>
      <c r="D1851" s="209"/>
      <c r="E1851" s="209"/>
      <c r="F1851" s="210"/>
      <c r="H1851" s="212"/>
      <c r="I1851" s="817"/>
    </row>
    <row r="1852">
      <c r="A1852" s="814"/>
      <c r="B1852" s="815"/>
      <c r="C1852" s="816"/>
      <c r="D1852" s="209"/>
      <c r="E1852" s="209"/>
      <c r="F1852" s="210"/>
      <c r="H1852" s="212"/>
      <c r="I1852" s="817"/>
    </row>
    <row r="1853">
      <c r="A1853" s="814"/>
      <c r="B1853" s="815"/>
      <c r="C1853" s="816"/>
      <c r="D1853" s="209"/>
      <c r="E1853" s="209"/>
      <c r="F1853" s="210"/>
      <c r="H1853" s="212"/>
      <c r="I1853" s="817"/>
    </row>
    <row r="1854">
      <c r="A1854" s="814"/>
      <c r="B1854" s="815"/>
      <c r="C1854" s="816"/>
      <c r="D1854" s="209"/>
      <c r="E1854" s="209"/>
      <c r="F1854" s="210"/>
      <c r="H1854" s="212"/>
      <c r="I1854" s="817"/>
    </row>
    <row r="1855">
      <c r="A1855" s="814"/>
      <c r="B1855" s="815"/>
      <c r="C1855" s="816"/>
      <c r="D1855" s="209"/>
      <c r="E1855" s="209"/>
      <c r="F1855" s="210"/>
      <c r="H1855" s="212"/>
      <c r="I1855" s="817"/>
    </row>
    <row r="1856">
      <c r="A1856" s="814"/>
      <c r="B1856" s="815"/>
      <c r="C1856" s="816"/>
      <c r="D1856" s="209"/>
      <c r="E1856" s="209"/>
      <c r="F1856" s="210"/>
      <c r="H1856" s="212"/>
      <c r="I1856" s="817"/>
    </row>
    <row r="1857">
      <c r="A1857" s="814"/>
      <c r="B1857" s="815"/>
      <c r="C1857" s="816"/>
      <c r="D1857" s="209"/>
      <c r="E1857" s="209"/>
      <c r="F1857" s="210"/>
      <c r="H1857" s="212"/>
      <c r="I1857" s="817"/>
    </row>
    <row r="1858">
      <c r="A1858" s="814"/>
      <c r="B1858" s="815"/>
      <c r="C1858" s="816"/>
      <c r="D1858" s="209"/>
      <c r="E1858" s="209"/>
      <c r="F1858" s="210"/>
      <c r="H1858" s="212"/>
      <c r="I1858" s="817"/>
    </row>
    <row r="1859">
      <c r="A1859" s="814"/>
      <c r="B1859" s="815"/>
      <c r="C1859" s="816"/>
      <c r="D1859" s="209"/>
      <c r="E1859" s="209"/>
      <c r="F1859" s="210"/>
      <c r="H1859" s="212"/>
      <c r="I1859" s="817"/>
    </row>
    <row r="1860">
      <c r="A1860" s="814"/>
      <c r="B1860" s="815"/>
      <c r="C1860" s="816"/>
      <c r="D1860" s="209"/>
      <c r="E1860" s="209"/>
      <c r="F1860" s="210"/>
      <c r="H1860" s="212"/>
      <c r="I1860" s="817"/>
    </row>
    <row r="1861">
      <c r="A1861" s="814"/>
      <c r="B1861" s="815"/>
      <c r="C1861" s="816"/>
      <c r="D1861" s="209"/>
      <c r="E1861" s="209"/>
      <c r="F1861" s="210"/>
      <c r="H1861" s="212"/>
      <c r="I1861" s="817"/>
    </row>
    <row r="1862">
      <c r="A1862" s="814"/>
      <c r="B1862" s="815"/>
      <c r="C1862" s="816"/>
      <c r="D1862" s="209"/>
      <c r="E1862" s="209"/>
      <c r="F1862" s="210"/>
      <c r="H1862" s="212"/>
      <c r="I1862" s="817"/>
    </row>
    <row r="1863">
      <c r="A1863" s="814"/>
      <c r="B1863" s="815"/>
      <c r="C1863" s="816"/>
      <c r="D1863" s="209"/>
      <c r="E1863" s="209"/>
      <c r="F1863" s="210"/>
      <c r="H1863" s="212"/>
      <c r="I1863" s="817"/>
    </row>
    <row r="1864">
      <c r="A1864" s="814"/>
      <c r="B1864" s="815"/>
      <c r="C1864" s="816"/>
      <c r="D1864" s="209"/>
      <c r="E1864" s="209"/>
      <c r="F1864" s="210"/>
      <c r="H1864" s="212"/>
      <c r="I1864" s="817"/>
    </row>
    <row r="1865">
      <c r="A1865" s="814"/>
      <c r="B1865" s="815"/>
      <c r="C1865" s="816"/>
      <c r="D1865" s="209"/>
      <c r="E1865" s="209"/>
      <c r="F1865" s="210"/>
      <c r="H1865" s="212"/>
      <c r="I1865" s="817"/>
    </row>
    <row r="1866">
      <c r="A1866" s="814"/>
      <c r="B1866" s="815"/>
      <c r="C1866" s="816"/>
      <c r="D1866" s="209"/>
      <c r="E1866" s="209"/>
      <c r="F1866" s="210"/>
      <c r="H1866" s="212"/>
      <c r="I1866" s="817"/>
    </row>
    <row r="1867">
      <c r="A1867" s="814"/>
      <c r="B1867" s="815"/>
      <c r="C1867" s="816"/>
      <c r="D1867" s="209"/>
      <c r="E1867" s="209"/>
      <c r="F1867" s="210"/>
      <c r="H1867" s="212"/>
      <c r="I1867" s="817"/>
    </row>
    <row r="1868">
      <c r="A1868" s="814"/>
      <c r="B1868" s="815"/>
      <c r="C1868" s="816"/>
      <c r="D1868" s="209"/>
      <c r="E1868" s="209"/>
      <c r="F1868" s="210"/>
      <c r="H1868" s="212"/>
      <c r="I1868" s="817"/>
    </row>
    <row r="1869">
      <c r="A1869" s="814"/>
      <c r="B1869" s="815"/>
      <c r="C1869" s="816"/>
      <c r="D1869" s="209"/>
      <c r="E1869" s="209"/>
      <c r="F1869" s="210"/>
      <c r="H1869" s="212"/>
      <c r="I1869" s="817"/>
    </row>
    <row r="1870">
      <c r="A1870" s="814"/>
      <c r="B1870" s="815"/>
      <c r="C1870" s="816"/>
      <c r="D1870" s="209"/>
      <c r="E1870" s="209"/>
      <c r="F1870" s="210"/>
      <c r="H1870" s="212"/>
      <c r="I1870" s="817"/>
    </row>
    <row r="1871">
      <c r="A1871" s="814"/>
      <c r="B1871" s="815"/>
      <c r="C1871" s="816"/>
      <c r="D1871" s="209"/>
      <c r="E1871" s="209"/>
      <c r="F1871" s="210"/>
      <c r="H1871" s="212"/>
      <c r="I1871" s="817"/>
    </row>
    <row r="1872">
      <c r="A1872" s="814"/>
      <c r="B1872" s="815"/>
      <c r="C1872" s="816"/>
      <c r="D1872" s="209"/>
      <c r="E1872" s="209"/>
      <c r="F1872" s="210"/>
      <c r="H1872" s="212"/>
      <c r="I1872" s="817"/>
    </row>
    <row r="1873">
      <c r="A1873" s="814"/>
      <c r="B1873" s="815"/>
      <c r="C1873" s="816"/>
      <c r="D1873" s="209"/>
      <c r="E1873" s="209"/>
      <c r="F1873" s="210"/>
      <c r="H1873" s="212"/>
      <c r="I1873" s="817"/>
    </row>
    <row r="1874">
      <c r="A1874" s="814"/>
      <c r="B1874" s="815"/>
      <c r="C1874" s="816"/>
      <c r="D1874" s="209"/>
      <c r="E1874" s="209"/>
      <c r="F1874" s="210"/>
      <c r="H1874" s="212"/>
      <c r="I1874" s="817"/>
    </row>
    <row r="1875">
      <c r="A1875" s="814"/>
      <c r="B1875" s="815"/>
      <c r="C1875" s="816"/>
      <c r="D1875" s="209"/>
      <c r="E1875" s="209"/>
      <c r="F1875" s="210"/>
      <c r="H1875" s="212"/>
      <c r="I1875" s="817"/>
    </row>
    <row r="1876">
      <c r="A1876" s="814"/>
      <c r="B1876" s="815"/>
      <c r="C1876" s="816"/>
      <c r="D1876" s="209"/>
      <c r="E1876" s="209"/>
      <c r="F1876" s="210"/>
      <c r="H1876" s="212"/>
      <c r="I1876" s="817"/>
    </row>
    <row r="1877">
      <c r="A1877" s="814"/>
      <c r="B1877" s="815"/>
      <c r="C1877" s="816"/>
      <c r="D1877" s="209"/>
      <c r="E1877" s="209"/>
      <c r="F1877" s="210"/>
      <c r="H1877" s="212"/>
      <c r="I1877" s="817"/>
    </row>
    <row r="1878">
      <c r="A1878" s="814"/>
      <c r="B1878" s="815"/>
      <c r="C1878" s="816"/>
      <c r="D1878" s="209"/>
      <c r="E1878" s="209"/>
      <c r="F1878" s="210"/>
      <c r="H1878" s="212"/>
      <c r="I1878" s="817"/>
    </row>
    <row r="1879">
      <c r="A1879" s="814"/>
      <c r="B1879" s="815"/>
      <c r="C1879" s="816"/>
      <c r="D1879" s="209"/>
      <c r="E1879" s="209"/>
      <c r="F1879" s="210"/>
      <c r="H1879" s="212"/>
      <c r="I1879" s="817"/>
    </row>
    <row r="1880">
      <c r="A1880" s="814"/>
      <c r="B1880" s="815"/>
      <c r="C1880" s="816"/>
      <c r="D1880" s="209"/>
      <c r="E1880" s="209"/>
      <c r="F1880" s="210"/>
      <c r="H1880" s="212"/>
      <c r="I1880" s="817"/>
    </row>
    <row r="1881">
      <c r="A1881" s="814"/>
      <c r="B1881" s="815"/>
      <c r="C1881" s="816"/>
      <c r="D1881" s="209"/>
      <c r="E1881" s="209"/>
      <c r="F1881" s="210"/>
      <c r="H1881" s="212"/>
      <c r="I1881" s="817"/>
    </row>
    <row r="1882">
      <c r="A1882" s="814"/>
      <c r="B1882" s="815"/>
      <c r="C1882" s="816"/>
      <c r="D1882" s="209"/>
      <c r="E1882" s="209"/>
      <c r="F1882" s="210"/>
      <c r="H1882" s="212"/>
      <c r="I1882" s="817"/>
    </row>
    <row r="1883">
      <c r="A1883" s="814"/>
      <c r="B1883" s="815"/>
      <c r="C1883" s="816"/>
      <c r="D1883" s="209"/>
      <c r="E1883" s="209"/>
      <c r="F1883" s="210"/>
      <c r="H1883" s="212"/>
      <c r="I1883" s="817"/>
    </row>
    <row r="1884">
      <c r="A1884" s="814"/>
      <c r="B1884" s="815"/>
      <c r="C1884" s="816"/>
      <c r="D1884" s="209"/>
      <c r="E1884" s="209"/>
      <c r="F1884" s="210"/>
      <c r="H1884" s="212"/>
      <c r="I1884" s="817"/>
    </row>
    <row r="1885">
      <c r="A1885" s="814"/>
      <c r="B1885" s="815"/>
      <c r="C1885" s="816"/>
      <c r="D1885" s="209"/>
      <c r="E1885" s="209"/>
      <c r="F1885" s="210"/>
      <c r="H1885" s="212"/>
      <c r="I1885" s="817"/>
    </row>
    <row r="1886">
      <c r="A1886" s="814"/>
      <c r="B1886" s="815"/>
      <c r="C1886" s="816"/>
      <c r="D1886" s="209"/>
      <c r="E1886" s="209"/>
      <c r="F1886" s="210"/>
      <c r="H1886" s="212"/>
      <c r="I1886" s="817"/>
    </row>
    <row r="1887">
      <c r="A1887" s="814"/>
      <c r="B1887" s="815"/>
      <c r="C1887" s="816"/>
      <c r="D1887" s="209"/>
      <c r="E1887" s="209"/>
      <c r="F1887" s="210"/>
      <c r="H1887" s="212"/>
      <c r="I1887" s="817"/>
    </row>
    <row r="1888">
      <c r="A1888" s="814"/>
      <c r="B1888" s="815"/>
      <c r="C1888" s="816"/>
      <c r="D1888" s="209"/>
      <c r="E1888" s="209"/>
      <c r="F1888" s="210"/>
      <c r="H1888" s="212"/>
      <c r="I1888" s="817"/>
    </row>
    <row r="1889">
      <c r="A1889" s="814"/>
      <c r="B1889" s="815"/>
      <c r="C1889" s="816"/>
      <c r="D1889" s="209"/>
      <c r="E1889" s="209"/>
      <c r="F1889" s="210"/>
      <c r="H1889" s="212"/>
      <c r="I1889" s="817"/>
    </row>
    <row r="1890">
      <c r="A1890" s="814"/>
      <c r="B1890" s="815"/>
      <c r="C1890" s="816"/>
      <c r="D1890" s="209"/>
      <c r="E1890" s="209"/>
      <c r="F1890" s="210"/>
      <c r="H1890" s="212"/>
      <c r="I1890" s="817"/>
    </row>
    <row r="1891">
      <c r="A1891" s="814"/>
      <c r="B1891" s="815"/>
      <c r="C1891" s="816"/>
      <c r="D1891" s="209"/>
      <c r="E1891" s="209"/>
      <c r="F1891" s="210"/>
      <c r="H1891" s="212"/>
      <c r="I1891" s="817"/>
    </row>
    <row r="1892">
      <c r="A1892" s="814"/>
      <c r="B1892" s="815"/>
      <c r="C1892" s="816"/>
      <c r="D1892" s="209"/>
      <c r="E1892" s="209"/>
      <c r="F1892" s="210"/>
      <c r="H1892" s="212"/>
      <c r="I1892" s="817"/>
    </row>
    <row r="1893">
      <c r="A1893" s="814"/>
      <c r="B1893" s="815"/>
      <c r="C1893" s="816"/>
      <c r="D1893" s="209"/>
      <c r="E1893" s="209"/>
      <c r="F1893" s="210"/>
      <c r="H1893" s="212"/>
      <c r="I1893" s="817"/>
    </row>
    <row r="1894">
      <c r="A1894" s="814"/>
      <c r="B1894" s="815"/>
      <c r="C1894" s="816"/>
      <c r="D1894" s="209"/>
      <c r="E1894" s="209"/>
      <c r="F1894" s="210"/>
      <c r="H1894" s="212"/>
      <c r="I1894" s="817"/>
    </row>
    <row r="1895">
      <c r="A1895" s="814"/>
      <c r="B1895" s="815"/>
      <c r="C1895" s="816"/>
      <c r="D1895" s="209"/>
      <c r="E1895" s="209"/>
      <c r="F1895" s="210"/>
      <c r="H1895" s="212"/>
      <c r="I1895" s="817"/>
    </row>
    <row r="1896">
      <c r="A1896" s="814"/>
      <c r="B1896" s="815"/>
      <c r="C1896" s="816"/>
      <c r="D1896" s="209"/>
      <c r="E1896" s="209"/>
      <c r="F1896" s="210"/>
      <c r="H1896" s="212"/>
      <c r="I1896" s="817"/>
    </row>
    <row r="1897">
      <c r="A1897" s="814"/>
      <c r="B1897" s="815"/>
      <c r="C1897" s="816"/>
      <c r="D1897" s="209"/>
      <c r="E1897" s="209"/>
      <c r="F1897" s="210"/>
      <c r="H1897" s="212"/>
      <c r="I1897" s="817"/>
    </row>
    <row r="1898">
      <c r="A1898" s="814"/>
      <c r="B1898" s="815"/>
      <c r="C1898" s="816"/>
      <c r="D1898" s="209"/>
      <c r="E1898" s="209"/>
      <c r="F1898" s="210"/>
      <c r="H1898" s="212"/>
      <c r="I1898" s="817"/>
    </row>
    <row r="1899">
      <c r="A1899" s="814"/>
      <c r="B1899" s="815"/>
      <c r="C1899" s="816"/>
      <c r="D1899" s="209"/>
      <c r="E1899" s="209"/>
      <c r="F1899" s="210"/>
      <c r="H1899" s="212"/>
      <c r="I1899" s="817"/>
    </row>
    <row r="1900">
      <c r="A1900" s="814"/>
      <c r="B1900" s="815"/>
      <c r="C1900" s="816"/>
      <c r="D1900" s="209"/>
      <c r="E1900" s="209"/>
      <c r="F1900" s="210"/>
      <c r="H1900" s="212"/>
      <c r="I1900" s="817"/>
    </row>
    <row r="1901">
      <c r="A1901" s="814"/>
      <c r="B1901" s="815"/>
      <c r="C1901" s="816"/>
      <c r="D1901" s="209"/>
      <c r="E1901" s="209"/>
      <c r="F1901" s="210"/>
      <c r="H1901" s="212"/>
      <c r="I1901" s="817"/>
    </row>
    <row r="1902">
      <c r="A1902" s="814"/>
      <c r="B1902" s="815"/>
      <c r="C1902" s="816"/>
      <c r="D1902" s="209"/>
      <c r="E1902" s="209"/>
      <c r="F1902" s="210"/>
      <c r="H1902" s="212"/>
      <c r="I1902" s="817"/>
    </row>
    <row r="1903">
      <c r="A1903" s="814"/>
      <c r="B1903" s="815"/>
      <c r="C1903" s="816"/>
      <c r="D1903" s="209"/>
      <c r="E1903" s="209"/>
      <c r="F1903" s="210"/>
      <c r="H1903" s="212"/>
      <c r="I1903" s="817"/>
    </row>
    <row r="1904">
      <c r="A1904" s="814"/>
      <c r="B1904" s="815"/>
      <c r="C1904" s="816"/>
      <c r="D1904" s="209"/>
      <c r="E1904" s="209"/>
      <c r="F1904" s="210"/>
      <c r="H1904" s="212"/>
      <c r="I1904" s="817"/>
    </row>
    <row r="1905">
      <c r="A1905" s="814"/>
      <c r="B1905" s="815"/>
      <c r="C1905" s="816"/>
      <c r="D1905" s="209"/>
      <c r="E1905" s="209"/>
      <c r="F1905" s="210"/>
      <c r="H1905" s="212"/>
      <c r="I1905" s="817"/>
    </row>
    <row r="1906">
      <c r="A1906" s="814"/>
      <c r="B1906" s="815"/>
      <c r="C1906" s="816"/>
      <c r="D1906" s="209"/>
      <c r="E1906" s="209"/>
      <c r="F1906" s="210"/>
      <c r="H1906" s="212"/>
      <c r="I1906" s="817"/>
    </row>
    <row r="1907">
      <c r="A1907" s="814"/>
      <c r="B1907" s="815"/>
      <c r="C1907" s="816"/>
      <c r="D1907" s="209"/>
      <c r="E1907" s="209"/>
      <c r="F1907" s="210"/>
      <c r="H1907" s="212"/>
      <c r="I1907" s="817"/>
    </row>
    <row r="1908">
      <c r="A1908" s="814"/>
      <c r="B1908" s="815"/>
      <c r="C1908" s="816"/>
      <c r="D1908" s="209"/>
      <c r="E1908" s="209"/>
      <c r="F1908" s="210"/>
      <c r="H1908" s="212"/>
      <c r="I1908" s="817"/>
    </row>
    <row r="1909">
      <c r="A1909" s="814"/>
      <c r="B1909" s="815"/>
      <c r="C1909" s="816"/>
      <c r="D1909" s="209"/>
      <c r="E1909" s="209"/>
      <c r="F1909" s="210"/>
      <c r="H1909" s="212"/>
      <c r="I1909" s="817"/>
    </row>
    <row r="1910">
      <c r="A1910" s="814"/>
      <c r="B1910" s="815"/>
      <c r="C1910" s="816"/>
      <c r="D1910" s="209"/>
      <c r="E1910" s="209"/>
      <c r="F1910" s="210"/>
      <c r="H1910" s="212"/>
      <c r="I1910" s="817"/>
    </row>
    <row r="1911">
      <c r="A1911" s="814"/>
      <c r="B1911" s="815"/>
      <c r="C1911" s="816"/>
      <c r="D1911" s="209"/>
      <c r="E1911" s="209"/>
      <c r="F1911" s="210"/>
      <c r="H1911" s="212"/>
      <c r="I1911" s="817"/>
    </row>
    <row r="1912">
      <c r="A1912" s="814"/>
      <c r="B1912" s="815"/>
      <c r="C1912" s="816"/>
      <c r="D1912" s="209"/>
      <c r="E1912" s="209"/>
      <c r="F1912" s="210"/>
      <c r="H1912" s="212"/>
      <c r="I1912" s="817"/>
    </row>
    <row r="1913">
      <c r="A1913" s="814"/>
      <c r="B1913" s="815"/>
      <c r="C1913" s="816"/>
      <c r="D1913" s="209"/>
      <c r="E1913" s="209"/>
      <c r="F1913" s="210"/>
      <c r="H1913" s="212"/>
      <c r="I1913" s="817"/>
    </row>
    <row r="1914">
      <c r="A1914" s="814"/>
      <c r="B1914" s="815"/>
      <c r="C1914" s="816"/>
      <c r="D1914" s="209"/>
      <c r="E1914" s="209"/>
      <c r="F1914" s="210"/>
      <c r="H1914" s="212"/>
      <c r="I1914" s="817"/>
    </row>
    <row r="1915">
      <c r="A1915" s="814"/>
      <c r="B1915" s="815"/>
      <c r="C1915" s="816"/>
      <c r="D1915" s="209"/>
      <c r="E1915" s="209"/>
      <c r="F1915" s="210"/>
      <c r="H1915" s="212"/>
      <c r="I1915" s="817"/>
    </row>
    <row r="1916">
      <c r="A1916" s="814"/>
      <c r="B1916" s="815"/>
      <c r="C1916" s="816"/>
      <c r="D1916" s="209"/>
      <c r="E1916" s="209"/>
      <c r="F1916" s="210"/>
      <c r="H1916" s="212"/>
      <c r="I1916" s="817"/>
    </row>
    <row r="1917">
      <c r="A1917" s="814"/>
      <c r="B1917" s="815"/>
      <c r="C1917" s="816"/>
      <c r="D1917" s="209"/>
      <c r="E1917" s="209"/>
      <c r="F1917" s="210"/>
      <c r="H1917" s="212"/>
      <c r="I1917" s="817"/>
    </row>
    <row r="1918">
      <c r="A1918" s="814"/>
      <c r="B1918" s="815"/>
      <c r="C1918" s="816"/>
      <c r="D1918" s="209"/>
      <c r="E1918" s="209"/>
      <c r="F1918" s="210"/>
      <c r="H1918" s="212"/>
      <c r="I1918" s="817"/>
    </row>
    <row r="1919">
      <c r="A1919" s="814"/>
      <c r="B1919" s="815"/>
      <c r="C1919" s="816"/>
      <c r="D1919" s="209"/>
      <c r="E1919" s="209"/>
      <c r="F1919" s="210"/>
      <c r="H1919" s="212"/>
      <c r="I1919" s="817"/>
    </row>
    <row r="1920">
      <c r="A1920" s="814"/>
      <c r="B1920" s="815"/>
      <c r="C1920" s="816"/>
      <c r="D1920" s="209"/>
      <c r="E1920" s="209"/>
      <c r="F1920" s="210"/>
      <c r="H1920" s="212"/>
      <c r="I1920" s="817"/>
    </row>
    <row r="1921">
      <c r="A1921" s="814"/>
      <c r="B1921" s="815"/>
      <c r="C1921" s="816"/>
      <c r="D1921" s="209"/>
      <c r="E1921" s="209"/>
      <c r="F1921" s="210"/>
      <c r="H1921" s="212"/>
      <c r="I1921" s="817"/>
    </row>
    <row r="1922">
      <c r="A1922" s="814"/>
      <c r="B1922" s="815"/>
      <c r="C1922" s="816"/>
      <c r="D1922" s="209"/>
      <c r="E1922" s="209"/>
      <c r="F1922" s="210"/>
      <c r="H1922" s="212"/>
      <c r="I1922" s="817"/>
    </row>
    <row r="1923">
      <c r="A1923" s="814"/>
      <c r="B1923" s="815"/>
      <c r="C1923" s="816"/>
      <c r="D1923" s="209"/>
      <c r="E1923" s="209"/>
      <c r="F1923" s="210"/>
      <c r="H1923" s="212"/>
      <c r="I1923" s="817"/>
    </row>
    <row r="1924">
      <c r="A1924" s="814"/>
      <c r="B1924" s="815"/>
      <c r="C1924" s="816"/>
      <c r="D1924" s="209"/>
      <c r="E1924" s="209"/>
      <c r="F1924" s="210"/>
      <c r="H1924" s="212"/>
      <c r="I1924" s="817"/>
    </row>
    <row r="1925">
      <c r="A1925" s="814"/>
      <c r="B1925" s="815"/>
      <c r="C1925" s="816"/>
      <c r="D1925" s="209"/>
      <c r="E1925" s="209"/>
      <c r="F1925" s="210"/>
      <c r="H1925" s="212"/>
      <c r="I1925" s="817"/>
    </row>
    <row r="1926">
      <c r="A1926" s="814"/>
      <c r="B1926" s="815"/>
      <c r="C1926" s="816"/>
      <c r="D1926" s="209"/>
      <c r="E1926" s="209"/>
      <c r="F1926" s="210"/>
      <c r="H1926" s="212"/>
      <c r="I1926" s="817"/>
    </row>
    <row r="1927">
      <c r="A1927" s="814"/>
      <c r="B1927" s="815"/>
      <c r="C1927" s="816"/>
      <c r="D1927" s="209"/>
      <c r="E1927" s="209"/>
      <c r="F1927" s="210"/>
      <c r="H1927" s="212"/>
      <c r="I1927" s="817"/>
    </row>
    <row r="1928">
      <c r="A1928" s="814"/>
      <c r="B1928" s="815"/>
      <c r="C1928" s="816"/>
      <c r="D1928" s="209"/>
      <c r="E1928" s="209"/>
      <c r="F1928" s="210"/>
      <c r="H1928" s="212"/>
      <c r="I1928" s="817"/>
    </row>
    <row r="1929">
      <c r="A1929" s="814"/>
      <c r="B1929" s="815"/>
      <c r="C1929" s="816"/>
      <c r="D1929" s="209"/>
      <c r="E1929" s="209"/>
      <c r="F1929" s="210"/>
      <c r="H1929" s="212"/>
      <c r="I1929" s="817"/>
    </row>
    <row r="1930">
      <c r="A1930" s="814"/>
      <c r="B1930" s="815"/>
      <c r="C1930" s="816"/>
      <c r="D1930" s="209"/>
      <c r="E1930" s="209"/>
      <c r="F1930" s="210"/>
      <c r="H1930" s="212"/>
      <c r="I1930" s="817"/>
    </row>
    <row r="1931">
      <c r="A1931" s="814"/>
      <c r="B1931" s="815"/>
      <c r="C1931" s="816"/>
      <c r="D1931" s="209"/>
      <c r="E1931" s="209"/>
      <c r="F1931" s="210"/>
      <c r="H1931" s="212"/>
      <c r="I1931" s="817"/>
    </row>
    <row r="1932">
      <c r="A1932" s="814"/>
      <c r="B1932" s="815"/>
      <c r="C1932" s="816"/>
      <c r="D1932" s="209"/>
      <c r="E1932" s="209"/>
      <c r="F1932" s="210"/>
      <c r="H1932" s="212"/>
      <c r="I1932" s="817"/>
    </row>
    <row r="1933">
      <c r="A1933" s="814"/>
      <c r="B1933" s="815"/>
      <c r="C1933" s="816"/>
      <c r="D1933" s="209"/>
      <c r="E1933" s="209"/>
      <c r="F1933" s="210"/>
      <c r="H1933" s="212"/>
      <c r="I1933" s="817"/>
    </row>
    <row r="1934">
      <c r="A1934" s="814"/>
      <c r="B1934" s="815"/>
      <c r="C1934" s="816"/>
      <c r="D1934" s="209"/>
      <c r="E1934" s="209"/>
      <c r="F1934" s="210"/>
      <c r="H1934" s="212"/>
      <c r="I1934" s="817"/>
    </row>
    <row r="1935">
      <c r="A1935" s="814"/>
      <c r="B1935" s="815"/>
      <c r="C1935" s="816"/>
      <c r="D1935" s="209"/>
      <c r="E1935" s="209"/>
      <c r="F1935" s="210"/>
      <c r="H1935" s="212"/>
      <c r="I1935" s="817"/>
    </row>
    <row r="1936">
      <c r="A1936" s="814"/>
      <c r="B1936" s="815"/>
      <c r="C1936" s="816"/>
      <c r="D1936" s="209"/>
      <c r="E1936" s="209"/>
      <c r="F1936" s="210"/>
      <c r="H1936" s="212"/>
      <c r="I1936" s="817"/>
    </row>
    <row r="1937">
      <c r="A1937" s="814"/>
      <c r="B1937" s="815"/>
      <c r="C1937" s="816"/>
      <c r="D1937" s="209"/>
      <c r="E1937" s="209"/>
      <c r="F1937" s="210"/>
      <c r="H1937" s="212"/>
      <c r="I1937" s="817"/>
    </row>
    <row r="1938">
      <c r="A1938" s="814"/>
      <c r="B1938" s="815"/>
      <c r="C1938" s="816"/>
      <c r="D1938" s="209"/>
      <c r="E1938" s="209"/>
      <c r="F1938" s="210"/>
      <c r="H1938" s="212"/>
      <c r="I1938" s="817"/>
    </row>
    <row r="1939">
      <c r="A1939" s="814"/>
      <c r="B1939" s="815"/>
      <c r="C1939" s="816"/>
      <c r="D1939" s="209"/>
      <c r="E1939" s="209"/>
      <c r="F1939" s="210"/>
      <c r="H1939" s="212"/>
      <c r="I1939" s="817"/>
    </row>
    <row r="1940">
      <c r="A1940" s="814"/>
      <c r="B1940" s="815"/>
      <c r="C1940" s="816"/>
      <c r="D1940" s="209"/>
      <c r="E1940" s="209"/>
      <c r="F1940" s="210"/>
      <c r="H1940" s="212"/>
      <c r="I1940" s="817"/>
    </row>
    <row r="1941">
      <c r="A1941" s="814"/>
      <c r="B1941" s="815"/>
      <c r="C1941" s="816"/>
      <c r="D1941" s="209"/>
      <c r="E1941" s="209"/>
      <c r="F1941" s="210"/>
      <c r="H1941" s="212"/>
      <c r="I1941" s="817"/>
    </row>
    <row r="1942">
      <c r="A1942" s="814"/>
      <c r="B1942" s="815"/>
      <c r="C1942" s="816"/>
      <c r="D1942" s="209"/>
      <c r="E1942" s="209"/>
      <c r="F1942" s="210"/>
      <c r="H1942" s="212"/>
      <c r="I1942" s="817"/>
    </row>
    <row r="1943">
      <c r="A1943" s="814"/>
      <c r="B1943" s="815"/>
      <c r="C1943" s="816"/>
      <c r="D1943" s="209"/>
      <c r="E1943" s="209"/>
      <c r="F1943" s="210"/>
      <c r="H1943" s="212"/>
      <c r="I1943" s="817"/>
    </row>
    <row r="1944">
      <c r="A1944" s="814"/>
      <c r="B1944" s="815"/>
      <c r="C1944" s="816"/>
      <c r="D1944" s="209"/>
      <c r="E1944" s="209"/>
      <c r="F1944" s="210"/>
      <c r="H1944" s="212"/>
      <c r="I1944" s="817"/>
    </row>
    <row r="1945">
      <c r="A1945" s="814"/>
      <c r="B1945" s="815"/>
      <c r="C1945" s="816"/>
      <c r="D1945" s="209"/>
      <c r="E1945" s="209"/>
      <c r="F1945" s="210"/>
      <c r="H1945" s="212"/>
      <c r="I1945" s="817"/>
    </row>
    <row r="1946">
      <c r="A1946" s="814"/>
      <c r="B1946" s="815"/>
      <c r="C1946" s="816"/>
      <c r="D1946" s="209"/>
      <c r="E1946" s="209"/>
      <c r="F1946" s="210"/>
      <c r="H1946" s="212"/>
      <c r="I1946" s="817"/>
    </row>
    <row r="1947">
      <c r="A1947" s="814"/>
      <c r="B1947" s="815"/>
      <c r="C1947" s="816"/>
      <c r="D1947" s="209"/>
      <c r="E1947" s="209"/>
      <c r="F1947" s="210"/>
      <c r="H1947" s="212"/>
      <c r="I1947" s="817"/>
    </row>
    <row r="1948">
      <c r="A1948" s="814"/>
      <c r="B1948" s="815"/>
      <c r="C1948" s="816"/>
      <c r="D1948" s="209"/>
      <c r="E1948" s="209"/>
      <c r="F1948" s="210"/>
      <c r="H1948" s="212"/>
      <c r="I1948" s="817"/>
    </row>
    <row r="1949">
      <c r="A1949" s="814"/>
      <c r="B1949" s="815"/>
      <c r="C1949" s="816"/>
      <c r="D1949" s="209"/>
      <c r="E1949" s="209"/>
      <c r="F1949" s="210"/>
      <c r="H1949" s="212"/>
      <c r="I1949" s="817"/>
    </row>
    <row r="1950">
      <c r="A1950" s="814"/>
      <c r="B1950" s="815"/>
      <c r="C1950" s="816"/>
      <c r="D1950" s="209"/>
      <c r="E1950" s="209"/>
      <c r="F1950" s="210"/>
      <c r="H1950" s="212"/>
      <c r="I1950" s="817"/>
    </row>
    <row r="1951">
      <c r="A1951" s="814"/>
      <c r="B1951" s="815"/>
      <c r="C1951" s="816"/>
      <c r="D1951" s="209"/>
      <c r="E1951" s="209"/>
      <c r="F1951" s="210"/>
      <c r="H1951" s="212"/>
      <c r="I1951" s="817"/>
    </row>
    <row r="1952">
      <c r="A1952" s="814"/>
      <c r="B1952" s="815"/>
      <c r="C1952" s="816"/>
      <c r="D1952" s="209"/>
      <c r="E1952" s="209"/>
      <c r="F1952" s="210"/>
      <c r="H1952" s="212"/>
      <c r="I1952" s="817"/>
    </row>
    <row r="1953">
      <c r="A1953" s="814"/>
      <c r="B1953" s="815"/>
      <c r="C1953" s="816"/>
      <c r="D1953" s="209"/>
      <c r="E1953" s="209"/>
      <c r="F1953" s="210"/>
      <c r="H1953" s="212"/>
      <c r="I1953" s="817"/>
    </row>
    <row r="1954">
      <c r="A1954" s="814"/>
      <c r="B1954" s="815"/>
      <c r="C1954" s="816"/>
      <c r="D1954" s="209"/>
      <c r="E1954" s="209"/>
      <c r="F1954" s="210"/>
      <c r="H1954" s="212"/>
      <c r="I1954" s="817"/>
    </row>
    <row r="1955">
      <c r="A1955" s="814"/>
      <c r="B1955" s="815"/>
      <c r="C1955" s="816"/>
      <c r="D1955" s="209"/>
      <c r="E1955" s="209"/>
      <c r="F1955" s="210"/>
      <c r="H1955" s="212"/>
      <c r="I1955" s="817"/>
    </row>
    <row r="1956">
      <c r="A1956" s="814"/>
      <c r="B1956" s="815"/>
      <c r="C1956" s="816"/>
      <c r="D1956" s="209"/>
      <c r="E1956" s="209"/>
      <c r="F1956" s="210"/>
      <c r="H1956" s="212"/>
      <c r="I1956" s="817"/>
    </row>
    <row r="1957">
      <c r="A1957" s="814"/>
      <c r="B1957" s="815"/>
      <c r="C1957" s="816"/>
      <c r="D1957" s="209"/>
      <c r="E1957" s="209"/>
      <c r="F1957" s="210"/>
      <c r="H1957" s="212"/>
      <c r="I1957" s="817"/>
    </row>
    <row r="1958">
      <c r="A1958" s="814"/>
      <c r="B1958" s="815"/>
      <c r="C1958" s="816"/>
      <c r="D1958" s="209"/>
      <c r="E1958" s="209"/>
      <c r="F1958" s="210"/>
      <c r="H1958" s="212"/>
      <c r="I1958" s="817"/>
    </row>
    <row r="1959">
      <c r="A1959" s="814"/>
      <c r="B1959" s="815"/>
      <c r="C1959" s="816"/>
      <c r="D1959" s="209"/>
      <c r="E1959" s="209"/>
      <c r="F1959" s="210"/>
      <c r="H1959" s="212"/>
      <c r="I1959" s="817"/>
    </row>
    <row r="1960">
      <c r="A1960" s="814"/>
      <c r="B1960" s="815"/>
      <c r="C1960" s="816"/>
      <c r="D1960" s="209"/>
      <c r="E1960" s="209"/>
      <c r="F1960" s="210"/>
      <c r="H1960" s="212"/>
      <c r="I1960" s="817"/>
    </row>
    <row r="1961">
      <c r="A1961" s="814"/>
      <c r="B1961" s="815"/>
      <c r="C1961" s="816"/>
      <c r="D1961" s="209"/>
      <c r="E1961" s="209"/>
      <c r="F1961" s="210"/>
      <c r="H1961" s="212"/>
      <c r="I1961" s="817"/>
    </row>
    <row r="1962">
      <c r="A1962" s="814"/>
      <c r="B1962" s="815"/>
      <c r="C1962" s="816"/>
      <c r="D1962" s="209"/>
      <c r="E1962" s="209"/>
      <c r="F1962" s="210"/>
      <c r="H1962" s="212"/>
      <c r="I1962" s="817"/>
    </row>
    <row r="1963">
      <c r="A1963" s="814"/>
      <c r="B1963" s="815"/>
      <c r="C1963" s="816"/>
      <c r="D1963" s="209"/>
      <c r="E1963" s="209"/>
      <c r="F1963" s="210"/>
      <c r="H1963" s="212"/>
      <c r="I1963" s="817"/>
    </row>
    <row r="1964">
      <c r="A1964" s="814"/>
      <c r="B1964" s="815"/>
      <c r="C1964" s="816"/>
      <c r="D1964" s="209"/>
      <c r="E1964" s="209"/>
      <c r="F1964" s="210"/>
      <c r="H1964" s="212"/>
      <c r="I1964" s="817"/>
    </row>
    <row r="1965">
      <c r="A1965" s="814"/>
      <c r="B1965" s="815"/>
      <c r="C1965" s="816"/>
      <c r="D1965" s="209"/>
      <c r="E1965" s="209"/>
      <c r="F1965" s="210"/>
      <c r="H1965" s="212"/>
      <c r="I1965" s="817"/>
    </row>
    <row r="1966">
      <c r="A1966" s="814"/>
      <c r="B1966" s="815"/>
      <c r="C1966" s="816"/>
      <c r="D1966" s="209"/>
      <c r="E1966" s="209"/>
      <c r="F1966" s="210"/>
      <c r="H1966" s="212"/>
      <c r="I1966" s="817"/>
    </row>
    <row r="1967">
      <c r="A1967" s="814"/>
      <c r="B1967" s="815"/>
      <c r="C1967" s="816"/>
      <c r="D1967" s="209"/>
      <c r="E1967" s="209"/>
      <c r="F1967" s="210"/>
      <c r="H1967" s="212"/>
      <c r="I1967" s="817"/>
    </row>
    <row r="1968">
      <c r="A1968" s="814"/>
      <c r="B1968" s="815"/>
      <c r="C1968" s="816"/>
      <c r="D1968" s="209"/>
      <c r="E1968" s="209"/>
      <c r="F1968" s="210"/>
      <c r="H1968" s="212"/>
      <c r="I1968" s="817"/>
    </row>
    <row r="1969">
      <c r="A1969" s="814"/>
      <c r="B1969" s="815"/>
      <c r="C1969" s="816"/>
      <c r="D1969" s="209"/>
      <c r="E1969" s="209"/>
      <c r="F1969" s="210"/>
      <c r="H1969" s="212"/>
      <c r="I1969" s="817"/>
    </row>
    <row r="1970">
      <c r="A1970" s="814"/>
      <c r="B1970" s="815"/>
      <c r="C1970" s="816"/>
      <c r="D1970" s="209"/>
      <c r="E1970" s="209"/>
      <c r="F1970" s="210"/>
      <c r="H1970" s="212"/>
      <c r="I1970" s="817"/>
    </row>
    <row r="1971">
      <c r="A1971" s="814"/>
      <c r="B1971" s="815"/>
      <c r="C1971" s="816"/>
      <c r="D1971" s="209"/>
      <c r="E1971" s="209"/>
      <c r="F1971" s="210"/>
      <c r="H1971" s="212"/>
      <c r="I1971" s="817"/>
    </row>
    <row r="1972">
      <c r="A1972" s="814"/>
      <c r="B1972" s="815"/>
      <c r="C1972" s="816"/>
      <c r="D1972" s="209"/>
      <c r="E1972" s="209"/>
      <c r="F1972" s="210"/>
      <c r="H1972" s="212"/>
      <c r="I1972" s="817"/>
    </row>
    <row r="1973">
      <c r="A1973" s="814"/>
      <c r="B1973" s="815"/>
      <c r="C1973" s="816"/>
      <c r="D1973" s="209"/>
      <c r="E1973" s="209"/>
      <c r="F1973" s="210"/>
      <c r="H1973" s="212"/>
      <c r="I1973" s="817"/>
    </row>
    <row r="1974">
      <c r="A1974" s="814"/>
      <c r="B1974" s="815"/>
      <c r="C1974" s="816"/>
      <c r="D1974" s="209"/>
      <c r="E1974" s="209"/>
      <c r="F1974" s="210"/>
      <c r="H1974" s="212"/>
      <c r="I1974" s="817"/>
    </row>
    <row r="1975">
      <c r="A1975" s="814"/>
      <c r="B1975" s="815"/>
      <c r="C1975" s="816"/>
      <c r="D1975" s="209"/>
      <c r="E1975" s="209"/>
      <c r="F1975" s="210"/>
      <c r="H1975" s="212"/>
      <c r="I1975" s="817"/>
    </row>
    <row r="1976">
      <c r="A1976" s="814"/>
      <c r="B1976" s="815"/>
      <c r="C1976" s="816"/>
      <c r="D1976" s="209"/>
      <c r="E1976" s="209"/>
      <c r="F1976" s="210"/>
      <c r="H1976" s="212"/>
      <c r="I1976" s="817"/>
    </row>
    <row r="1977">
      <c r="A1977" s="814"/>
      <c r="B1977" s="815"/>
      <c r="C1977" s="816"/>
      <c r="D1977" s="209"/>
      <c r="E1977" s="209"/>
      <c r="F1977" s="210"/>
      <c r="H1977" s="212"/>
      <c r="I1977" s="817"/>
    </row>
    <row r="1978">
      <c r="A1978" s="814"/>
      <c r="B1978" s="815"/>
      <c r="C1978" s="816"/>
      <c r="D1978" s="209"/>
      <c r="E1978" s="209"/>
      <c r="F1978" s="210"/>
      <c r="H1978" s="212"/>
      <c r="I1978" s="817"/>
    </row>
    <row r="1979">
      <c r="A1979" s="814"/>
      <c r="B1979" s="815"/>
      <c r="C1979" s="816"/>
      <c r="D1979" s="209"/>
      <c r="E1979" s="209"/>
      <c r="F1979" s="210"/>
      <c r="H1979" s="212"/>
      <c r="I1979" s="817"/>
    </row>
    <row r="1980">
      <c r="A1980" s="814"/>
      <c r="B1980" s="815"/>
      <c r="C1980" s="816"/>
      <c r="D1980" s="209"/>
      <c r="E1980" s="209"/>
      <c r="F1980" s="210"/>
      <c r="H1980" s="212"/>
      <c r="I1980" s="817"/>
    </row>
    <row r="1981">
      <c r="A1981" s="814"/>
      <c r="B1981" s="815"/>
      <c r="C1981" s="816"/>
      <c r="D1981" s="209"/>
      <c r="E1981" s="209"/>
      <c r="F1981" s="210"/>
      <c r="H1981" s="212"/>
      <c r="I1981" s="817"/>
    </row>
    <row r="1982">
      <c r="A1982" s="814"/>
      <c r="B1982" s="815"/>
      <c r="C1982" s="816"/>
      <c r="D1982" s="209"/>
      <c r="E1982" s="209"/>
      <c r="F1982" s="210"/>
      <c r="H1982" s="212"/>
      <c r="I1982" s="817"/>
    </row>
    <row r="1983">
      <c r="A1983" s="814"/>
      <c r="B1983" s="815"/>
      <c r="C1983" s="816"/>
      <c r="D1983" s="209"/>
      <c r="E1983" s="209"/>
      <c r="F1983" s="210"/>
      <c r="H1983" s="212"/>
      <c r="I1983" s="817"/>
    </row>
    <row r="1984">
      <c r="A1984" s="814"/>
      <c r="B1984" s="815"/>
      <c r="C1984" s="816"/>
      <c r="D1984" s="209"/>
      <c r="E1984" s="209"/>
      <c r="F1984" s="210"/>
      <c r="H1984" s="212"/>
      <c r="I1984" s="817"/>
    </row>
    <row r="1985">
      <c r="A1985" s="814"/>
      <c r="B1985" s="815"/>
      <c r="C1985" s="816"/>
      <c r="D1985" s="209"/>
      <c r="E1985" s="209"/>
      <c r="F1985" s="210"/>
      <c r="H1985" s="212"/>
      <c r="I1985" s="817"/>
    </row>
    <row r="1986">
      <c r="A1986" s="814"/>
      <c r="B1986" s="815"/>
      <c r="C1986" s="816"/>
      <c r="D1986" s="209"/>
      <c r="E1986" s="209"/>
      <c r="F1986" s="210"/>
      <c r="H1986" s="212"/>
      <c r="I1986" s="817"/>
    </row>
    <row r="1987">
      <c r="A1987" s="814"/>
      <c r="B1987" s="815"/>
      <c r="C1987" s="816"/>
      <c r="D1987" s="209"/>
      <c r="E1987" s="209"/>
      <c r="F1987" s="210"/>
      <c r="H1987" s="212"/>
      <c r="I1987" s="817"/>
    </row>
    <row r="1988">
      <c r="A1988" s="814"/>
      <c r="B1988" s="815"/>
      <c r="C1988" s="816"/>
      <c r="D1988" s="209"/>
      <c r="E1988" s="209"/>
      <c r="F1988" s="210"/>
      <c r="H1988" s="212"/>
      <c r="I1988" s="817"/>
    </row>
    <row r="1989">
      <c r="A1989" s="814"/>
      <c r="B1989" s="815"/>
      <c r="C1989" s="816"/>
      <c r="D1989" s="209"/>
      <c r="E1989" s="209"/>
      <c r="F1989" s="210"/>
      <c r="H1989" s="212"/>
      <c r="I1989" s="817"/>
    </row>
    <row r="1990">
      <c r="A1990" s="814"/>
      <c r="B1990" s="815"/>
      <c r="C1990" s="816"/>
      <c r="D1990" s="209"/>
      <c r="E1990" s="209"/>
      <c r="F1990" s="210"/>
      <c r="H1990" s="212"/>
      <c r="I1990" s="817"/>
    </row>
    <row r="1991">
      <c r="A1991" s="814"/>
      <c r="B1991" s="815"/>
      <c r="C1991" s="816"/>
      <c r="D1991" s="209"/>
      <c r="E1991" s="209"/>
      <c r="F1991" s="210"/>
      <c r="H1991" s="212"/>
      <c r="I1991" s="817"/>
    </row>
    <row r="1992">
      <c r="A1992" s="814"/>
      <c r="B1992" s="815"/>
      <c r="C1992" s="816"/>
      <c r="D1992" s="209"/>
      <c r="E1992" s="209"/>
      <c r="F1992" s="210"/>
      <c r="H1992" s="212"/>
      <c r="I1992" s="817"/>
    </row>
    <row r="1993">
      <c r="A1993" s="814"/>
      <c r="B1993" s="815"/>
      <c r="C1993" s="816"/>
      <c r="D1993" s="209"/>
      <c r="E1993" s="209"/>
      <c r="F1993" s="210"/>
      <c r="H1993" s="212"/>
      <c r="I1993" s="817"/>
    </row>
    <row r="1994">
      <c r="A1994" s="814"/>
      <c r="B1994" s="815"/>
      <c r="C1994" s="816"/>
      <c r="D1994" s="209"/>
      <c r="E1994" s="209"/>
      <c r="F1994" s="210"/>
      <c r="H1994" s="212"/>
      <c r="I1994" s="817"/>
    </row>
    <row r="1995">
      <c r="A1995" s="814"/>
      <c r="B1995" s="815"/>
      <c r="C1995" s="816"/>
      <c r="D1995" s="209"/>
      <c r="E1995" s="209"/>
      <c r="F1995" s="210"/>
      <c r="H1995" s="212"/>
      <c r="I1995" s="817"/>
    </row>
    <row r="1996">
      <c r="A1996" s="814"/>
      <c r="B1996" s="815"/>
      <c r="C1996" s="816"/>
      <c r="D1996" s="209"/>
      <c r="E1996" s="209"/>
      <c r="F1996" s="210"/>
      <c r="H1996" s="212"/>
      <c r="I1996" s="817"/>
    </row>
    <row r="1997">
      <c r="A1997" s="814"/>
      <c r="B1997" s="815"/>
      <c r="C1997" s="816"/>
      <c r="D1997" s="209"/>
      <c r="E1997" s="209"/>
      <c r="F1997" s="210"/>
      <c r="H1997" s="212"/>
      <c r="I1997" s="817"/>
    </row>
    <row r="1998">
      <c r="A1998" s="814"/>
      <c r="B1998" s="815"/>
      <c r="C1998" s="816"/>
      <c r="D1998" s="209"/>
      <c r="E1998" s="209"/>
      <c r="F1998" s="210"/>
      <c r="H1998" s="212"/>
      <c r="I1998" s="817"/>
    </row>
    <row r="1999">
      <c r="A1999" s="814"/>
      <c r="B1999" s="815"/>
      <c r="C1999" s="816"/>
      <c r="D1999" s="209"/>
      <c r="E1999" s="209"/>
      <c r="F1999" s="210"/>
      <c r="H1999" s="212"/>
      <c r="I1999" s="817"/>
    </row>
    <row r="2000">
      <c r="A2000" s="814"/>
      <c r="B2000" s="815"/>
      <c r="C2000" s="816"/>
      <c r="D2000" s="209"/>
      <c r="E2000" s="209"/>
      <c r="F2000" s="210"/>
      <c r="H2000" s="212"/>
      <c r="I2000" s="817"/>
    </row>
    <row r="2001">
      <c r="A2001" s="814"/>
      <c r="B2001" s="815"/>
      <c r="C2001" s="816"/>
      <c r="D2001" s="209"/>
      <c r="E2001" s="209"/>
      <c r="F2001" s="210"/>
      <c r="H2001" s="212"/>
      <c r="I2001" s="817"/>
    </row>
    <row r="2002">
      <c r="A2002" s="814"/>
      <c r="B2002" s="815"/>
      <c r="C2002" s="816"/>
      <c r="D2002" s="209"/>
      <c r="E2002" s="209"/>
      <c r="F2002" s="210"/>
      <c r="H2002" s="212"/>
      <c r="I2002" s="817"/>
    </row>
    <row r="2003">
      <c r="A2003" s="814"/>
      <c r="B2003" s="815"/>
      <c r="C2003" s="816"/>
      <c r="D2003" s="209"/>
      <c r="E2003" s="209"/>
      <c r="F2003" s="210"/>
      <c r="H2003" s="212"/>
      <c r="I2003" s="817"/>
    </row>
    <row r="2004">
      <c r="A2004" s="814"/>
      <c r="B2004" s="815"/>
      <c r="C2004" s="816"/>
      <c r="D2004" s="209"/>
      <c r="E2004" s="209"/>
      <c r="F2004" s="210"/>
      <c r="H2004" s="212"/>
      <c r="I2004" s="817"/>
    </row>
    <row r="2005">
      <c r="A2005" s="814"/>
      <c r="B2005" s="815"/>
      <c r="C2005" s="816"/>
      <c r="D2005" s="209"/>
      <c r="E2005" s="209"/>
      <c r="F2005" s="210"/>
      <c r="H2005" s="212"/>
      <c r="I2005" s="817"/>
    </row>
    <row r="2006">
      <c r="A2006" s="814"/>
      <c r="B2006" s="815"/>
      <c r="C2006" s="816"/>
      <c r="D2006" s="209"/>
      <c r="E2006" s="209"/>
      <c r="F2006" s="210"/>
      <c r="H2006" s="212"/>
      <c r="I2006" s="817"/>
    </row>
    <row r="2007">
      <c r="A2007" s="814"/>
      <c r="B2007" s="815"/>
      <c r="C2007" s="816"/>
      <c r="D2007" s="209"/>
      <c r="E2007" s="209"/>
      <c r="F2007" s="210"/>
      <c r="H2007" s="212"/>
      <c r="I2007" s="817"/>
    </row>
    <row r="2008">
      <c r="A2008" s="814"/>
      <c r="B2008" s="815"/>
      <c r="C2008" s="816"/>
      <c r="D2008" s="209"/>
      <c r="E2008" s="209"/>
      <c r="F2008" s="210"/>
      <c r="H2008" s="212"/>
      <c r="I2008" s="817"/>
    </row>
    <row r="2009">
      <c r="A2009" s="814"/>
      <c r="B2009" s="815"/>
      <c r="C2009" s="816"/>
      <c r="D2009" s="209"/>
      <c r="E2009" s="209"/>
      <c r="F2009" s="210"/>
      <c r="H2009" s="212"/>
      <c r="I2009" s="817"/>
    </row>
    <row r="2010">
      <c r="A2010" s="814"/>
      <c r="B2010" s="815"/>
      <c r="C2010" s="816"/>
      <c r="D2010" s="209"/>
      <c r="E2010" s="209"/>
      <c r="F2010" s="210"/>
      <c r="H2010" s="212"/>
      <c r="I2010" s="817"/>
    </row>
    <row r="2011">
      <c r="A2011" s="814"/>
      <c r="B2011" s="815"/>
      <c r="C2011" s="816"/>
      <c r="D2011" s="209"/>
      <c r="E2011" s="209"/>
      <c r="F2011" s="210"/>
      <c r="H2011" s="212"/>
      <c r="I2011" s="817"/>
    </row>
    <row r="2012">
      <c r="A2012" s="814"/>
      <c r="B2012" s="815"/>
      <c r="C2012" s="816"/>
      <c r="D2012" s="209"/>
      <c r="E2012" s="209"/>
      <c r="F2012" s="210"/>
      <c r="H2012" s="212"/>
      <c r="I2012" s="817"/>
    </row>
    <row r="2013">
      <c r="A2013" s="814"/>
      <c r="B2013" s="815"/>
      <c r="C2013" s="816"/>
      <c r="D2013" s="209"/>
      <c r="E2013" s="209"/>
      <c r="F2013" s="210"/>
      <c r="H2013" s="212"/>
      <c r="I2013" s="817"/>
    </row>
    <row r="2014">
      <c r="A2014" s="814"/>
      <c r="B2014" s="815"/>
      <c r="C2014" s="816"/>
      <c r="D2014" s="209"/>
      <c r="E2014" s="209"/>
      <c r="F2014" s="210"/>
      <c r="H2014" s="212"/>
      <c r="I2014" s="817"/>
    </row>
    <row r="2015">
      <c r="A2015" s="814"/>
      <c r="B2015" s="815"/>
      <c r="C2015" s="816"/>
      <c r="D2015" s="209"/>
      <c r="E2015" s="209"/>
      <c r="F2015" s="210"/>
      <c r="H2015" s="212"/>
      <c r="I2015" s="817"/>
    </row>
    <row r="2016">
      <c r="A2016" s="814"/>
      <c r="B2016" s="815"/>
      <c r="C2016" s="816"/>
      <c r="D2016" s="209"/>
      <c r="E2016" s="209"/>
      <c r="F2016" s="210"/>
      <c r="H2016" s="212"/>
      <c r="I2016" s="817"/>
    </row>
    <row r="2017">
      <c r="A2017" s="814"/>
      <c r="B2017" s="815"/>
      <c r="C2017" s="816"/>
      <c r="D2017" s="209"/>
      <c r="E2017" s="209"/>
      <c r="F2017" s="210"/>
      <c r="H2017" s="212"/>
      <c r="I2017" s="817"/>
    </row>
    <row r="2018">
      <c r="A2018" s="814"/>
      <c r="B2018" s="815"/>
      <c r="C2018" s="816"/>
      <c r="D2018" s="209"/>
      <c r="E2018" s="209"/>
      <c r="F2018" s="210"/>
      <c r="H2018" s="212"/>
      <c r="I2018" s="817"/>
    </row>
    <row r="2019">
      <c r="A2019" s="814"/>
      <c r="B2019" s="815"/>
      <c r="C2019" s="816"/>
      <c r="D2019" s="209"/>
      <c r="E2019" s="209"/>
      <c r="F2019" s="210"/>
      <c r="H2019" s="212"/>
      <c r="I2019" s="817"/>
    </row>
    <row r="2020">
      <c r="A2020" s="814"/>
      <c r="B2020" s="815"/>
      <c r="C2020" s="816"/>
      <c r="D2020" s="209"/>
      <c r="E2020" s="209"/>
      <c r="F2020" s="210"/>
      <c r="H2020" s="212"/>
      <c r="I2020" s="817"/>
    </row>
    <row r="2021">
      <c r="A2021" s="814"/>
      <c r="B2021" s="815"/>
      <c r="C2021" s="816"/>
      <c r="D2021" s="209"/>
      <c r="E2021" s="209"/>
      <c r="F2021" s="210"/>
      <c r="H2021" s="212"/>
      <c r="I2021" s="817"/>
    </row>
    <row r="2022">
      <c r="A2022" s="814"/>
      <c r="B2022" s="815"/>
      <c r="C2022" s="816"/>
      <c r="D2022" s="209"/>
      <c r="E2022" s="209"/>
      <c r="F2022" s="210"/>
      <c r="H2022" s="212"/>
      <c r="I2022" s="817"/>
    </row>
    <row r="2023">
      <c r="A2023" s="814"/>
      <c r="B2023" s="815"/>
      <c r="C2023" s="816"/>
      <c r="D2023" s="209"/>
      <c r="E2023" s="209"/>
      <c r="F2023" s="210"/>
      <c r="H2023" s="212"/>
      <c r="I2023" s="817"/>
    </row>
    <row r="2024">
      <c r="A2024" s="814"/>
      <c r="B2024" s="815"/>
      <c r="C2024" s="816"/>
      <c r="D2024" s="209"/>
      <c r="E2024" s="209"/>
      <c r="F2024" s="210"/>
      <c r="H2024" s="212"/>
      <c r="I2024" s="817"/>
    </row>
    <row r="2025">
      <c r="A2025" s="814"/>
      <c r="B2025" s="815"/>
      <c r="C2025" s="816"/>
      <c r="D2025" s="209"/>
      <c r="E2025" s="209"/>
      <c r="F2025" s="210"/>
      <c r="H2025" s="212"/>
      <c r="I2025" s="817"/>
    </row>
    <row r="2026">
      <c r="A2026" s="814"/>
      <c r="B2026" s="815"/>
      <c r="C2026" s="816"/>
      <c r="D2026" s="209"/>
      <c r="E2026" s="209"/>
      <c r="F2026" s="210"/>
      <c r="H2026" s="212"/>
      <c r="I2026" s="817"/>
    </row>
    <row r="2027">
      <c r="A2027" s="814"/>
      <c r="B2027" s="815"/>
      <c r="C2027" s="816"/>
      <c r="D2027" s="209"/>
      <c r="E2027" s="209"/>
      <c r="F2027" s="210"/>
      <c r="H2027" s="212"/>
      <c r="I2027" s="817"/>
    </row>
    <row r="2028">
      <c r="A2028" s="814"/>
      <c r="B2028" s="815"/>
      <c r="C2028" s="816"/>
      <c r="D2028" s="209"/>
      <c r="E2028" s="209"/>
      <c r="F2028" s="210"/>
      <c r="H2028" s="212"/>
      <c r="I2028" s="817"/>
    </row>
    <row r="2029">
      <c r="A2029" s="814"/>
      <c r="B2029" s="815"/>
      <c r="C2029" s="816"/>
      <c r="D2029" s="209"/>
      <c r="E2029" s="209"/>
      <c r="F2029" s="210"/>
      <c r="H2029" s="212"/>
      <c r="I2029" s="817"/>
    </row>
    <row r="2030">
      <c r="A2030" s="814"/>
      <c r="B2030" s="815"/>
      <c r="C2030" s="816"/>
      <c r="D2030" s="209"/>
      <c r="E2030" s="209"/>
      <c r="F2030" s="210"/>
      <c r="H2030" s="212"/>
      <c r="I2030" s="817"/>
    </row>
    <row r="2031">
      <c r="A2031" s="814"/>
      <c r="B2031" s="815"/>
      <c r="C2031" s="816"/>
      <c r="D2031" s="209"/>
      <c r="E2031" s="209"/>
      <c r="F2031" s="210"/>
      <c r="H2031" s="212"/>
      <c r="I2031" s="817"/>
    </row>
    <row r="2032">
      <c r="A2032" s="814"/>
      <c r="B2032" s="815"/>
      <c r="C2032" s="816"/>
      <c r="D2032" s="209"/>
      <c r="E2032" s="209"/>
      <c r="F2032" s="210"/>
      <c r="H2032" s="212"/>
      <c r="I2032" s="817"/>
    </row>
    <row r="2033">
      <c r="A2033" s="814"/>
      <c r="B2033" s="815"/>
      <c r="C2033" s="816"/>
      <c r="D2033" s="209"/>
      <c r="E2033" s="209"/>
      <c r="F2033" s="210"/>
      <c r="H2033" s="212"/>
      <c r="I2033" s="817"/>
    </row>
    <row r="2034">
      <c r="A2034" s="814"/>
      <c r="B2034" s="815"/>
      <c r="C2034" s="816"/>
      <c r="D2034" s="209"/>
      <c r="E2034" s="209"/>
      <c r="F2034" s="210"/>
      <c r="H2034" s="212"/>
      <c r="I2034" s="817"/>
    </row>
    <row r="2035">
      <c r="A2035" s="814"/>
      <c r="B2035" s="815"/>
      <c r="C2035" s="816"/>
      <c r="D2035" s="209"/>
      <c r="E2035" s="209"/>
      <c r="F2035" s="210"/>
      <c r="H2035" s="212"/>
      <c r="I2035" s="817"/>
    </row>
    <row r="2036">
      <c r="A2036" s="814"/>
      <c r="B2036" s="815"/>
      <c r="C2036" s="816"/>
      <c r="D2036" s="209"/>
      <c r="E2036" s="209"/>
      <c r="F2036" s="210"/>
      <c r="H2036" s="212"/>
      <c r="I2036" s="817"/>
    </row>
    <row r="2037">
      <c r="A2037" s="814"/>
      <c r="B2037" s="815"/>
      <c r="C2037" s="816"/>
      <c r="D2037" s="209"/>
      <c r="E2037" s="209"/>
      <c r="F2037" s="210"/>
      <c r="H2037" s="212"/>
      <c r="I2037" s="817"/>
    </row>
    <row r="2038">
      <c r="A2038" s="814"/>
      <c r="B2038" s="815"/>
      <c r="C2038" s="816"/>
      <c r="D2038" s="209"/>
      <c r="E2038" s="209"/>
      <c r="F2038" s="210"/>
      <c r="H2038" s="212"/>
      <c r="I2038" s="817"/>
    </row>
    <row r="2039">
      <c r="A2039" s="814"/>
      <c r="B2039" s="815"/>
      <c r="C2039" s="816"/>
      <c r="D2039" s="209"/>
      <c r="E2039" s="209"/>
      <c r="F2039" s="210"/>
      <c r="H2039" s="212"/>
      <c r="I2039" s="817"/>
    </row>
    <row r="2040">
      <c r="A2040" s="814"/>
      <c r="B2040" s="815"/>
      <c r="C2040" s="816"/>
      <c r="D2040" s="209"/>
      <c r="E2040" s="209"/>
      <c r="F2040" s="210"/>
      <c r="H2040" s="212"/>
      <c r="I2040" s="817"/>
    </row>
    <row r="2041">
      <c r="A2041" s="814"/>
      <c r="B2041" s="815"/>
      <c r="C2041" s="816"/>
      <c r="D2041" s="209"/>
      <c r="E2041" s="209"/>
      <c r="F2041" s="210"/>
      <c r="H2041" s="212"/>
      <c r="I2041" s="817"/>
    </row>
    <row r="2042">
      <c r="A2042" s="814"/>
      <c r="B2042" s="815"/>
      <c r="C2042" s="816"/>
      <c r="D2042" s="209"/>
      <c r="E2042" s="209"/>
      <c r="F2042" s="210"/>
      <c r="H2042" s="212"/>
      <c r="I2042" s="817"/>
    </row>
  </sheetData>
  <mergeCells count="1001">
    <mergeCell ref="B569:B573"/>
    <mergeCell ref="C569:C573"/>
    <mergeCell ref="A561:A564"/>
    <mergeCell ref="B561:B564"/>
    <mergeCell ref="C561:C564"/>
    <mergeCell ref="A565:A568"/>
    <mergeCell ref="B565:B568"/>
    <mergeCell ref="C565:C568"/>
    <mergeCell ref="A569:A573"/>
    <mergeCell ref="B582:B586"/>
    <mergeCell ref="C582:C586"/>
    <mergeCell ref="A574:A577"/>
    <mergeCell ref="B574:B577"/>
    <mergeCell ref="C574:C577"/>
    <mergeCell ref="A578:A581"/>
    <mergeCell ref="B578:B581"/>
    <mergeCell ref="C578:C581"/>
    <mergeCell ref="A582:A586"/>
    <mergeCell ref="B598:B603"/>
    <mergeCell ref="C598:C603"/>
    <mergeCell ref="A587:A590"/>
    <mergeCell ref="B587:B590"/>
    <mergeCell ref="C587:C590"/>
    <mergeCell ref="A591:A597"/>
    <mergeCell ref="B591:B597"/>
    <mergeCell ref="C591:C597"/>
    <mergeCell ref="A598:A603"/>
    <mergeCell ref="B615:B620"/>
    <mergeCell ref="C615:C620"/>
    <mergeCell ref="A604:A608"/>
    <mergeCell ref="B604:B608"/>
    <mergeCell ref="C604:C608"/>
    <mergeCell ref="A609:A614"/>
    <mergeCell ref="B609:B614"/>
    <mergeCell ref="C609:C614"/>
    <mergeCell ref="A615:A620"/>
    <mergeCell ref="B632:B635"/>
    <mergeCell ref="C632:C635"/>
    <mergeCell ref="A621:A626"/>
    <mergeCell ref="B621:B626"/>
    <mergeCell ref="C621:C626"/>
    <mergeCell ref="A627:A631"/>
    <mergeCell ref="B627:B631"/>
    <mergeCell ref="C627:C631"/>
    <mergeCell ref="A632:A635"/>
    <mergeCell ref="B645:B648"/>
    <mergeCell ref="C645:C648"/>
    <mergeCell ref="A636:A639"/>
    <mergeCell ref="B636:B639"/>
    <mergeCell ref="C636:C639"/>
    <mergeCell ref="A640:A644"/>
    <mergeCell ref="B640:B644"/>
    <mergeCell ref="C640:C644"/>
    <mergeCell ref="A645:A648"/>
    <mergeCell ref="B659:B663"/>
    <mergeCell ref="C659:C663"/>
    <mergeCell ref="A649:A652"/>
    <mergeCell ref="B649:B652"/>
    <mergeCell ref="C649:C652"/>
    <mergeCell ref="A653:A658"/>
    <mergeCell ref="B653:B658"/>
    <mergeCell ref="C653:C658"/>
    <mergeCell ref="A659:A663"/>
    <mergeCell ref="B364:B370"/>
    <mergeCell ref="C364:C370"/>
    <mergeCell ref="A352:A357"/>
    <mergeCell ref="B352:B357"/>
    <mergeCell ref="C352:C357"/>
    <mergeCell ref="A358:A363"/>
    <mergeCell ref="B358:B363"/>
    <mergeCell ref="C358:C363"/>
    <mergeCell ref="A364:A370"/>
    <mergeCell ref="B856:B859"/>
    <mergeCell ref="C856:C859"/>
    <mergeCell ref="A849:A851"/>
    <mergeCell ref="B849:B851"/>
    <mergeCell ref="C849:C851"/>
    <mergeCell ref="A852:A855"/>
    <mergeCell ref="B852:B855"/>
    <mergeCell ref="C852:C855"/>
    <mergeCell ref="A856:A859"/>
    <mergeCell ref="B871:B873"/>
    <mergeCell ref="C871:C873"/>
    <mergeCell ref="A860:A864"/>
    <mergeCell ref="B860:B864"/>
    <mergeCell ref="C860:C864"/>
    <mergeCell ref="A865:A870"/>
    <mergeCell ref="B865:B870"/>
    <mergeCell ref="C865:C870"/>
    <mergeCell ref="A871:A873"/>
    <mergeCell ref="B880:B882"/>
    <mergeCell ref="C880:C882"/>
    <mergeCell ref="A874:A876"/>
    <mergeCell ref="B874:B876"/>
    <mergeCell ref="C874:C876"/>
    <mergeCell ref="A877:A879"/>
    <mergeCell ref="B877:B879"/>
    <mergeCell ref="C877:C879"/>
    <mergeCell ref="A880:A882"/>
    <mergeCell ref="B80:B85"/>
    <mergeCell ref="C80:C85"/>
    <mergeCell ref="A65:A72"/>
    <mergeCell ref="B65:B72"/>
    <mergeCell ref="C65:C72"/>
    <mergeCell ref="A73:A79"/>
    <mergeCell ref="B73:B79"/>
    <mergeCell ref="C73:C79"/>
    <mergeCell ref="A80:A85"/>
    <mergeCell ref="B98:B103"/>
    <mergeCell ref="C98:C103"/>
    <mergeCell ref="A86:A91"/>
    <mergeCell ref="B86:B91"/>
    <mergeCell ref="C86:C91"/>
    <mergeCell ref="A92:A97"/>
    <mergeCell ref="B92:B97"/>
    <mergeCell ref="C92:C97"/>
    <mergeCell ref="A98:A103"/>
    <mergeCell ref="B114:B120"/>
    <mergeCell ref="C114:C120"/>
    <mergeCell ref="A104:A109"/>
    <mergeCell ref="B104:B109"/>
    <mergeCell ref="C104:C109"/>
    <mergeCell ref="A110:A113"/>
    <mergeCell ref="B110:B113"/>
    <mergeCell ref="C110:C113"/>
    <mergeCell ref="A114:A120"/>
    <mergeCell ref="A883:A889"/>
    <mergeCell ref="B883:B889"/>
    <mergeCell ref="C883:C886"/>
    <mergeCell ref="C887:C889"/>
    <mergeCell ref="A890:A892"/>
    <mergeCell ref="B890:B892"/>
    <mergeCell ref="C890:C892"/>
    <mergeCell ref="B939:B940"/>
    <mergeCell ref="C939:C940"/>
    <mergeCell ref="A929:A932"/>
    <mergeCell ref="B929:B932"/>
    <mergeCell ref="C929:C932"/>
    <mergeCell ref="A933:A938"/>
    <mergeCell ref="B933:B938"/>
    <mergeCell ref="C933:C938"/>
    <mergeCell ref="A939:A940"/>
    <mergeCell ref="B1007:B1009"/>
    <mergeCell ref="C1007:C1009"/>
    <mergeCell ref="A1001:A1003"/>
    <mergeCell ref="B1001:B1003"/>
    <mergeCell ref="C1001:C1003"/>
    <mergeCell ref="A1004:A1006"/>
    <mergeCell ref="B1004:B1006"/>
    <mergeCell ref="C1004:C1006"/>
    <mergeCell ref="A1007:A1009"/>
    <mergeCell ref="B1015:B1017"/>
    <mergeCell ref="C1015:C1017"/>
    <mergeCell ref="A1010:A1012"/>
    <mergeCell ref="B1010:B1012"/>
    <mergeCell ref="C1010:C1012"/>
    <mergeCell ref="A1013:A1014"/>
    <mergeCell ref="B1013:B1014"/>
    <mergeCell ref="C1013:C1014"/>
    <mergeCell ref="A1015:A1017"/>
    <mergeCell ref="B1024:B1026"/>
    <mergeCell ref="C1024:C1026"/>
    <mergeCell ref="A1018:A1020"/>
    <mergeCell ref="B1018:B1020"/>
    <mergeCell ref="C1018:C1020"/>
    <mergeCell ref="A1021:A1023"/>
    <mergeCell ref="B1021:B1023"/>
    <mergeCell ref="C1021:C1023"/>
    <mergeCell ref="A1024:A1026"/>
    <mergeCell ref="B1033:B1035"/>
    <mergeCell ref="C1033:C1035"/>
    <mergeCell ref="A1027:A1029"/>
    <mergeCell ref="B1027:B1029"/>
    <mergeCell ref="C1027:C1029"/>
    <mergeCell ref="A1030:A1032"/>
    <mergeCell ref="B1030:B1032"/>
    <mergeCell ref="C1030:C1032"/>
    <mergeCell ref="A1033:A1035"/>
    <mergeCell ref="B1043:B1046"/>
    <mergeCell ref="C1043:C1046"/>
    <mergeCell ref="A1036:A1039"/>
    <mergeCell ref="B1036:B1039"/>
    <mergeCell ref="C1036:C1039"/>
    <mergeCell ref="A1040:A1042"/>
    <mergeCell ref="B1040:B1042"/>
    <mergeCell ref="C1040:C1042"/>
    <mergeCell ref="A1043:A1046"/>
    <mergeCell ref="B1054:B1057"/>
    <mergeCell ref="C1054:C1057"/>
    <mergeCell ref="A1047:A1049"/>
    <mergeCell ref="B1047:B1049"/>
    <mergeCell ref="C1047:C1049"/>
    <mergeCell ref="A1050:A1053"/>
    <mergeCell ref="B1050:B1053"/>
    <mergeCell ref="C1050:C1053"/>
    <mergeCell ref="A1054:A1057"/>
    <mergeCell ref="B1065:B1068"/>
    <mergeCell ref="C1065:C1068"/>
    <mergeCell ref="A1058:A1059"/>
    <mergeCell ref="B1058:B1059"/>
    <mergeCell ref="C1058:C1059"/>
    <mergeCell ref="A1060:A1064"/>
    <mergeCell ref="B1060:B1064"/>
    <mergeCell ref="C1060:C1064"/>
    <mergeCell ref="A1065:A1068"/>
    <mergeCell ref="B1076:B1079"/>
    <mergeCell ref="C1076:C1079"/>
    <mergeCell ref="A1069:A1072"/>
    <mergeCell ref="B1069:B1072"/>
    <mergeCell ref="C1069:C1072"/>
    <mergeCell ref="A1073:A1075"/>
    <mergeCell ref="B1073:B1075"/>
    <mergeCell ref="C1073:C1075"/>
    <mergeCell ref="A1076:A1079"/>
    <mergeCell ref="B997:B1000"/>
    <mergeCell ref="C997:C1000"/>
    <mergeCell ref="A989:A991"/>
    <mergeCell ref="B989:B991"/>
    <mergeCell ref="C989:C991"/>
    <mergeCell ref="A992:A996"/>
    <mergeCell ref="B992:B996"/>
    <mergeCell ref="C992:C996"/>
    <mergeCell ref="A997:A1000"/>
    <mergeCell ref="B1087:B1091"/>
    <mergeCell ref="C1087:C1091"/>
    <mergeCell ref="A1080:A1082"/>
    <mergeCell ref="B1080:B1082"/>
    <mergeCell ref="C1080:C1082"/>
    <mergeCell ref="A1083:A1086"/>
    <mergeCell ref="B1083:B1086"/>
    <mergeCell ref="C1083:C1086"/>
    <mergeCell ref="A1087:A1091"/>
    <mergeCell ref="B1100:B1102"/>
    <mergeCell ref="C1100:C1102"/>
    <mergeCell ref="A1092:A1094"/>
    <mergeCell ref="B1092:B1094"/>
    <mergeCell ref="C1092:C1094"/>
    <mergeCell ref="A1095:A1099"/>
    <mergeCell ref="B1095:B1099"/>
    <mergeCell ref="C1095:C1099"/>
    <mergeCell ref="A1100:A1102"/>
    <mergeCell ref="B1110:B1113"/>
    <mergeCell ref="C1110:C1113"/>
    <mergeCell ref="A1103:A1105"/>
    <mergeCell ref="B1103:B1105"/>
    <mergeCell ref="C1103:C1105"/>
    <mergeCell ref="A1106:A1109"/>
    <mergeCell ref="B1106:B1109"/>
    <mergeCell ref="C1106:C1109"/>
    <mergeCell ref="A1110:A1113"/>
    <mergeCell ref="B1133:B1136"/>
    <mergeCell ref="C1133:C1136"/>
    <mergeCell ref="A1126:A1128"/>
    <mergeCell ref="B1126:B1128"/>
    <mergeCell ref="C1126:C1128"/>
    <mergeCell ref="A1129:A1132"/>
    <mergeCell ref="B1129:B1132"/>
    <mergeCell ref="C1129:C1132"/>
    <mergeCell ref="A1133:A1136"/>
    <mergeCell ref="B1143:B1145"/>
    <mergeCell ref="C1143:C1145"/>
    <mergeCell ref="A1137:A1139"/>
    <mergeCell ref="B1137:B1139"/>
    <mergeCell ref="C1137:C1139"/>
    <mergeCell ref="A1140:A1142"/>
    <mergeCell ref="B1140:B1142"/>
    <mergeCell ref="C1140:C1142"/>
    <mergeCell ref="A1143:A1145"/>
    <mergeCell ref="B1152:B1156"/>
    <mergeCell ref="C1152:C1156"/>
    <mergeCell ref="A1146:A1148"/>
    <mergeCell ref="B1146:B1148"/>
    <mergeCell ref="C1146:C1148"/>
    <mergeCell ref="A1149:A1151"/>
    <mergeCell ref="B1149:B1151"/>
    <mergeCell ref="C1149:C1151"/>
    <mergeCell ref="A1152:A1156"/>
    <mergeCell ref="B1121:B1125"/>
    <mergeCell ref="C1121:C1125"/>
    <mergeCell ref="A1114:A1116"/>
    <mergeCell ref="B1114:B1116"/>
    <mergeCell ref="C1114:C1116"/>
    <mergeCell ref="A1117:A1120"/>
    <mergeCell ref="B1117:B1120"/>
    <mergeCell ref="C1117:C1120"/>
    <mergeCell ref="A1121:A1125"/>
    <mergeCell ref="B1175:B1177"/>
    <mergeCell ref="C1175:C1177"/>
    <mergeCell ref="A1169:A1171"/>
    <mergeCell ref="B1169:B1171"/>
    <mergeCell ref="C1169:C1171"/>
    <mergeCell ref="A1172:A1174"/>
    <mergeCell ref="B1172:B1174"/>
    <mergeCell ref="C1172:C1174"/>
    <mergeCell ref="A1175:A1177"/>
    <mergeCell ref="B1185:B1187"/>
    <mergeCell ref="C1185:C1187"/>
    <mergeCell ref="A1178:A1180"/>
    <mergeCell ref="B1178:B1180"/>
    <mergeCell ref="C1178:C1180"/>
    <mergeCell ref="A1181:A1184"/>
    <mergeCell ref="B1181:B1184"/>
    <mergeCell ref="C1181:C1184"/>
    <mergeCell ref="A1185:A1187"/>
    <mergeCell ref="B1194:B1196"/>
    <mergeCell ref="C1194:C1196"/>
    <mergeCell ref="A1188:A1190"/>
    <mergeCell ref="B1188:B1190"/>
    <mergeCell ref="C1188:C1190"/>
    <mergeCell ref="A1191:A1193"/>
    <mergeCell ref="B1191:B1193"/>
    <mergeCell ref="C1191:C1193"/>
    <mergeCell ref="A1194:A1196"/>
    <mergeCell ref="B1203:B1205"/>
    <mergeCell ref="C1203:C1205"/>
    <mergeCell ref="D1207:D1208"/>
    <mergeCell ref="E1207:E1208"/>
    <mergeCell ref="F1207:F1208"/>
    <mergeCell ref="G1207:G1208"/>
    <mergeCell ref="H1207:H1208"/>
    <mergeCell ref="I1207:I1208"/>
    <mergeCell ref="A1197:A1199"/>
    <mergeCell ref="B1197:B1199"/>
    <mergeCell ref="C1197:C1199"/>
    <mergeCell ref="A1200:A1202"/>
    <mergeCell ref="B1200:B1202"/>
    <mergeCell ref="C1200:C1202"/>
    <mergeCell ref="A1203:A1205"/>
    <mergeCell ref="B1212:B1213"/>
    <mergeCell ref="C1212:C1213"/>
    <mergeCell ref="A1206:A1208"/>
    <mergeCell ref="B1206:B1208"/>
    <mergeCell ref="C1206:C1208"/>
    <mergeCell ref="A1209:A1211"/>
    <mergeCell ref="B1209:B1211"/>
    <mergeCell ref="C1209:C1211"/>
    <mergeCell ref="A1212:A1213"/>
    <mergeCell ref="B1219:B1222"/>
    <mergeCell ref="C1219:C1222"/>
    <mergeCell ref="A1214:A1216"/>
    <mergeCell ref="B1214:B1216"/>
    <mergeCell ref="C1214:C1216"/>
    <mergeCell ref="A1217:A1218"/>
    <mergeCell ref="B1217:B1218"/>
    <mergeCell ref="C1217:C1218"/>
    <mergeCell ref="A1219:A1222"/>
    <mergeCell ref="B1165:B1168"/>
    <mergeCell ref="C1165:C1168"/>
    <mergeCell ref="A1157:A1160"/>
    <mergeCell ref="B1157:B1160"/>
    <mergeCell ref="C1157:C1160"/>
    <mergeCell ref="A1161:A1164"/>
    <mergeCell ref="B1161:B1164"/>
    <mergeCell ref="C1161:C1164"/>
    <mergeCell ref="A1165:A1168"/>
    <mergeCell ref="B1282:B1283"/>
    <mergeCell ref="C1282:C1283"/>
    <mergeCell ref="A1278:A1279"/>
    <mergeCell ref="B1278:B1279"/>
    <mergeCell ref="C1278:C1279"/>
    <mergeCell ref="A1280:A1281"/>
    <mergeCell ref="B1280:B1281"/>
    <mergeCell ref="C1280:C1281"/>
    <mergeCell ref="A1282:A1283"/>
    <mergeCell ref="B1289:B1290"/>
    <mergeCell ref="C1289:C1290"/>
    <mergeCell ref="A1284:A1286"/>
    <mergeCell ref="B1284:B1286"/>
    <mergeCell ref="C1284:C1286"/>
    <mergeCell ref="A1287:A1288"/>
    <mergeCell ref="B1287:B1288"/>
    <mergeCell ref="C1287:C1288"/>
    <mergeCell ref="A1289:A1290"/>
    <mergeCell ref="B1296:B1297"/>
    <mergeCell ref="C1296:C1297"/>
    <mergeCell ref="A1291:A1292"/>
    <mergeCell ref="B1291:B1292"/>
    <mergeCell ref="C1291:C1292"/>
    <mergeCell ref="A1294:A1295"/>
    <mergeCell ref="B1294:B1295"/>
    <mergeCell ref="C1294:C1295"/>
    <mergeCell ref="A1296:A1297"/>
    <mergeCell ref="B1305:B1306"/>
    <mergeCell ref="C1305:C1306"/>
    <mergeCell ref="A1298:A1299"/>
    <mergeCell ref="B1298:B1299"/>
    <mergeCell ref="C1298:C1299"/>
    <mergeCell ref="A1303:A1304"/>
    <mergeCell ref="B1303:B1304"/>
    <mergeCell ref="C1303:C1304"/>
    <mergeCell ref="A1305:A1306"/>
    <mergeCell ref="B1312:B1313"/>
    <mergeCell ref="C1312:C1313"/>
    <mergeCell ref="A1307:A1308"/>
    <mergeCell ref="B1307:B1308"/>
    <mergeCell ref="C1307:C1308"/>
    <mergeCell ref="A1309:A1310"/>
    <mergeCell ref="B1309:B1310"/>
    <mergeCell ref="C1309:C1310"/>
    <mergeCell ref="A1312:A1313"/>
    <mergeCell ref="B961:B964"/>
    <mergeCell ref="C961:C964"/>
    <mergeCell ref="A954:A957"/>
    <mergeCell ref="B954:B957"/>
    <mergeCell ref="C954:C957"/>
    <mergeCell ref="A958:A960"/>
    <mergeCell ref="B958:B960"/>
    <mergeCell ref="C958:C960"/>
    <mergeCell ref="A961:A964"/>
    <mergeCell ref="B976:B978"/>
    <mergeCell ref="C976:C978"/>
    <mergeCell ref="A970:A972"/>
    <mergeCell ref="B970:B972"/>
    <mergeCell ref="C970:C972"/>
    <mergeCell ref="A973:A975"/>
    <mergeCell ref="B973:B975"/>
    <mergeCell ref="C973:C975"/>
    <mergeCell ref="A976:A978"/>
    <mergeCell ref="B987:B988"/>
    <mergeCell ref="C987:C988"/>
    <mergeCell ref="A979:A982"/>
    <mergeCell ref="B979:B982"/>
    <mergeCell ref="C979:C982"/>
    <mergeCell ref="A983:A985"/>
    <mergeCell ref="B983:B985"/>
    <mergeCell ref="C983:C985"/>
    <mergeCell ref="A987:A988"/>
    <mergeCell ref="A1314:A1315"/>
    <mergeCell ref="B1314:B1315"/>
    <mergeCell ref="C1314:C1315"/>
    <mergeCell ref="B1229:B1231"/>
    <mergeCell ref="C1229:C1231"/>
    <mergeCell ref="A1224:A1226"/>
    <mergeCell ref="B1224:B1226"/>
    <mergeCell ref="C1224:C1226"/>
    <mergeCell ref="A1227:A1228"/>
    <mergeCell ref="B1227:B1228"/>
    <mergeCell ref="C1227:C1228"/>
    <mergeCell ref="A1229:A1231"/>
    <mergeCell ref="B1236:B1237"/>
    <mergeCell ref="C1236:C1237"/>
    <mergeCell ref="A1232:A1233"/>
    <mergeCell ref="B1232:B1233"/>
    <mergeCell ref="C1232:C1233"/>
    <mergeCell ref="A1234:A1235"/>
    <mergeCell ref="B1234:B1235"/>
    <mergeCell ref="C1234:C1235"/>
    <mergeCell ref="A1236:A1237"/>
    <mergeCell ref="B1243:B1244"/>
    <mergeCell ref="C1243:C1244"/>
    <mergeCell ref="A1238:A1240"/>
    <mergeCell ref="B1238:B1240"/>
    <mergeCell ref="C1238:C1240"/>
    <mergeCell ref="A1241:A1242"/>
    <mergeCell ref="B1241:B1242"/>
    <mergeCell ref="C1241:C1242"/>
    <mergeCell ref="A1243:A1244"/>
    <mergeCell ref="B1250:B1252"/>
    <mergeCell ref="C1250:C1252"/>
    <mergeCell ref="A1245:A1246"/>
    <mergeCell ref="B1245:B1246"/>
    <mergeCell ref="C1245:C1246"/>
    <mergeCell ref="A1247:A1249"/>
    <mergeCell ref="B1247:B1249"/>
    <mergeCell ref="C1247:C1249"/>
    <mergeCell ref="A1250:A1252"/>
    <mergeCell ref="B1259:B1260"/>
    <mergeCell ref="C1259:C1260"/>
    <mergeCell ref="A1253:A1255"/>
    <mergeCell ref="B1253:B1255"/>
    <mergeCell ref="C1253:C1255"/>
    <mergeCell ref="A1256:A1258"/>
    <mergeCell ref="B1256:B1258"/>
    <mergeCell ref="C1256:C1258"/>
    <mergeCell ref="A1259:A1260"/>
    <mergeCell ref="B1267:B1269"/>
    <mergeCell ref="C1267:C1269"/>
    <mergeCell ref="A1261:A1263"/>
    <mergeCell ref="B1261:B1263"/>
    <mergeCell ref="C1261:C1263"/>
    <mergeCell ref="A1264:A1266"/>
    <mergeCell ref="B1264:B1266"/>
    <mergeCell ref="C1264:C1266"/>
    <mergeCell ref="A1267:A1269"/>
    <mergeCell ref="A1270:A1271"/>
    <mergeCell ref="B1270:B1271"/>
    <mergeCell ref="C1270:C1271"/>
    <mergeCell ref="A1272:A1275"/>
    <mergeCell ref="B1272:B1275"/>
    <mergeCell ref="C1272:C1275"/>
    <mergeCell ref="A1276:A1277"/>
    <mergeCell ref="B1276:B1277"/>
    <mergeCell ref="C1276:C1277"/>
    <mergeCell ref="D1321:I1321"/>
    <mergeCell ref="D1322:I1322"/>
    <mergeCell ref="D1323:I1323"/>
    <mergeCell ref="D1324:I1324"/>
    <mergeCell ref="D1325:I1325"/>
    <mergeCell ref="D1326:I1326"/>
    <mergeCell ref="D1327:I1327"/>
    <mergeCell ref="D1328:I1328"/>
    <mergeCell ref="D1329:I1329"/>
    <mergeCell ref="D1330:I1330"/>
    <mergeCell ref="D1331:I1331"/>
    <mergeCell ref="D1332:I1332"/>
    <mergeCell ref="D1340:I1340"/>
    <mergeCell ref="D1341:I1341"/>
    <mergeCell ref="D1342:I1342"/>
    <mergeCell ref="D1343:I1343"/>
    <mergeCell ref="D1344:I1344"/>
    <mergeCell ref="A1345:A1351"/>
    <mergeCell ref="B1345:B1351"/>
    <mergeCell ref="C1345:C1351"/>
    <mergeCell ref="D1333:I1333"/>
    <mergeCell ref="D1334:I1334"/>
    <mergeCell ref="D1335:I1335"/>
    <mergeCell ref="D1336:I1336"/>
    <mergeCell ref="D1337:I1337"/>
    <mergeCell ref="D1338:I1338"/>
    <mergeCell ref="D1339:I1339"/>
    <mergeCell ref="B13:B19"/>
    <mergeCell ref="C13:C19"/>
    <mergeCell ref="A2:A6"/>
    <mergeCell ref="B2:B6"/>
    <mergeCell ref="C2:C6"/>
    <mergeCell ref="A7:A12"/>
    <mergeCell ref="B7:B12"/>
    <mergeCell ref="C7:C12"/>
    <mergeCell ref="A13:A19"/>
    <mergeCell ref="B34:B39"/>
    <mergeCell ref="C34:C39"/>
    <mergeCell ref="A20:A26"/>
    <mergeCell ref="B20:B26"/>
    <mergeCell ref="C20:C26"/>
    <mergeCell ref="A27:A33"/>
    <mergeCell ref="B27:B33"/>
    <mergeCell ref="C27:C33"/>
    <mergeCell ref="A34:A39"/>
    <mergeCell ref="E45:E46"/>
    <mergeCell ref="F45:F46"/>
    <mergeCell ref="G45:G46"/>
    <mergeCell ref="H45:H46"/>
    <mergeCell ref="I45:I46"/>
    <mergeCell ref="A40:A44"/>
    <mergeCell ref="B40:B44"/>
    <mergeCell ref="C40:C44"/>
    <mergeCell ref="A45:A51"/>
    <mergeCell ref="B45:B51"/>
    <mergeCell ref="C45:C51"/>
    <mergeCell ref="D45:D46"/>
    <mergeCell ref="A52:A58"/>
    <mergeCell ref="B52:B58"/>
    <mergeCell ref="C52:C58"/>
    <mergeCell ref="A59:A63"/>
    <mergeCell ref="B59:B63"/>
    <mergeCell ref="C59:C63"/>
    <mergeCell ref="A64:G64"/>
    <mergeCell ref="B132:B136"/>
    <mergeCell ref="C132:C136"/>
    <mergeCell ref="A121:A125"/>
    <mergeCell ref="B121:B125"/>
    <mergeCell ref="C121:C125"/>
    <mergeCell ref="A126:A131"/>
    <mergeCell ref="B126:B131"/>
    <mergeCell ref="C126:C131"/>
    <mergeCell ref="A132:A136"/>
    <mergeCell ref="B149:B154"/>
    <mergeCell ref="C149:C154"/>
    <mergeCell ref="A137:A143"/>
    <mergeCell ref="B137:B143"/>
    <mergeCell ref="C137:C143"/>
    <mergeCell ref="A144:A148"/>
    <mergeCell ref="B144:B148"/>
    <mergeCell ref="C144:C148"/>
    <mergeCell ref="A149:A154"/>
    <mergeCell ref="B166:B170"/>
    <mergeCell ref="C166:C170"/>
    <mergeCell ref="A155:A159"/>
    <mergeCell ref="B155:B159"/>
    <mergeCell ref="C155:C159"/>
    <mergeCell ref="A160:A165"/>
    <mergeCell ref="B160:B165"/>
    <mergeCell ref="C160:C165"/>
    <mergeCell ref="A166:A170"/>
    <mergeCell ref="B181:B184"/>
    <mergeCell ref="C181:C184"/>
    <mergeCell ref="A171:A174"/>
    <mergeCell ref="B171:B174"/>
    <mergeCell ref="C171:C174"/>
    <mergeCell ref="A175:A180"/>
    <mergeCell ref="B175:B180"/>
    <mergeCell ref="C175:C180"/>
    <mergeCell ref="A181:A184"/>
    <mergeCell ref="B197:B200"/>
    <mergeCell ref="C197:C200"/>
    <mergeCell ref="A185:A190"/>
    <mergeCell ref="B185:B190"/>
    <mergeCell ref="C185:C190"/>
    <mergeCell ref="A191:A196"/>
    <mergeCell ref="B191:B196"/>
    <mergeCell ref="C191:C196"/>
    <mergeCell ref="A197:A200"/>
    <mergeCell ref="B229:B233"/>
    <mergeCell ref="C229:C233"/>
    <mergeCell ref="A219:A224"/>
    <mergeCell ref="B219:B224"/>
    <mergeCell ref="C219:C224"/>
    <mergeCell ref="A225:A228"/>
    <mergeCell ref="B225:B228"/>
    <mergeCell ref="C225:C228"/>
    <mergeCell ref="A229:A233"/>
    <mergeCell ref="B213:B218"/>
    <mergeCell ref="C213:C218"/>
    <mergeCell ref="A201:A205"/>
    <mergeCell ref="B201:B205"/>
    <mergeCell ref="C201:C205"/>
    <mergeCell ref="A206:A212"/>
    <mergeCell ref="B206:B212"/>
    <mergeCell ref="C206:C212"/>
    <mergeCell ref="A213:A218"/>
    <mergeCell ref="B247:B252"/>
    <mergeCell ref="C247:C252"/>
    <mergeCell ref="A234:A239"/>
    <mergeCell ref="B234:B239"/>
    <mergeCell ref="C234:C239"/>
    <mergeCell ref="A240:A246"/>
    <mergeCell ref="B240:B246"/>
    <mergeCell ref="C240:C246"/>
    <mergeCell ref="A247:A252"/>
    <mergeCell ref="B264:B268"/>
    <mergeCell ref="C264:C268"/>
    <mergeCell ref="D276:D277"/>
    <mergeCell ref="E276:E277"/>
    <mergeCell ref="F276:F277"/>
    <mergeCell ref="G276:G277"/>
    <mergeCell ref="H276:H277"/>
    <mergeCell ref="I276:I277"/>
    <mergeCell ref="A253:A258"/>
    <mergeCell ref="B253:B258"/>
    <mergeCell ref="C253:C258"/>
    <mergeCell ref="A259:A263"/>
    <mergeCell ref="B259:B263"/>
    <mergeCell ref="C259:C263"/>
    <mergeCell ref="A264:A268"/>
    <mergeCell ref="B280:B284"/>
    <mergeCell ref="C280:C284"/>
    <mergeCell ref="A269:A273"/>
    <mergeCell ref="B269:B273"/>
    <mergeCell ref="C269:C273"/>
    <mergeCell ref="A274:A279"/>
    <mergeCell ref="B274:B279"/>
    <mergeCell ref="C274:C279"/>
    <mergeCell ref="A280:A284"/>
    <mergeCell ref="B295:B299"/>
    <mergeCell ref="C295:C299"/>
    <mergeCell ref="A285:A288"/>
    <mergeCell ref="B285:B288"/>
    <mergeCell ref="C285:C288"/>
    <mergeCell ref="A289:A294"/>
    <mergeCell ref="B289:B294"/>
    <mergeCell ref="C289:C294"/>
    <mergeCell ref="A295:A299"/>
    <mergeCell ref="B310:B314"/>
    <mergeCell ref="C310:C314"/>
    <mergeCell ref="A300:A304"/>
    <mergeCell ref="B300:B304"/>
    <mergeCell ref="C300:C304"/>
    <mergeCell ref="A305:A309"/>
    <mergeCell ref="B305:B309"/>
    <mergeCell ref="C305:C309"/>
    <mergeCell ref="A310:A314"/>
    <mergeCell ref="B326:B332"/>
    <mergeCell ref="C326:C332"/>
    <mergeCell ref="A315:A319"/>
    <mergeCell ref="B315:B319"/>
    <mergeCell ref="C315:C319"/>
    <mergeCell ref="A320:A325"/>
    <mergeCell ref="B320:B325"/>
    <mergeCell ref="C320:C325"/>
    <mergeCell ref="A326:A332"/>
    <mergeCell ref="B346:B351"/>
    <mergeCell ref="C346:C351"/>
    <mergeCell ref="A333:A339"/>
    <mergeCell ref="B333:B339"/>
    <mergeCell ref="C333:C339"/>
    <mergeCell ref="A340:A345"/>
    <mergeCell ref="B340:B345"/>
    <mergeCell ref="C340:C345"/>
    <mergeCell ref="A346:A351"/>
    <mergeCell ref="B383:B388"/>
    <mergeCell ref="C383:C388"/>
    <mergeCell ref="A371:A376"/>
    <mergeCell ref="B371:B376"/>
    <mergeCell ref="C371:C376"/>
    <mergeCell ref="A377:A382"/>
    <mergeCell ref="B377:B382"/>
    <mergeCell ref="C377:C382"/>
    <mergeCell ref="A383:A388"/>
    <mergeCell ref="B400:B404"/>
    <mergeCell ref="C400:C404"/>
    <mergeCell ref="A389:A394"/>
    <mergeCell ref="B389:B394"/>
    <mergeCell ref="C389:C394"/>
    <mergeCell ref="A395:A399"/>
    <mergeCell ref="B395:B399"/>
    <mergeCell ref="C395:C399"/>
    <mergeCell ref="A400:A404"/>
    <mergeCell ref="A405:A409"/>
    <mergeCell ref="B405:B409"/>
    <mergeCell ref="C405:C409"/>
    <mergeCell ref="A410:A413"/>
    <mergeCell ref="B410:B413"/>
    <mergeCell ref="C410:C413"/>
    <mergeCell ref="A414:A419"/>
    <mergeCell ref="G421:G422"/>
    <mergeCell ref="A434:G434"/>
    <mergeCell ref="B414:B419"/>
    <mergeCell ref="C414:C419"/>
    <mergeCell ref="D421:D422"/>
    <mergeCell ref="E421:E422"/>
    <mergeCell ref="F421:F422"/>
    <mergeCell ref="H421:H422"/>
    <mergeCell ref="I421:I422"/>
    <mergeCell ref="B429:B433"/>
    <mergeCell ref="C429:C433"/>
    <mergeCell ref="A420:A424"/>
    <mergeCell ref="B420:B424"/>
    <mergeCell ref="C420:C424"/>
    <mergeCell ref="A425:A428"/>
    <mergeCell ref="B425:B428"/>
    <mergeCell ref="C425:C428"/>
    <mergeCell ref="A429:A433"/>
    <mergeCell ref="B443:B446"/>
    <mergeCell ref="C443:C446"/>
    <mergeCell ref="A435:A438"/>
    <mergeCell ref="B435:B438"/>
    <mergeCell ref="C435:C438"/>
    <mergeCell ref="A439:A442"/>
    <mergeCell ref="B439:B442"/>
    <mergeCell ref="C439:C442"/>
    <mergeCell ref="A443:A446"/>
    <mergeCell ref="A447:A452"/>
    <mergeCell ref="B447:B452"/>
    <mergeCell ref="C447:C452"/>
    <mergeCell ref="A453:A456"/>
    <mergeCell ref="B453:B456"/>
    <mergeCell ref="C453:C456"/>
    <mergeCell ref="A457:A460"/>
    <mergeCell ref="G520:G521"/>
    <mergeCell ref="H520:H521"/>
    <mergeCell ref="I520:I521"/>
    <mergeCell ref="B457:B460"/>
    <mergeCell ref="C457:C460"/>
    <mergeCell ref="F492:G494"/>
    <mergeCell ref="F495:G496"/>
    <mergeCell ref="D520:D521"/>
    <mergeCell ref="E520:E521"/>
    <mergeCell ref="F520:F521"/>
    <mergeCell ref="B470:B474"/>
    <mergeCell ref="C470:C474"/>
    <mergeCell ref="A461:A465"/>
    <mergeCell ref="B461:B465"/>
    <mergeCell ref="C461:C465"/>
    <mergeCell ref="A466:A469"/>
    <mergeCell ref="B466:B469"/>
    <mergeCell ref="C466:C469"/>
    <mergeCell ref="A470:A474"/>
    <mergeCell ref="B484:B487"/>
    <mergeCell ref="C484:C487"/>
    <mergeCell ref="A475:A478"/>
    <mergeCell ref="B475:B478"/>
    <mergeCell ref="C475:C478"/>
    <mergeCell ref="A479:A483"/>
    <mergeCell ref="B479:B483"/>
    <mergeCell ref="C479:C483"/>
    <mergeCell ref="A484:A487"/>
    <mergeCell ref="B497:B501"/>
    <mergeCell ref="C497:C501"/>
    <mergeCell ref="A488:A491"/>
    <mergeCell ref="B488:B491"/>
    <mergeCell ref="C488:C491"/>
    <mergeCell ref="A492:A496"/>
    <mergeCell ref="B492:B496"/>
    <mergeCell ref="C492:C496"/>
    <mergeCell ref="A497:A501"/>
    <mergeCell ref="B511:B514"/>
    <mergeCell ref="C511:C514"/>
    <mergeCell ref="A502:A506"/>
    <mergeCell ref="B502:B506"/>
    <mergeCell ref="C502:C506"/>
    <mergeCell ref="A507:A510"/>
    <mergeCell ref="B507:B510"/>
    <mergeCell ref="C507:C510"/>
    <mergeCell ref="A511:A514"/>
    <mergeCell ref="B528:B531"/>
    <mergeCell ref="C528:C531"/>
    <mergeCell ref="A515:A521"/>
    <mergeCell ref="B515:B521"/>
    <mergeCell ref="C515:C521"/>
    <mergeCell ref="A522:A527"/>
    <mergeCell ref="B522:B527"/>
    <mergeCell ref="C522:C527"/>
    <mergeCell ref="A528:A531"/>
    <mergeCell ref="B542:B545"/>
    <mergeCell ref="C542:C545"/>
    <mergeCell ref="A532:A535"/>
    <mergeCell ref="B532:B535"/>
    <mergeCell ref="C532:C535"/>
    <mergeCell ref="A536:A541"/>
    <mergeCell ref="B536:B541"/>
    <mergeCell ref="C536:C541"/>
    <mergeCell ref="A542:A545"/>
    <mergeCell ref="B555:B560"/>
    <mergeCell ref="C555:C560"/>
    <mergeCell ref="D594:D595"/>
    <mergeCell ref="E594:E595"/>
    <mergeCell ref="F594:F595"/>
    <mergeCell ref="G594:G595"/>
    <mergeCell ref="H594:H595"/>
    <mergeCell ref="I594:I595"/>
    <mergeCell ref="A546:A549"/>
    <mergeCell ref="B546:B549"/>
    <mergeCell ref="C546:C549"/>
    <mergeCell ref="A550:A554"/>
    <mergeCell ref="B550:B554"/>
    <mergeCell ref="C550:C554"/>
    <mergeCell ref="A555:A560"/>
    <mergeCell ref="B673:B677"/>
    <mergeCell ref="C673:C677"/>
    <mergeCell ref="A664:A668"/>
    <mergeCell ref="B664:B668"/>
    <mergeCell ref="C664:C668"/>
    <mergeCell ref="A669:A672"/>
    <mergeCell ref="B669:B672"/>
    <mergeCell ref="C669:C672"/>
    <mergeCell ref="A673:A677"/>
    <mergeCell ref="B684:B686"/>
    <mergeCell ref="C684:C686"/>
    <mergeCell ref="A678:A680"/>
    <mergeCell ref="B678:B680"/>
    <mergeCell ref="C678:C680"/>
    <mergeCell ref="A681:A683"/>
    <mergeCell ref="B681:B683"/>
    <mergeCell ref="C681:C683"/>
    <mergeCell ref="A684:A686"/>
    <mergeCell ref="B694:B697"/>
    <mergeCell ref="C694:C697"/>
    <mergeCell ref="A687:A689"/>
    <mergeCell ref="B687:B689"/>
    <mergeCell ref="C687:C689"/>
    <mergeCell ref="A690:A693"/>
    <mergeCell ref="B690:B693"/>
    <mergeCell ref="C690:C693"/>
    <mergeCell ref="A694:A697"/>
    <mergeCell ref="B708:B710"/>
    <mergeCell ref="C708:C710"/>
    <mergeCell ref="A698:A702"/>
    <mergeCell ref="B698:B702"/>
    <mergeCell ref="C698:C702"/>
    <mergeCell ref="A703:A707"/>
    <mergeCell ref="B703:B707"/>
    <mergeCell ref="C703:C707"/>
    <mergeCell ref="A708:A710"/>
    <mergeCell ref="B718:B722"/>
    <mergeCell ref="C718:C722"/>
    <mergeCell ref="A711:A713"/>
    <mergeCell ref="B711:B713"/>
    <mergeCell ref="C711:C713"/>
    <mergeCell ref="A714:A717"/>
    <mergeCell ref="B714:B717"/>
    <mergeCell ref="C714:C717"/>
    <mergeCell ref="A718:A722"/>
    <mergeCell ref="B735:B739"/>
    <mergeCell ref="C735:C739"/>
    <mergeCell ref="A723:A727"/>
    <mergeCell ref="B723:B727"/>
    <mergeCell ref="C723:C727"/>
    <mergeCell ref="A728:A734"/>
    <mergeCell ref="B728:B734"/>
    <mergeCell ref="C728:C734"/>
    <mergeCell ref="A735:A739"/>
    <mergeCell ref="B747:B752"/>
    <mergeCell ref="C747:C752"/>
    <mergeCell ref="D762:D763"/>
    <mergeCell ref="E762:E763"/>
    <mergeCell ref="F762:F763"/>
    <mergeCell ref="G762:G763"/>
    <mergeCell ref="H762:H763"/>
    <mergeCell ref="I762:I763"/>
    <mergeCell ref="A740:A742"/>
    <mergeCell ref="B740:B742"/>
    <mergeCell ref="C740:C742"/>
    <mergeCell ref="A743:A746"/>
    <mergeCell ref="B743:B746"/>
    <mergeCell ref="C743:C746"/>
    <mergeCell ref="A747:A752"/>
    <mergeCell ref="B760:B765"/>
    <mergeCell ref="C760:C765"/>
    <mergeCell ref="A753:A756"/>
    <mergeCell ref="B753:B756"/>
    <mergeCell ref="C753:C756"/>
    <mergeCell ref="A757:A759"/>
    <mergeCell ref="B757:B759"/>
    <mergeCell ref="C757:C759"/>
    <mergeCell ref="A760:A765"/>
    <mergeCell ref="B775:B779"/>
    <mergeCell ref="C775:C779"/>
    <mergeCell ref="A766:A770"/>
    <mergeCell ref="B766:B770"/>
    <mergeCell ref="C766:C770"/>
    <mergeCell ref="A771:A774"/>
    <mergeCell ref="B771:B774"/>
    <mergeCell ref="C771:C774"/>
    <mergeCell ref="A775:A779"/>
    <mergeCell ref="B788:B791"/>
    <mergeCell ref="C788:C791"/>
    <mergeCell ref="A780:A784"/>
    <mergeCell ref="B780:B784"/>
    <mergeCell ref="C780:C784"/>
    <mergeCell ref="A785:A787"/>
    <mergeCell ref="B785:B787"/>
    <mergeCell ref="C785:C787"/>
    <mergeCell ref="A788:A791"/>
    <mergeCell ref="B803:B809"/>
    <mergeCell ref="C803:C809"/>
    <mergeCell ref="A792:A796"/>
    <mergeCell ref="B792:B796"/>
    <mergeCell ref="C792:C796"/>
    <mergeCell ref="A797:A802"/>
    <mergeCell ref="B797:B802"/>
    <mergeCell ref="C797:C802"/>
    <mergeCell ref="A803:A809"/>
    <mergeCell ref="B818:B821"/>
    <mergeCell ref="C818:C821"/>
    <mergeCell ref="A810:A813"/>
    <mergeCell ref="B810:B813"/>
    <mergeCell ref="C810:C813"/>
    <mergeCell ref="A814:A817"/>
    <mergeCell ref="B814:B817"/>
    <mergeCell ref="C814:C817"/>
    <mergeCell ref="A818:A821"/>
    <mergeCell ref="B831:B835"/>
    <mergeCell ref="C831:C835"/>
    <mergeCell ref="A822:A825"/>
    <mergeCell ref="B822:B825"/>
    <mergeCell ref="C822:C825"/>
    <mergeCell ref="A826:A830"/>
    <mergeCell ref="B826:B830"/>
    <mergeCell ref="C826:C830"/>
    <mergeCell ref="A831:A835"/>
    <mergeCell ref="B845:B848"/>
    <mergeCell ref="C845:C848"/>
    <mergeCell ref="F883:G886"/>
    <mergeCell ref="F887:G889"/>
    <mergeCell ref="A836:A840"/>
    <mergeCell ref="B836:B840"/>
    <mergeCell ref="C836:C840"/>
    <mergeCell ref="A841:A843"/>
    <mergeCell ref="B841:B843"/>
    <mergeCell ref="C841:C843"/>
    <mergeCell ref="A845:A848"/>
    <mergeCell ref="B949:B953"/>
    <mergeCell ref="C949:C953"/>
    <mergeCell ref="A986:G986"/>
    <mergeCell ref="A941:A944"/>
    <mergeCell ref="B941:B944"/>
    <mergeCell ref="C941:C944"/>
    <mergeCell ref="A945:A948"/>
    <mergeCell ref="B945:B948"/>
    <mergeCell ref="C945:C948"/>
    <mergeCell ref="A949:A953"/>
    <mergeCell ref="B902:B904"/>
    <mergeCell ref="C902:C904"/>
    <mergeCell ref="A893:A898"/>
    <mergeCell ref="B893:B898"/>
    <mergeCell ref="C893:C898"/>
    <mergeCell ref="A899:A901"/>
    <mergeCell ref="B899:B901"/>
    <mergeCell ref="C899:C901"/>
    <mergeCell ref="A902:A904"/>
    <mergeCell ref="B912:B917"/>
    <mergeCell ref="C912:C917"/>
    <mergeCell ref="A905:A907"/>
    <mergeCell ref="B905:B907"/>
    <mergeCell ref="C905:C907"/>
    <mergeCell ref="A908:A911"/>
    <mergeCell ref="B908:B911"/>
    <mergeCell ref="C908:C911"/>
    <mergeCell ref="A912:A917"/>
    <mergeCell ref="B926:B928"/>
    <mergeCell ref="C926:C928"/>
    <mergeCell ref="A918:A921"/>
    <mergeCell ref="B918:B921"/>
    <mergeCell ref="C918:C921"/>
    <mergeCell ref="A922:A925"/>
    <mergeCell ref="B922:B925"/>
    <mergeCell ref="C922:C925"/>
    <mergeCell ref="A926:A928"/>
    <mergeCell ref="A965:A969"/>
    <mergeCell ref="B965:B969"/>
    <mergeCell ref="C965:C969"/>
  </mergeCells>
  <conditionalFormatting sqref="C2:C63 C65:C300 C305 C310 C315 C320 C326 C333 C340 C346 C352 C358 C364 C371 C377 C383 C389 C395 C400 C405 C410 C414 C420 C435:C668 C678:C848 C871:C961 C965 C970 C973 C976 C979 C983 C987:C1164 C1169:C1216 C1219 C1224 C1229:C1313 C1317:C1344">
    <cfRule type="colorScale" priority="1">
      <colorScale>
        <cfvo type="formula" val="6"/>
        <cfvo type="formula" val="10"/>
        <cfvo type="formula" val="15"/>
        <color rgb="FF93C47D"/>
        <color rgb="FFFFFF00"/>
        <color rgb="FFCC0000"/>
      </colorScale>
    </cfRule>
  </conditionalFormatting>
  <conditionalFormatting sqref="D1:G23 H1:H925 I1:I2042 D25:G63 D65:G925 D927:G985 H927:H2042 D987:G2042">
    <cfRule type="expression" dxfId="0" priority="2">
      <formula>$I1="Arms &amp; Arm Attachments"</formula>
    </cfRule>
  </conditionalFormatting>
  <conditionalFormatting sqref="D1:G23 H1:H925 I1:I2042 D25:G63 D65:G925 D927:G985 H927:H2042 D987:G2042">
    <cfRule type="expression" dxfId="1" priority="3">
      <formula>$I1="Auditory System"</formula>
    </cfRule>
  </conditionalFormatting>
  <conditionalFormatting sqref="D1:G23 H1:H925 I1:I2042 D25:G63 D65:G925 D927:G985 H927:H2042 D987:G2042">
    <cfRule type="expression" dxfId="2" priority="4">
      <formula>$I1="Circulatory &amp; Immune Systems"</formula>
    </cfRule>
  </conditionalFormatting>
  <conditionalFormatting sqref="D1:G23 H1:H925 I1:I2042 D25:G63 D65:G925 D927:G985 H927:H2042 D987:G2042">
    <cfRule type="expression" dxfId="3" priority="5">
      <formula>$I1="Hands &amp; Feet"</formula>
    </cfRule>
  </conditionalFormatting>
  <conditionalFormatting sqref="D1:G23 H1:H925 I1:I2042 D25:G63 D65:G925 D927:G985 H927:H2042 D987:G2042">
    <cfRule type="expression" dxfId="4" priority="6">
      <formula>$I1="Integumentary System"</formula>
    </cfRule>
  </conditionalFormatting>
  <conditionalFormatting sqref="D1:G23 H1:H925 I1:I2042 D25:G63 D65:G925 D927:G985 H927:H2042 D987:G2042">
    <cfRule type="expression" dxfId="5" priority="7">
      <formula>$I1="Legs &amp; Mobility"</formula>
    </cfRule>
  </conditionalFormatting>
  <conditionalFormatting sqref="D1:G23 H1:H925 I1:I2042 D25:G63 D65:G925 D927:G985 H927:H2042 D987:G2042">
    <cfRule type="expression" dxfId="6" priority="8">
      <formula>$I1="Neural"</formula>
    </cfRule>
  </conditionalFormatting>
  <conditionalFormatting sqref="D1:G23 H1:H925 I1:I2042 D25:G63 D65:G925 D927:G985 H927:H2042 D987:G2042">
    <cfRule type="expression" dxfId="7" priority="9">
      <formula>$I1="Universal Muscular (Arms/Legs/Tail)"</formula>
    </cfRule>
  </conditionalFormatting>
  <conditionalFormatting sqref="D1:G23 H1:H925 I1:I2042 D25:G63 D65:G925 D927:G985 H927:H2042 D987:G2042">
    <cfRule type="expression" dxfId="8" priority="10">
      <formula>$I1="Ocular System"</formula>
    </cfRule>
  </conditionalFormatting>
  <conditionalFormatting sqref="D1:G23 H1:H925 I1:I2042 D25:G63 D65:G925 D927:G985 H927:H2042 D987:G2042">
    <cfRule type="expression" dxfId="9" priority="11">
      <formula>$I1="Miscellaneous"</formula>
    </cfRule>
  </conditionalFormatting>
  <conditionalFormatting sqref="D1:G23 H1:H925 I1:I2042 D25:G63 D65:G925 D927:G985 H927:H2042 D987:G2042">
    <cfRule type="expression" dxfId="10" priority="12">
      <formula>$I1="Skeleton &amp; Torso Musculature"</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13"/>
    <col customWidth="1" min="2" max="2" width="38.38"/>
    <col customWidth="1" min="3" max="3" width="10.13"/>
    <col customWidth="1" min="4" max="4" width="42.13"/>
    <col customWidth="1" min="5" max="5" width="8.5"/>
    <col customWidth="1" min="6" max="6" width="19.88"/>
    <col customWidth="1" min="7" max="7" width="23.5"/>
    <col customWidth="1" min="8" max="8" width="154.63"/>
    <col customWidth="1" min="9" max="9" width="30.38"/>
  </cols>
  <sheetData>
    <row r="1">
      <c r="A1" s="190" t="s">
        <v>263</v>
      </c>
      <c r="B1" s="190" t="s">
        <v>264</v>
      </c>
      <c r="C1" s="190" t="s">
        <v>265</v>
      </c>
      <c r="D1" s="818" t="s">
        <v>266</v>
      </c>
      <c r="E1" s="818" t="s">
        <v>1</v>
      </c>
      <c r="F1" s="190" t="s">
        <v>267</v>
      </c>
      <c r="G1" s="190" t="s">
        <v>268</v>
      </c>
      <c r="H1" s="819" t="s">
        <v>269</v>
      </c>
      <c r="I1" s="820" t="s">
        <v>1015</v>
      </c>
      <c r="J1" s="190" t="s">
        <v>270</v>
      </c>
      <c r="K1" s="193"/>
      <c r="L1" s="193"/>
      <c r="M1" s="194"/>
      <c r="N1" s="194"/>
      <c r="O1" s="194"/>
      <c r="P1" s="194"/>
      <c r="Q1" s="194"/>
      <c r="R1" s="194"/>
      <c r="S1" s="194"/>
      <c r="T1" s="194"/>
      <c r="U1" s="194"/>
      <c r="V1" s="194"/>
      <c r="W1" s="194"/>
      <c r="X1" s="194"/>
      <c r="Y1" s="194"/>
      <c r="Z1" s="194"/>
      <c r="AA1" s="194"/>
      <c r="AB1" s="194"/>
      <c r="AC1" s="194"/>
    </row>
    <row r="2">
      <c r="A2" s="254" t="s">
        <v>1016</v>
      </c>
      <c r="B2" s="237" t="s">
        <v>1017</v>
      </c>
      <c r="C2" s="197">
        <f>sum(E2:E11)</f>
        <v>22</v>
      </c>
      <c r="D2" s="697" t="s">
        <v>330</v>
      </c>
      <c r="E2" s="238">
        <v>2.0</v>
      </c>
      <c r="F2" s="278"/>
      <c r="G2" s="255"/>
      <c r="H2" s="821" t="s">
        <v>331</v>
      </c>
      <c r="I2" s="822" t="s">
        <v>7</v>
      </c>
      <c r="K2" s="204"/>
      <c r="L2" s="204"/>
    </row>
    <row r="3">
      <c r="A3" s="205"/>
      <c r="D3" s="209" t="s">
        <v>405</v>
      </c>
      <c r="E3" s="209">
        <v>3.0</v>
      </c>
      <c r="F3" s="210"/>
      <c r="G3" s="211"/>
      <c r="H3" s="823" t="s">
        <v>31</v>
      </c>
      <c r="I3" s="824" t="s">
        <v>30</v>
      </c>
      <c r="K3" s="204"/>
      <c r="L3" s="204"/>
    </row>
    <row r="4">
      <c r="A4" s="205"/>
      <c r="D4" s="825" t="s">
        <v>61</v>
      </c>
      <c r="E4" s="825">
        <v>1.0</v>
      </c>
      <c r="F4" s="233"/>
      <c r="G4" s="233"/>
      <c r="H4" s="826" t="s">
        <v>62</v>
      </c>
      <c r="I4" s="827" t="s">
        <v>43</v>
      </c>
      <c r="K4" s="204"/>
      <c r="L4" s="204"/>
    </row>
    <row r="5">
      <c r="A5" s="205"/>
      <c r="D5" s="713" t="s">
        <v>1018</v>
      </c>
      <c r="E5" s="209">
        <v>3.0</v>
      </c>
      <c r="F5" s="215"/>
      <c r="G5" s="216"/>
      <c r="H5" s="823" t="s">
        <v>1019</v>
      </c>
      <c r="I5" s="827" t="s">
        <v>65</v>
      </c>
      <c r="K5" s="204"/>
      <c r="L5" s="204"/>
    </row>
    <row r="6">
      <c r="A6" s="205"/>
      <c r="D6" s="828" t="s">
        <v>101</v>
      </c>
      <c r="E6" s="829">
        <v>2.0</v>
      </c>
      <c r="F6" s="272"/>
      <c r="G6" s="273"/>
      <c r="H6" s="273" t="s">
        <v>102</v>
      </c>
      <c r="I6" s="830" t="s">
        <v>98</v>
      </c>
      <c r="K6" s="204"/>
      <c r="L6" s="204"/>
    </row>
    <row r="7">
      <c r="A7" s="205"/>
      <c r="D7" s="209" t="s">
        <v>153</v>
      </c>
      <c r="E7" s="209">
        <v>2.0</v>
      </c>
      <c r="F7" s="243"/>
      <c r="G7" s="211"/>
      <c r="H7" s="823" t="s">
        <v>154</v>
      </c>
      <c r="I7" s="831" t="s">
        <v>144</v>
      </c>
      <c r="K7" s="204"/>
      <c r="L7" s="204"/>
    </row>
    <row r="8">
      <c r="A8" s="205"/>
      <c r="D8" s="214" t="s">
        <v>162</v>
      </c>
      <c r="E8" s="209">
        <v>2.0</v>
      </c>
      <c r="F8" s="243"/>
      <c r="G8" s="211"/>
      <c r="H8" s="823" t="s">
        <v>164</v>
      </c>
      <c r="I8" s="827" t="s">
        <v>163</v>
      </c>
      <c r="K8" s="204"/>
      <c r="L8" s="204"/>
    </row>
    <row r="9">
      <c r="A9" s="205"/>
      <c r="D9" s="832" t="s">
        <v>179</v>
      </c>
      <c r="E9" s="833">
        <v>3.0</v>
      </c>
      <c r="F9" s="130"/>
      <c r="G9" s="131"/>
      <c r="H9" s="834" t="s">
        <v>180</v>
      </c>
      <c r="I9" s="835" t="s">
        <v>176</v>
      </c>
      <c r="K9" s="204"/>
      <c r="L9" s="204"/>
    </row>
    <row r="10">
      <c r="A10" s="205"/>
      <c r="D10" s="209" t="s">
        <v>1020</v>
      </c>
      <c r="E10" s="209">
        <v>3.0</v>
      </c>
      <c r="F10" s="215"/>
      <c r="G10" s="216"/>
      <c r="H10" s="823" t="s">
        <v>1021</v>
      </c>
      <c r="I10" s="827" t="s">
        <v>105</v>
      </c>
      <c r="K10" s="204"/>
      <c r="L10" s="204"/>
    </row>
    <row r="11">
      <c r="A11" s="217"/>
      <c r="B11" s="218"/>
      <c r="C11" s="218"/>
      <c r="D11" s="209" t="s">
        <v>1022</v>
      </c>
      <c r="E11" s="209">
        <v>1.0</v>
      </c>
      <c r="F11" s="215"/>
      <c r="G11" s="216"/>
      <c r="H11" s="823" t="s">
        <v>115</v>
      </c>
      <c r="I11" s="827" t="s">
        <v>105</v>
      </c>
      <c r="K11" s="204"/>
      <c r="L11" s="204"/>
    </row>
    <row r="12">
      <c r="A12" s="621" t="s">
        <v>1023</v>
      </c>
      <c r="B12" s="756" t="s">
        <v>1024</v>
      </c>
      <c r="C12" s="836">
        <v>15.0</v>
      </c>
      <c r="D12" s="728" t="s">
        <v>1025</v>
      </c>
      <c r="E12" s="624">
        <v>15.0</v>
      </c>
      <c r="F12" s="625"/>
      <c r="G12" s="626"/>
      <c r="H12" s="837"/>
      <c r="I12" s="838" t="s">
        <v>105</v>
      </c>
      <c r="K12" s="204"/>
      <c r="L12" s="204"/>
    </row>
    <row r="13">
      <c r="A13" s="311" t="s">
        <v>1026</v>
      </c>
      <c r="B13" s="225" t="s">
        <v>1027</v>
      </c>
      <c r="C13" s="197">
        <f>sum(E13:E19)</f>
        <v>15</v>
      </c>
      <c r="D13" s="238" t="s">
        <v>1028</v>
      </c>
      <c r="E13" s="209">
        <v>0.0</v>
      </c>
      <c r="F13" s="210"/>
      <c r="G13" s="211"/>
      <c r="H13" s="839" t="s">
        <v>1029</v>
      </c>
      <c r="I13" s="827" t="s">
        <v>7</v>
      </c>
      <c r="K13" s="204"/>
      <c r="L13" s="204"/>
    </row>
    <row r="14">
      <c r="A14" s="205"/>
      <c r="D14" s="209" t="s">
        <v>143</v>
      </c>
      <c r="E14" s="209">
        <v>5.0</v>
      </c>
      <c r="F14" s="227"/>
      <c r="G14" s="227"/>
      <c r="H14" s="212" t="s">
        <v>145</v>
      </c>
      <c r="I14" s="840" t="s">
        <v>144</v>
      </c>
      <c r="K14" s="204"/>
      <c r="L14" s="204"/>
    </row>
    <row r="15">
      <c r="A15" s="205"/>
      <c r="D15" s="209" t="s">
        <v>22</v>
      </c>
      <c r="E15" s="209">
        <v>1.0</v>
      </c>
      <c r="F15" s="243"/>
      <c r="G15" s="211"/>
      <c r="H15" s="823" t="s">
        <v>307</v>
      </c>
      <c r="I15" s="827" t="s">
        <v>23</v>
      </c>
      <c r="K15" s="204"/>
      <c r="L15" s="204"/>
    </row>
    <row r="16">
      <c r="A16" s="205"/>
      <c r="D16" s="209" t="s">
        <v>162</v>
      </c>
      <c r="E16" s="209">
        <v>2.0</v>
      </c>
      <c r="F16" s="243"/>
      <c r="G16" s="211"/>
      <c r="H16" s="823" t="s">
        <v>164</v>
      </c>
      <c r="I16" s="827" t="s">
        <v>163</v>
      </c>
      <c r="K16" s="204"/>
      <c r="L16" s="204"/>
    </row>
    <row r="17">
      <c r="A17" s="205"/>
      <c r="D17" s="248" t="s">
        <v>79</v>
      </c>
      <c r="E17" s="525">
        <v>2.0</v>
      </c>
      <c r="F17" s="53"/>
      <c r="G17" s="55"/>
      <c r="H17" s="841" t="s">
        <v>80</v>
      </c>
      <c r="I17" s="842" t="s">
        <v>65</v>
      </c>
      <c r="K17" s="204"/>
      <c r="L17" s="204"/>
    </row>
    <row r="18">
      <c r="A18" s="205"/>
      <c r="D18" s="209" t="s">
        <v>284</v>
      </c>
      <c r="E18" s="209">
        <v>2.0</v>
      </c>
      <c r="F18" s="215"/>
      <c r="G18" s="216"/>
      <c r="H18" s="823" t="s">
        <v>115</v>
      </c>
      <c r="I18" s="827" t="s">
        <v>105</v>
      </c>
      <c r="K18" s="204"/>
      <c r="L18" s="204"/>
    </row>
    <row r="19">
      <c r="A19" s="217"/>
      <c r="B19" s="218"/>
      <c r="C19" s="218"/>
      <c r="D19" s="219" t="s">
        <v>1030</v>
      </c>
      <c r="E19" s="219">
        <v>3.0</v>
      </c>
      <c r="F19" s="263"/>
      <c r="G19" s="264"/>
      <c r="H19" s="843" t="s">
        <v>1031</v>
      </c>
      <c r="I19" s="844" t="s">
        <v>105</v>
      </c>
      <c r="K19" s="204"/>
      <c r="L19" s="204"/>
    </row>
    <row r="20">
      <c r="A20" s="236" t="s">
        <v>1032</v>
      </c>
      <c r="B20" s="237" t="s">
        <v>1033</v>
      </c>
      <c r="C20" s="197">
        <f>sum(E20:E25)</f>
        <v>15</v>
      </c>
      <c r="D20" s="845" t="s">
        <v>1034</v>
      </c>
      <c r="E20" s="845">
        <v>1.0</v>
      </c>
      <c r="F20" s="278"/>
      <c r="G20" s="255"/>
      <c r="H20" s="821" t="s">
        <v>1035</v>
      </c>
      <c r="I20" s="846" t="s">
        <v>30</v>
      </c>
      <c r="K20" s="204"/>
      <c r="L20" s="204"/>
    </row>
    <row r="21">
      <c r="A21" s="205"/>
      <c r="D21" s="209" t="s">
        <v>1036</v>
      </c>
      <c r="E21" s="209">
        <v>5.0</v>
      </c>
      <c r="F21" s="227"/>
      <c r="G21" s="227"/>
      <c r="H21" s="212" t="s">
        <v>145</v>
      </c>
      <c r="I21" s="840" t="s">
        <v>144</v>
      </c>
      <c r="K21" s="204"/>
      <c r="L21" s="204"/>
    </row>
    <row r="22">
      <c r="A22" s="205"/>
      <c r="D22" s="847" t="s">
        <v>1037</v>
      </c>
      <c r="E22" s="847">
        <v>3.0</v>
      </c>
      <c r="F22" s="210"/>
      <c r="G22" s="211"/>
      <c r="H22" s="848" t="s">
        <v>1038</v>
      </c>
      <c r="I22" s="840" t="s">
        <v>144</v>
      </c>
      <c r="K22" s="204"/>
      <c r="L22" s="204"/>
    </row>
    <row r="23">
      <c r="A23" s="205"/>
      <c r="D23" s="214" t="s">
        <v>162</v>
      </c>
      <c r="E23" s="209">
        <v>2.0</v>
      </c>
      <c r="F23" s="243"/>
      <c r="G23" s="211"/>
      <c r="H23" s="823" t="s">
        <v>164</v>
      </c>
      <c r="I23" s="827" t="s">
        <v>163</v>
      </c>
      <c r="K23" s="204"/>
      <c r="L23" s="204"/>
    </row>
    <row r="24">
      <c r="A24" s="205"/>
      <c r="D24" s="209" t="s">
        <v>120</v>
      </c>
      <c r="E24" s="209">
        <v>1.0</v>
      </c>
      <c r="F24" s="310"/>
      <c r="G24" s="310"/>
      <c r="H24" s="212" t="s">
        <v>327</v>
      </c>
      <c r="I24" s="827" t="s">
        <v>105</v>
      </c>
      <c r="K24" s="204"/>
      <c r="L24" s="204"/>
    </row>
    <row r="25">
      <c r="A25" s="217"/>
      <c r="B25" s="218"/>
      <c r="C25" s="218"/>
      <c r="D25" s="847" t="s">
        <v>1039</v>
      </c>
      <c r="E25" s="847">
        <v>3.0</v>
      </c>
      <c r="F25" s="210"/>
      <c r="G25" s="211"/>
      <c r="H25" s="823" t="s">
        <v>1040</v>
      </c>
      <c r="I25" s="827" t="s">
        <v>105</v>
      </c>
      <c r="K25" s="204"/>
      <c r="L25" s="204"/>
    </row>
    <row r="26">
      <c r="A26" s="195" t="s">
        <v>1041</v>
      </c>
      <c r="B26" s="237" t="s">
        <v>1042</v>
      </c>
      <c r="C26" s="197">
        <f>sum(E26)</f>
        <v>15</v>
      </c>
      <c r="D26" s="849" t="s">
        <v>1043</v>
      </c>
      <c r="E26" s="238">
        <v>15.0</v>
      </c>
      <c r="F26" s="278"/>
      <c r="G26" s="255"/>
      <c r="H26" s="821" t="s">
        <v>1044</v>
      </c>
      <c r="I26" s="822" t="s">
        <v>105</v>
      </c>
      <c r="K26" s="204"/>
      <c r="L26" s="204"/>
    </row>
    <row r="27">
      <c r="A27" s="205"/>
      <c r="D27" s="850" t="s">
        <v>1045</v>
      </c>
      <c r="F27" s="210"/>
      <c r="G27" s="211"/>
      <c r="H27" s="823" t="s">
        <v>1046</v>
      </c>
      <c r="I27" s="827" t="s">
        <v>105</v>
      </c>
      <c r="K27" s="204"/>
      <c r="L27" s="204"/>
    </row>
    <row r="28">
      <c r="A28" s="205"/>
      <c r="D28" s="850" t="s">
        <v>1047</v>
      </c>
      <c r="F28" s="210"/>
      <c r="G28" s="211"/>
      <c r="H28" s="823" t="s">
        <v>1048</v>
      </c>
      <c r="I28" s="827" t="s">
        <v>105</v>
      </c>
      <c r="K28" s="204"/>
      <c r="L28" s="204"/>
    </row>
    <row r="29">
      <c r="A29" s="217"/>
      <c r="B29" s="218"/>
      <c r="C29" s="218"/>
      <c r="D29" s="851" t="s">
        <v>1049</v>
      </c>
      <c r="E29" s="218"/>
      <c r="F29" s="263"/>
      <c r="G29" s="264"/>
      <c r="H29" s="852" t="s">
        <v>1050</v>
      </c>
      <c r="I29" s="844" t="s">
        <v>105</v>
      </c>
      <c r="K29" s="204"/>
      <c r="L29" s="204"/>
    </row>
    <row r="30">
      <c r="A30" s="359" t="s">
        <v>1051</v>
      </c>
      <c r="B30" s="196" t="s">
        <v>535</v>
      </c>
      <c r="C30" s="853">
        <f>sum(E30:E36)</f>
        <v>15</v>
      </c>
      <c r="D30" s="845" t="s">
        <v>175</v>
      </c>
      <c r="E30" s="845">
        <v>4.0</v>
      </c>
      <c r="F30" s="255"/>
      <c r="G30" s="255"/>
      <c r="H30" s="821" t="s">
        <v>289</v>
      </c>
      <c r="I30" s="822" t="s">
        <v>176</v>
      </c>
      <c r="K30" s="204"/>
      <c r="L30" s="204"/>
    </row>
    <row r="31">
      <c r="A31" s="205"/>
      <c r="D31" s="854" t="s">
        <v>185</v>
      </c>
      <c r="E31" s="855">
        <v>1.0</v>
      </c>
      <c r="F31" s="3"/>
      <c r="G31" s="326"/>
      <c r="H31" s="856" t="s">
        <v>187</v>
      </c>
      <c r="I31" s="857" t="s">
        <v>186</v>
      </c>
      <c r="K31" s="204"/>
      <c r="L31" s="204"/>
    </row>
    <row r="32">
      <c r="A32" s="205"/>
      <c r="D32" s="308" t="s">
        <v>123</v>
      </c>
      <c r="E32" s="858">
        <v>1.0</v>
      </c>
      <c r="F32" s="80"/>
      <c r="G32" s="86"/>
      <c r="H32" s="86" t="s">
        <v>124</v>
      </c>
      <c r="I32" s="859" t="s">
        <v>105</v>
      </c>
      <c r="K32" s="204"/>
      <c r="L32" s="204"/>
    </row>
    <row r="33">
      <c r="A33" s="205"/>
      <c r="D33" s="209" t="s">
        <v>120</v>
      </c>
      <c r="E33" s="209">
        <v>1.0</v>
      </c>
      <c r="F33" s="310"/>
      <c r="G33" s="310"/>
      <c r="H33" s="212" t="s">
        <v>327</v>
      </c>
      <c r="I33" s="827" t="s">
        <v>105</v>
      </c>
      <c r="K33" s="204"/>
      <c r="L33" s="204"/>
    </row>
    <row r="34">
      <c r="A34" s="205"/>
      <c r="D34" s="214" t="s">
        <v>22</v>
      </c>
      <c r="E34" s="209">
        <v>2.0</v>
      </c>
      <c r="F34" s="299"/>
      <c r="G34" s="300"/>
      <c r="H34" s="212" t="s">
        <v>307</v>
      </c>
      <c r="I34" s="827" t="s">
        <v>23</v>
      </c>
      <c r="K34" s="204"/>
      <c r="L34" s="204"/>
    </row>
    <row r="35">
      <c r="A35" s="205"/>
      <c r="D35" s="209" t="s">
        <v>405</v>
      </c>
      <c r="E35" s="209">
        <v>3.0</v>
      </c>
      <c r="F35" s="210"/>
      <c r="G35" s="211"/>
      <c r="H35" s="823" t="s">
        <v>31</v>
      </c>
      <c r="I35" s="824" t="s">
        <v>30</v>
      </c>
      <c r="K35" s="204"/>
      <c r="L35" s="204"/>
    </row>
    <row r="36">
      <c r="A36" s="217"/>
      <c r="B36" s="218"/>
      <c r="C36" s="218"/>
      <c r="D36" s="860" t="s">
        <v>64</v>
      </c>
      <c r="E36" s="860">
        <v>3.0</v>
      </c>
      <c r="F36" s="861"/>
      <c r="G36" s="613"/>
      <c r="H36" s="613" t="s">
        <v>283</v>
      </c>
      <c r="I36" s="862" t="s">
        <v>65</v>
      </c>
      <c r="K36" s="204"/>
      <c r="L36" s="204"/>
    </row>
    <row r="37">
      <c r="A37" s="236" t="s">
        <v>1052</v>
      </c>
      <c r="B37" s="237" t="s">
        <v>503</v>
      </c>
      <c r="C37" s="197">
        <f>sum(E37:E42)</f>
        <v>14</v>
      </c>
      <c r="D37" s="845" t="s">
        <v>1053</v>
      </c>
      <c r="E37" s="845">
        <v>2.0</v>
      </c>
      <c r="F37" s="278"/>
      <c r="G37" s="255"/>
      <c r="H37" s="821" t="s">
        <v>1054</v>
      </c>
      <c r="I37" s="863" t="s">
        <v>7</v>
      </c>
      <c r="K37" s="204"/>
      <c r="L37" s="204"/>
    </row>
    <row r="38">
      <c r="A38" s="205"/>
      <c r="D38" s="214" t="s">
        <v>162</v>
      </c>
      <c r="E38" s="209">
        <v>2.0</v>
      </c>
      <c r="F38" s="243"/>
      <c r="G38" s="211"/>
      <c r="H38" s="823" t="s">
        <v>164</v>
      </c>
      <c r="I38" s="827" t="s">
        <v>163</v>
      </c>
      <c r="K38" s="204"/>
      <c r="L38" s="204"/>
    </row>
    <row r="39">
      <c r="A39" s="205"/>
      <c r="D39" s="864" t="s">
        <v>64</v>
      </c>
      <c r="E39" s="864">
        <v>3.0</v>
      </c>
      <c r="F39" s="865"/>
      <c r="G39" s="376"/>
      <c r="H39" s="376" t="s">
        <v>283</v>
      </c>
      <c r="I39" s="866" t="s">
        <v>65</v>
      </c>
      <c r="K39" s="204"/>
      <c r="L39" s="204"/>
    </row>
    <row r="40">
      <c r="A40" s="205"/>
      <c r="D40" s="847" t="s">
        <v>1055</v>
      </c>
      <c r="E40" s="847">
        <v>2.0</v>
      </c>
      <c r="F40" s="210"/>
      <c r="G40" s="211"/>
      <c r="H40" s="823" t="s">
        <v>1056</v>
      </c>
      <c r="I40" s="867" t="s">
        <v>144</v>
      </c>
      <c r="K40" s="204"/>
      <c r="L40" s="204"/>
    </row>
    <row r="41">
      <c r="A41" s="205"/>
      <c r="D41" s="847" t="s">
        <v>175</v>
      </c>
      <c r="E41" s="847">
        <v>3.0</v>
      </c>
      <c r="F41" s="211"/>
      <c r="G41" s="211"/>
      <c r="H41" s="823" t="s">
        <v>289</v>
      </c>
      <c r="I41" s="827" t="s">
        <v>176</v>
      </c>
      <c r="K41" s="204"/>
      <c r="L41" s="204"/>
    </row>
    <row r="42">
      <c r="A42" s="217"/>
      <c r="B42" s="218"/>
      <c r="C42" s="218"/>
      <c r="D42" s="679" t="s">
        <v>1057</v>
      </c>
      <c r="E42" s="679">
        <v>2.0</v>
      </c>
      <c r="F42" s="263"/>
      <c r="G42" s="264"/>
      <c r="H42" s="852" t="s">
        <v>1058</v>
      </c>
      <c r="I42" s="868" t="s">
        <v>105</v>
      </c>
      <c r="K42" s="204"/>
      <c r="L42" s="204"/>
    </row>
    <row r="43">
      <c r="A43" s="676" t="s">
        <v>1059</v>
      </c>
      <c r="B43" s="225" t="s">
        <v>367</v>
      </c>
      <c r="C43" s="276">
        <f>sum(E43:E49)</f>
        <v>13</v>
      </c>
      <c r="D43" s="828" t="s">
        <v>101</v>
      </c>
      <c r="E43" s="829">
        <v>2.0</v>
      </c>
      <c r="F43" s="272"/>
      <c r="G43" s="273"/>
      <c r="H43" s="273" t="s">
        <v>102</v>
      </c>
      <c r="I43" s="830" t="s">
        <v>98</v>
      </c>
      <c r="K43" s="204"/>
      <c r="L43" s="204"/>
    </row>
    <row r="44">
      <c r="A44" s="205"/>
      <c r="D44" s="214" t="s">
        <v>162</v>
      </c>
      <c r="E44" s="209">
        <v>2.0</v>
      </c>
      <c r="F44" s="243"/>
      <c r="G44" s="211"/>
      <c r="H44" s="823" t="s">
        <v>164</v>
      </c>
      <c r="I44" s="827" t="s">
        <v>163</v>
      </c>
      <c r="K44" s="204"/>
      <c r="L44" s="204"/>
    </row>
    <row r="45">
      <c r="A45" s="205"/>
      <c r="D45" s="832" t="s">
        <v>182</v>
      </c>
      <c r="E45" s="833">
        <v>2.0</v>
      </c>
      <c r="F45" s="130"/>
      <c r="G45" s="131"/>
      <c r="H45" s="131" t="s">
        <v>183</v>
      </c>
      <c r="I45" s="835" t="s">
        <v>176</v>
      </c>
      <c r="K45" s="204"/>
      <c r="L45" s="204"/>
    </row>
    <row r="46">
      <c r="A46" s="205"/>
      <c r="D46" s="854" t="s">
        <v>185</v>
      </c>
      <c r="E46" s="855">
        <v>1.0</v>
      </c>
      <c r="F46" s="3"/>
      <c r="G46" s="326"/>
      <c r="H46" s="856" t="s">
        <v>187</v>
      </c>
      <c r="I46" s="857" t="s">
        <v>186</v>
      </c>
      <c r="K46" s="204"/>
      <c r="L46" s="204"/>
    </row>
    <row r="47">
      <c r="A47" s="205"/>
      <c r="D47" s="209" t="s">
        <v>64</v>
      </c>
      <c r="E47" s="209">
        <v>3.0</v>
      </c>
      <c r="F47" s="215"/>
      <c r="G47" s="216"/>
      <c r="H47" s="823" t="s">
        <v>283</v>
      </c>
      <c r="I47" s="827" t="s">
        <v>65</v>
      </c>
      <c r="K47" s="204"/>
      <c r="L47" s="204"/>
    </row>
    <row r="48">
      <c r="A48" s="205"/>
      <c r="D48" s="214" t="s">
        <v>22</v>
      </c>
      <c r="E48" s="209">
        <v>1.0</v>
      </c>
      <c r="F48" s="243"/>
      <c r="G48" s="211"/>
      <c r="H48" s="823" t="s">
        <v>307</v>
      </c>
      <c r="I48" s="827" t="s">
        <v>23</v>
      </c>
      <c r="K48" s="204"/>
      <c r="L48" s="204"/>
    </row>
    <row r="49">
      <c r="A49" s="217"/>
      <c r="B49" s="218"/>
      <c r="C49" s="218"/>
      <c r="D49" s="869" t="s">
        <v>330</v>
      </c>
      <c r="E49" s="219">
        <v>2.0</v>
      </c>
      <c r="F49" s="263"/>
      <c r="G49" s="264"/>
      <c r="H49" s="852" t="s">
        <v>331</v>
      </c>
      <c r="I49" s="844" t="s">
        <v>7</v>
      </c>
      <c r="K49" s="204"/>
      <c r="L49" s="204"/>
    </row>
    <row r="50">
      <c r="A50" s="236" t="s">
        <v>1060</v>
      </c>
      <c r="B50" s="237" t="s">
        <v>608</v>
      </c>
      <c r="C50" s="197">
        <f>sum(E50:E55)</f>
        <v>12</v>
      </c>
      <c r="D50" s="238" t="s">
        <v>143</v>
      </c>
      <c r="E50" s="238">
        <v>5.0</v>
      </c>
      <c r="F50" s="280"/>
      <c r="G50" s="870" t="s">
        <v>1061</v>
      </c>
      <c r="H50" s="241" t="s">
        <v>1062</v>
      </c>
      <c r="I50" s="871" t="s">
        <v>144</v>
      </c>
      <c r="K50" s="204"/>
      <c r="L50" s="204"/>
    </row>
    <row r="51">
      <c r="A51" s="205"/>
      <c r="D51" s="209" t="s">
        <v>284</v>
      </c>
      <c r="E51" s="209">
        <v>2.0</v>
      </c>
      <c r="F51" s="215"/>
      <c r="G51" s="216"/>
      <c r="H51" s="823" t="s">
        <v>115</v>
      </c>
      <c r="I51" s="827" t="s">
        <v>105</v>
      </c>
      <c r="K51" s="204"/>
      <c r="L51" s="204"/>
    </row>
    <row r="52">
      <c r="A52" s="205"/>
      <c r="D52" s="214" t="s">
        <v>162</v>
      </c>
      <c r="E52" s="209">
        <v>2.0</v>
      </c>
      <c r="F52" s="243"/>
      <c r="G52" s="211"/>
      <c r="H52" s="823" t="s">
        <v>164</v>
      </c>
      <c r="I52" s="827" t="s">
        <v>163</v>
      </c>
      <c r="K52" s="204"/>
      <c r="L52" s="204"/>
    </row>
    <row r="53">
      <c r="A53" s="205"/>
      <c r="D53" s="872" t="s">
        <v>1063</v>
      </c>
      <c r="E53" s="847">
        <v>1.0</v>
      </c>
      <c r="F53" s="210"/>
      <c r="G53" s="211"/>
      <c r="H53" s="823" t="s">
        <v>1064</v>
      </c>
      <c r="I53" s="827" t="s">
        <v>105</v>
      </c>
      <c r="K53" s="204"/>
      <c r="L53" s="204"/>
    </row>
    <row r="54">
      <c r="A54" s="205"/>
      <c r="D54" s="872" t="s">
        <v>1065</v>
      </c>
      <c r="E54" s="847">
        <v>1.0</v>
      </c>
      <c r="F54" s="210"/>
      <c r="G54" s="211"/>
      <c r="H54" s="823" t="s">
        <v>1066</v>
      </c>
      <c r="I54" s="827" t="s">
        <v>105</v>
      </c>
      <c r="K54" s="204"/>
      <c r="L54" s="204"/>
    </row>
    <row r="55">
      <c r="A55" s="217"/>
      <c r="B55" s="218"/>
      <c r="C55" s="218"/>
      <c r="D55" s="873" t="s">
        <v>1067</v>
      </c>
      <c r="E55" s="679">
        <v>1.0</v>
      </c>
      <c r="F55" s="263"/>
      <c r="G55" s="264"/>
      <c r="H55" s="852" t="s">
        <v>1068</v>
      </c>
      <c r="I55" s="844" t="s">
        <v>105</v>
      </c>
      <c r="K55" s="204"/>
      <c r="L55" s="204"/>
    </row>
    <row r="56" ht="45.0" customHeight="1">
      <c r="A56" s="874" t="s">
        <v>318</v>
      </c>
      <c r="B56" s="792"/>
      <c r="C56" s="792"/>
      <c r="D56" s="792"/>
      <c r="E56" s="792"/>
      <c r="F56" s="792"/>
      <c r="G56" s="792"/>
      <c r="H56" s="875"/>
      <c r="I56" s="876"/>
      <c r="J56" s="233"/>
      <c r="K56" s="233"/>
      <c r="L56" s="233"/>
      <c r="M56" s="233"/>
      <c r="N56" s="297"/>
      <c r="O56" s="297"/>
      <c r="P56" s="297"/>
      <c r="Q56" s="297"/>
      <c r="R56" s="297"/>
      <c r="S56" s="297"/>
      <c r="T56" s="297"/>
      <c r="U56" s="297"/>
      <c r="V56" s="297"/>
      <c r="W56" s="297"/>
      <c r="X56" s="297"/>
      <c r="Y56" s="297"/>
      <c r="Z56" s="297"/>
      <c r="AA56" s="297"/>
      <c r="AB56" s="297"/>
      <c r="AC56" s="297"/>
    </row>
    <row r="57">
      <c r="A57" s="236" t="s">
        <v>1069</v>
      </c>
      <c r="B57" s="237" t="s">
        <v>554</v>
      </c>
      <c r="C57" s="197">
        <f>sum(E57:E61)</f>
        <v>12</v>
      </c>
      <c r="D57" s="238" t="s">
        <v>143</v>
      </c>
      <c r="E57" s="238">
        <v>5.0</v>
      </c>
      <c r="F57" s="280"/>
      <c r="G57" s="280"/>
      <c r="H57" s="241" t="s">
        <v>145</v>
      </c>
      <c r="I57" s="871" t="s">
        <v>144</v>
      </c>
      <c r="K57" s="204"/>
      <c r="L57" s="204"/>
    </row>
    <row r="58">
      <c r="A58" s="205"/>
      <c r="D58" s="214" t="s">
        <v>162</v>
      </c>
      <c r="E58" s="209">
        <v>2.0</v>
      </c>
      <c r="F58" s="243"/>
      <c r="G58" s="211"/>
      <c r="H58" s="823" t="s">
        <v>164</v>
      </c>
      <c r="I58" s="827" t="s">
        <v>163</v>
      </c>
      <c r="K58" s="204"/>
      <c r="L58" s="204"/>
    </row>
    <row r="59">
      <c r="A59" s="205"/>
      <c r="D59" s="209" t="s">
        <v>117</v>
      </c>
      <c r="E59" s="209">
        <v>1.0</v>
      </c>
      <c r="F59" s="211"/>
      <c r="G59" s="211"/>
      <c r="H59" s="823" t="s">
        <v>322</v>
      </c>
      <c r="I59" s="827" t="s">
        <v>105</v>
      </c>
      <c r="K59" s="204"/>
      <c r="L59" s="204"/>
    </row>
    <row r="60">
      <c r="A60" s="205"/>
      <c r="D60" s="209" t="s">
        <v>284</v>
      </c>
      <c r="E60" s="209">
        <v>2.0</v>
      </c>
      <c r="F60" s="215"/>
      <c r="G60" s="216"/>
      <c r="H60" s="823" t="s">
        <v>115</v>
      </c>
      <c r="I60" s="827" t="s">
        <v>105</v>
      </c>
      <c r="K60" s="204"/>
      <c r="L60" s="204"/>
    </row>
    <row r="61">
      <c r="A61" s="217"/>
      <c r="B61" s="218"/>
      <c r="C61" s="218"/>
      <c r="D61" s="877" t="s">
        <v>42</v>
      </c>
      <c r="E61" s="878">
        <v>2.0</v>
      </c>
      <c r="F61" s="879"/>
      <c r="G61" s="880"/>
      <c r="H61" s="41" t="s">
        <v>44</v>
      </c>
      <c r="I61" s="881" t="s">
        <v>43</v>
      </c>
      <c r="J61" s="4"/>
      <c r="K61" s="204"/>
      <c r="L61" s="204"/>
    </row>
    <row r="62">
      <c r="A62" s="446" t="s">
        <v>1070</v>
      </c>
      <c r="B62" s="882" t="s">
        <v>387</v>
      </c>
      <c r="C62" s="883">
        <f>sum(E62:E67)</f>
        <v>12</v>
      </c>
      <c r="D62" s="884" t="s">
        <v>55</v>
      </c>
      <c r="E62" s="884">
        <v>1.0</v>
      </c>
      <c r="F62" s="688"/>
      <c r="G62" s="688"/>
      <c r="H62" s="688" t="s">
        <v>56</v>
      </c>
      <c r="I62" s="885" t="s">
        <v>43</v>
      </c>
      <c r="K62" s="204"/>
      <c r="L62" s="204"/>
    </row>
    <row r="63">
      <c r="A63" s="205"/>
      <c r="D63" s="886" t="s">
        <v>11</v>
      </c>
      <c r="E63" s="886">
        <v>2.0</v>
      </c>
      <c r="F63" s="887"/>
      <c r="G63" s="887"/>
      <c r="H63" s="887" t="s">
        <v>348</v>
      </c>
      <c r="I63" s="888" t="s">
        <v>7</v>
      </c>
      <c r="K63" s="204"/>
      <c r="L63" s="204"/>
    </row>
    <row r="64">
      <c r="A64" s="205"/>
      <c r="D64" s="889" t="s">
        <v>147</v>
      </c>
      <c r="E64" s="889">
        <v>3.0</v>
      </c>
      <c r="F64" s="890"/>
      <c r="G64" s="890"/>
      <c r="H64" s="890" t="s">
        <v>145</v>
      </c>
      <c r="I64" s="891" t="s">
        <v>144</v>
      </c>
      <c r="K64" s="204"/>
      <c r="L64" s="204"/>
    </row>
    <row r="65">
      <c r="A65" s="205"/>
      <c r="D65" s="892" t="s">
        <v>162</v>
      </c>
      <c r="E65" s="892">
        <v>2.0</v>
      </c>
      <c r="F65" s="454"/>
      <c r="G65" s="893"/>
      <c r="H65" s="893" t="s">
        <v>164</v>
      </c>
      <c r="I65" s="894" t="s">
        <v>163</v>
      </c>
      <c r="K65" s="204"/>
      <c r="L65" s="204"/>
    </row>
    <row r="66">
      <c r="A66" s="205"/>
      <c r="D66" s="864" t="s">
        <v>64</v>
      </c>
      <c r="E66" s="864">
        <v>3.0</v>
      </c>
      <c r="F66" s="865"/>
      <c r="G66" s="376"/>
      <c r="H66" s="376" t="s">
        <v>283</v>
      </c>
      <c r="I66" s="866" t="s">
        <v>65</v>
      </c>
      <c r="K66" s="204"/>
      <c r="L66" s="204"/>
    </row>
    <row r="67">
      <c r="A67" s="217"/>
      <c r="B67" s="218"/>
      <c r="C67" s="218"/>
      <c r="D67" s="895" t="s">
        <v>284</v>
      </c>
      <c r="E67" s="895">
        <v>1.0</v>
      </c>
      <c r="F67" s="896"/>
      <c r="G67" s="461"/>
      <c r="H67" s="461" t="s">
        <v>115</v>
      </c>
      <c r="I67" s="897" t="s">
        <v>105</v>
      </c>
      <c r="K67" s="204"/>
      <c r="L67" s="204"/>
    </row>
    <row r="68">
      <c r="A68" s="898" t="s">
        <v>1071</v>
      </c>
      <c r="B68" s="237" t="s">
        <v>517</v>
      </c>
      <c r="C68" s="197">
        <f>sum(E68:E71)</f>
        <v>12</v>
      </c>
      <c r="D68" s="899" t="s">
        <v>73</v>
      </c>
      <c r="E68" s="899">
        <v>2.0</v>
      </c>
      <c r="F68" s="48"/>
      <c r="G68" s="50"/>
      <c r="H68" s="50" t="s">
        <v>74</v>
      </c>
      <c r="I68" s="900" t="s">
        <v>65</v>
      </c>
      <c r="K68" s="204"/>
      <c r="L68" s="204"/>
    </row>
    <row r="69">
      <c r="A69" s="205"/>
      <c r="D69" s="847" t="s">
        <v>175</v>
      </c>
      <c r="E69" s="847">
        <v>3.0</v>
      </c>
      <c r="F69" s="211"/>
      <c r="G69" s="211"/>
      <c r="H69" s="823" t="s">
        <v>289</v>
      </c>
      <c r="I69" s="827" t="s">
        <v>176</v>
      </c>
      <c r="K69" s="204"/>
      <c r="L69" s="204"/>
    </row>
    <row r="70">
      <c r="A70" s="205"/>
      <c r="D70" s="854" t="s">
        <v>330</v>
      </c>
      <c r="E70" s="209">
        <v>2.0</v>
      </c>
      <c r="F70" s="210"/>
      <c r="G70" s="211"/>
      <c r="H70" s="823" t="s">
        <v>331</v>
      </c>
      <c r="I70" s="827" t="s">
        <v>7</v>
      </c>
      <c r="K70" s="204"/>
      <c r="L70" s="204"/>
    </row>
    <row r="71">
      <c r="A71" s="217"/>
      <c r="B71" s="218"/>
      <c r="C71" s="218"/>
      <c r="D71" s="219" t="s">
        <v>1072</v>
      </c>
      <c r="E71" s="679">
        <v>5.0</v>
      </c>
      <c r="F71" s="263"/>
      <c r="G71" s="264"/>
      <c r="H71" s="901" t="s">
        <v>1073</v>
      </c>
      <c r="I71" s="902" t="s">
        <v>65</v>
      </c>
      <c r="K71" s="204"/>
      <c r="L71" s="204"/>
    </row>
    <row r="72">
      <c r="A72" s="254" t="s">
        <v>1074</v>
      </c>
      <c r="B72" s="196" t="s">
        <v>616</v>
      </c>
      <c r="C72" s="197">
        <f>sum(E72:E78)</f>
        <v>11</v>
      </c>
      <c r="D72" s="686" t="s">
        <v>42</v>
      </c>
      <c r="E72" s="903">
        <v>2.0</v>
      </c>
      <c r="F72" s="687"/>
      <c r="G72" s="688"/>
      <c r="H72" s="904" t="s">
        <v>44</v>
      </c>
      <c r="I72" s="905" t="s">
        <v>43</v>
      </c>
      <c r="J72" s="3" t="s">
        <v>1075</v>
      </c>
      <c r="K72" s="204"/>
      <c r="L72" s="204"/>
    </row>
    <row r="73">
      <c r="A73" s="205"/>
      <c r="D73" s="328" t="s">
        <v>46</v>
      </c>
      <c r="E73" s="906">
        <v>2.0</v>
      </c>
      <c r="F73" s="40"/>
      <c r="G73" s="41"/>
      <c r="H73" s="41" t="s">
        <v>47</v>
      </c>
      <c r="I73" s="907" t="s">
        <v>43</v>
      </c>
      <c r="J73" s="3" t="s">
        <v>1075</v>
      </c>
      <c r="K73" s="204"/>
      <c r="L73" s="204"/>
    </row>
    <row r="74">
      <c r="A74" s="205"/>
      <c r="D74" s="209" t="s">
        <v>55</v>
      </c>
      <c r="E74" s="209">
        <v>1.0</v>
      </c>
      <c r="F74" s="210"/>
      <c r="G74" s="211"/>
      <c r="H74" s="823" t="s">
        <v>56</v>
      </c>
      <c r="I74" s="859" t="s">
        <v>43</v>
      </c>
      <c r="J74" s="3" t="s">
        <v>1075</v>
      </c>
      <c r="K74" s="204"/>
      <c r="L74" s="204"/>
    </row>
    <row r="75">
      <c r="A75" s="205"/>
      <c r="D75" s="209" t="s">
        <v>159</v>
      </c>
      <c r="E75" s="209">
        <v>1.0</v>
      </c>
      <c r="F75" s="227"/>
      <c r="G75" s="227"/>
      <c r="H75" s="823" t="s">
        <v>160</v>
      </c>
      <c r="I75" s="831" t="s">
        <v>144</v>
      </c>
      <c r="K75" s="204"/>
      <c r="L75" s="204"/>
    </row>
    <row r="76">
      <c r="A76" s="205"/>
      <c r="D76" s="209" t="s">
        <v>162</v>
      </c>
      <c r="E76" s="209">
        <v>2.0</v>
      </c>
      <c r="F76" s="243"/>
      <c r="G76" s="211"/>
      <c r="H76" s="823" t="s">
        <v>164</v>
      </c>
      <c r="I76" s="859" t="s">
        <v>163</v>
      </c>
      <c r="K76" s="204"/>
      <c r="L76" s="204"/>
    </row>
    <row r="77">
      <c r="A77" s="205"/>
      <c r="D77" s="209" t="s">
        <v>131</v>
      </c>
      <c r="E77" s="209">
        <v>1.0</v>
      </c>
      <c r="F77" s="310"/>
      <c r="G77" s="310"/>
      <c r="H77" s="212" t="s">
        <v>132</v>
      </c>
      <c r="I77" s="859" t="s">
        <v>105</v>
      </c>
      <c r="K77" s="204"/>
      <c r="L77" s="204"/>
    </row>
    <row r="78">
      <c r="A78" s="217"/>
      <c r="B78" s="218"/>
      <c r="C78" s="218"/>
      <c r="D78" s="219" t="s">
        <v>22</v>
      </c>
      <c r="E78" s="219">
        <v>2.0</v>
      </c>
      <c r="F78" s="355"/>
      <c r="G78" s="356"/>
      <c r="H78" s="222" t="s">
        <v>307</v>
      </c>
      <c r="I78" s="908" t="s">
        <v>23</v>
      </c>
      <c r="J78" s="3" t="s">
        <v>1075</v>
      </c>
      <c r="K78" s="204"/>
      <c r="L78" s="204"/>
    </row>
    <row r="79">
      <c r="A79" s="236" t="s">
        <v>1076</v>
      </c>
      <c r="B79" s="237" t="s">
        <v>550</v>
      </c>
      <c r="C79" s="197">
        <f>sum(E79:E83)</f>
        <v>11</v>
      </c>
      <c r="D79" s="899" t="s">
        <v>70</v>
      </c>
      <c r="E79" s="899">
        <v>2.0</v>
      </c>
      <c r="F79" s="48"/>
      <c r="G79" s="50"/>
      <c r="H79" s="909" t="s">
        <v>71</v>
      </c>
      <c r="I79" s="900" t="s">
        <v>65</v>
      </c>
      <c r="K79" s="204"/>
      <c r="L79" s="204"/>
    </row>
    <row r="80">
      <c r="A80" s="205"/>
      <c r="D80" s="209" t="s">
        <v>143</v>
      </c>
      <c r="E80" s="209">
        <v>5.0</v>
      </c>
      <c r="F80" s="227"/>
      <c r="G80" s="227"/>
      <c r="H80" s="212" t="s">
        <v>145</v>
      </c>
      <c r="I80" s="840" t="s">
        <v>144</v>
      </c>
      <c r="K80" s="204"/>
      <c r="L80" s="204"/>
    </row>
    <row r="81">
      <c r="A81" s="205"/>
      <c r="D81" s="209" t="s">
        <v>166</v>
      </c>
      <c r="E81" s="209">
        <v>2.0</v>
      </c>
      <c r="F81" s="227"/>
      <c r="G81" s="227"/>
      <c r="H81" s="212" t="s">
        <v>167</v>
      </c>
      <c r="I81" s="859" t="s">
        <v>163</v>
      </c>
      <c r="K81" s="204"/>
      <c r="L81" s="204"/>
    </row>
    <row r="82">
      <c r="A82" s="205"/>
      <c r="D82" s="854" t="s">
        <v>185</v>
      </c>
      <c r="E82" s="855">
        <v>1.0</v>
      </c>
      <c r="F82" s="3"/>
      <c r="G82" s="326"/>
      <c r="H82" s="856" t="s">
        <v>187</v>
      </c>
      <c r="I82" s="857" t="s">
        <v>186</v>
      </c>
      <c r="K82" s="204"/>
      <c r="L82" s="204"/>
    </row>
    <row r="83">
      <c r="A83" s="217"/>
      <c r="B83" s="218"/>
      <c r="C83" s="218"/>
      <c r="D83" s="219" t="s">
        <v>140</v>
      </c>
      <c r="E83" s="219">
        <v>1.0</v>
      </c>
      <c r="F83" s="258"/>
      <c r="G83" s="258"/>
      <c r="H83" s="222" t="s">
        <v>141</v>
      </c>
      <c r="I83" s="908" t="s">
        <v>105</v>
      </c>
      <c r="K83" s="204"/>
      <c r="L83" s="204"/>
    </row>
    <row r="84">
      <c r="A84" s="236" t="s">
        <v>1077</v>
      </c>
      <c r="B84" s="237" t="s">
        <v>367</v>
      </c>
      <c r="C84" s="197">
        <f>sum(E84:E87)</f>
        <v>11</v>
      </c>
      <c r="D84" s="903" t="s">
        <v>52</v>
      </c>
      <c r="E84" s="903">
        <v>2.0</v>
      </c>
      <c r="F84" s="687"/>
      <c r="G84" s="688"/>
      <c r="H84" s="688" t="s">
        <v>53</v>
      </c>
      <c r="I84" s="910" t="s">
        <v>43</v>
      </c>
      <c r="K84" s="204"/>
      <c r="L84" s="204"/>
    </row>
    <row r="85">
      <c r="A85" s="205"/>
      <c r="D85" s="911" t="s">
        <v>76</v>
      </c>
      <c r="E85" s="911">
        <v>4.0</v>
      </c>
      <c r="F85" s="53"/>
      <c r="G85" s="54"/>
      <c r="H85" s="54" t="s">
        <v>1078</v>
      </c>
      <c r="I85" s="912" t="s">
        <v>65</v>
      </c>
      <c r="K85" s="204"/>
      <c r="L85" s="204"/>
    </row>
    <row r="86">
      <c r="A86" s="205"/>
      <c r="D86" s="847" t="s">
        <v>1079</v>
      </c>
      <c r="E86" s="847">
        <v>2.0</v>
      </c>
      <c r="F86" s="210"/>
      <c r="G86" s="211"/>
      <c r="H86" s="913" t="s">
        <v>1080</v>
      </c>
      <c r="I86" s="914" t="s">
        <v>105</v>
      </c>
      <c r="K86" s="204"/>
      <c r="L86" s="204"/>
    </row>
    <row r="87">
      <c r="A87" s="217"/>
      <c r="B87" s="218"/>
      <c r="C87" s="218"/>
      <c r="D87" s="679" t="s">
        <v>175</v>
      </c>
      <c r="E87" s="679">
        <v>3.0</v>
      </c>
      <c r="F87" s="264"/>
      <c r="G87" s="264"/>
      <c r="H87" s="852" t="s">
        <v>289</v>
      </c>
      <c r="I87" s="908" t="s">
        <v>176</v>
      </c>
      <c r="K87" s="204"/>
      <c r="L87" s="204"/>
    </row>
    <row r="88">
      <c r="A88" s="254" t="s">
        <v>1074</v>
      </c>
      <c r="B88" s="196" t="s">
        <v>616</v>
      </c>
      <c r="C88" s="197">
        <f>sum(E88:E94)</f>
        <v>10</v>
      </c>
      <c r="D88" s="915" t="s">
        <v>42</v>
      </c>
      <c r="E88" s="916">
        <v>2.0</v>
      </c>
      <c r="F88" s="687"/>
      <c r="G88" s="688"/>
      <c r="H88" s="904" t="s">
        <v>44</v>
      </c>
      <c r="I88" s="917" t="s">
        <v>43</v>
      </c>
      <c r="J88" s="3" t="s">
        <v>1075</v>
      </c>
      <c r="K88" s="204"/>
      <c r="L88" s="204"/>
    </row>
    <row r="89">
      <c r="A89" s="205"/>
      <c r="D89" s="607" t="s">
        <v>46</v>
      </c>
      <c r="E89" s="39">
        <v>2.0</v>
      </c>
      <c r="F89" s="40"/>
      <c r="G89" s="41"/>
      <c r="H89" s="41" t="s">
        <v>47</v>
      </c>
      <c r="I89" s="918" t="s">
        <v>43</v>
      </c>
      <c r="J89" s="3" t="s">
        <v>1075</v>
      </c>
      <c r="K89" s="204"/>
      <c r="L89" s="204"/>
    </row>
    <row r="90">
      <c r="A90" s="205"/>
      <c r="D90" s="214" t="s">
        <v>55</v>
      </c>
      <c r="E90" s="209">
        <v>1.0</v>
      </c>
      <c r="F90" s="210"/>
      <c r="G90" s="211"/>
      <c r="H90" s="823" t="s">
        <v>56</v>
      </c>
      <c r="I90" s="827" t="s">
        <v>43</v>
      </c>
      <c r="J90" s="3" t="s">
        <v>1075</v>
      </c>
      <c r="K90" s="204"/>
      <c r="L90" s="204"/>
    </row>
    <row r="91">
      <c r="A91" s="205"/>
      <c r="D91" s="209" t="s">
        <v>159</v>
      </c>
      <c r="E91" s="209">
        <v>1.0</v>
      </c>
      <c r="F91" s="227"/>
      <c r="G91" s="227"/>
      <c r="H91" s="823" t="s">
        <v>160</v>
      </c>
      <c r="I91" s="840" t="s">
        <v>144</v>
      </c>
      <c r="K91" s="204"/>
      <c r="L91" s="204"/>
    </row>
    <row r="92">
      <c r="A92" s="205"/>
      <c r="D92" s="214" t="s">
        <v>162</v>
      </c>
      <c r="E92" s="209">
        <v>2.0</v>
      </c>
      <c r="F92" s="243"/>
      <c r="G92" s="211"/>
      <c r="H92" s="823" t="s">
        <v>164</v>
      </c>
      <c r="I92" s="827" t="s">
        <v>163</v>
      </c>
      <c r="K92" s="204"/>
      <c r="L92" s="204"/>
    </row>
    <row r="93">
      <c r="A93" s="205"/>
      <c r="D93" s="209" t="s">
        <v>131</v>
      </c>
      <c r="E93" s="209">
        <v>1.0</v>
      </c>
      <c r="F93" s="310"/>
      <c r="G93" s="310"/>
      <c r="H93" s="212" t="s">
        <v>132</v>
      </c>
      <c r="I93" s="827" t="s">
        <v>105</v>
      </c>
      <c r="K93" s="204"/>
      <c r="L93" s="204"/>
    </row>
    <row r="94">
      <c r="A94" s="217"/>
      <c r="B94" s="218"/>
      <c r="C94" s="218"/>
      <c r="D94" s="919" t="s">
        <v>22</v>
      </c>
      <c r="E94" s="219">
        <v>1.0</v>
      </c>
      <c r="F94" s="355"/>
      <c r="G94" s="356"/>
      <c r="H94" s="222" t="s">
        <v>307</v>
      </c>
      <c r="I94" s="844" t="s">
        <v>23</v>
      </c>
      <c r="J94" s="3" t="s">
        <v>1075</v>
      </c>
      <c r="K94" s="204"/>
      <c r="L94" s="204"/>
    </row>
    <row r="95" ht="39.0" customHeight="1">
      <c r="A95" s="920" t="s">
        <v>484</v>
      </c>
      <c r="H95" s="921"/>
      <c r="I95" s="922"/>
      <c r="K95" s="204"/>
      <c r="L95" s="204"/>
    </row>
    <row r="96">
      <c r="A96" s="195" t="s">
        <v>1081</v>
      </c>
      <c r="B96" s="237" t="s">
        <v>1082</v>
      </c>
      <c r="C96" s="197">
        <f>sum(E96:E99)</f>
        <v>9</v>
      </c>
      <c r="D96" s="238" t="s">
        <v>143</v>
      </c>
      <c r="E96" s="238">
        <v>5.0</v>
      </c>
      <c r="F96" s="280"/>
      <c r="G96" s="280"/>
      <c r="H96" s="241" t="s">
        <v>145</v>
      </c>
      <c r="I96" s="923" t="s">
        <v>144</v>
      </c>
      <c r="J96" s="255"/>
      <c r="K96" s="718"/>
      <c r="L96" s="718"/>
      <c r="M96" s="255"/>
      <c r="N96" s="255"/>
      <c r="O96" s="255"/>
      <c r="P96" s="255"/>
      <c r="Q96" s="255"/>
      <c r="R96" s="255"/>
      <c r="S96" s="255"/>
      <c r="T96" s="255"/>
      <c r="U96" s="255"/>
      <c r="V96" s="255"/>
      <c r="W96" s="255"/>
      <c r="X96" s="255"/>
      <c r="Y96" s="255"/>
      <c r="Z96" s="255"/>
      <c r="AA96" s="255"/>
      <c r="AB96" s="255"/>
      <c r="AC96" s="719"/>
    </row>
    <row r="97">
      <c r="A97" s="205"/>
      <c r="D97" s="854" t="s">
        <v>185</v>
      </c>
      <c r="E97" s="855">
        <v>1.0</v>
      </c>
      <c r="F97" s="3"/>
      <c r="G97" s="326"/>
      <c r="H97" s="856" t="s">
        <v>187</v>
      </c>
      <c r="I97" s="924" t="s">
        <v>186</v>
      </c>
      <c r="K97" s="204"/>
      <c r="L97" s="204"/>
      <c r="AC97" s="721"/>
    </row>
    <row r="98">
      <c r="A98" s="205"/>
      <c r="D98" s="209" t="s">
        <v>284</v>
      </c>
      <c r="E98" s="209">
        <v>2.0</v>
      </c>
      <c r="F98" s="215"/>
      <c r="G98" s="216"/>
      <c r="H98" s="823" t="s">
        <v>115</v>
      </c>
      <c r="I98" s="204" t="s">
        <v>105</v>
      </c>
      <c r="K98" s="204"/>
      <c r="L98" s="204"/>
      <c r="AC98" s="721"/>
    </row>
    <row r="99">
      <c r="A99" s="217"/>
      <c r="B99" s="218"/>
      <c r="C99" s="218"/>
      <c r="D99" s="219" t="s">
        <v>131</v>
      </c>
      <c r="E99" s="219">
        <v>1.0</v>
      </c>
      <c r="F99" s="258"/>
      <c r="G99" s="258"/>
      <c r="H99" s="222" t="s">
        <v>132</v>
      </c>
      <c r="I99" s="723" t="s">
        <v>105</v>
      </c>
      <c r="J99" s="264"/>
      <c r="K99" s="723"/>
      <c r="L99" s="723"/>
      <c r="M99" s="264"/>
      <c r="N99" s="264"/>
      <c r="O99" s="264"/>
      <c r="P99" s="264"/>
      <c r="Q99" s="264"/>
      <c r="R99" s="264"/>
      <c r="S99" s="264"/>
      <c r="T99" s="264"/>
      <c r="U99" s="264"/>
      <c r="V99" s="264"/>
      <c r="W99" s="264"/>
      <c r="X99" s="264"/>
      <c r="Y99" s="264"/>
      <c r="Z99" s="264"/>
      <c r="AA99" s="264"/>
      <c r="AB99" s="264"/>
      <c r="AC99" s="724"/>
    </row>
    <row r="100">
      <c r="A100" s="224" t="s">
        <v>508</v>
      </c>
      <c r="B100" s="225" t="s">
        <v>509</v>
      </c>
      <c r="C100" s="276">
        <f>sum(E100:E103)</f>
        <v>9</v>
      </c>
      <c r="D100" s="854" t="s">
        <v>330</v>
      </c>
      <c r="E100" s="209">
        <v>2.0</v>
      </c>
      <c r="F100" s="210"/>
      <c r="G100" s="211"/>
      <c r="H100" s="823" t="s">
        <v>331</v>
      </c>
      <c r="I100" s="827" t="s">
        <v>7</v>
      </c>
      <c r="K100" s="204"/>
      <c r="L100" s="204"/>
    </row>
    <row r="101">
      <c r="A101" s="205"/>
      <c r="D101" s="847" t="s">
        <v>510</v>
      </c>
      <c r="E101" s="847">
        <v>3.0</v>
      </c>
      <c r="F101" s="210"/>
      <c r="G101" s="211"/>
      <c r="H101" s="823" t="s">
        <v>511</v>
      </c>
      <c r="I101" s="827" t="s">
        <v>98</v>
      </c>
      <c r="K101" s="204"/>
      <c r="L101" s="204"/>
    </row>
    <row r="102">
      <c r="A102" s="205"/>
      <c r="D102" s="825" t="s">
        <v>61</v>
      </c>
      <c r="E102" s="825">
        <v>1.0</v>
      </c>
      <c r="F102" s="233"/>
      <c r="G102" s="233"/>
      <c r="H102" s="826" t="s">
        <v>62</v>
      </c>
      <c r="I102" s="827" t="s">
        <v>43</v>
      </c>
      <c r="K102" s="204"/>
      <c r="L102" s="204"/>
    </row>
    <row r="103">
      <c r="A103" s="217"/>
      <c r="B103" s="218"/>
      <c r="C103" s="218"/>
      <c r="D103" s="209" t="s">
        <v>64</v>
      </c>
      <c r="E103" s="209">
        <v>3.0</v>
      </c>
      <c r="F103" s="215"/>
      <c r="G103" s="216"/>
      <c r="H103" s="823" t="s">
        <v>283</v>
      </c>
      <c r="I103" s="827" t="s">
        <v>65</v>
      </c>
      <c r="K103" s="204"/>
      <c r="L103" s="204"/>
    </row>
    <row r="104">
      <c r="A104" s="236" t="s">
        <v>1083</v>
      </c>
      <c r="B104" s="237" t="s">
        <v>608</v>
      </c>
      <c r="C104" s="197">
        <f>sum(E104:E108)</f>
        <v>9</v>
      </c>
      <c r="D104" s="728" t="s">
        <v>162</v>
      </c>
      <c r="E104" s="238">
        <v>2.0</v>
      </c>
      <c r="F104" s="321"/>
      <c r="G104" s="255"/>
      <c r="H104" s="821" t="s">
        <v>164</v>
      </c>
      <c r="I104" s="822" t="s">
        <v>163</v>
      </c>
      <c r="K104" s="204"/>
      <c r="L104" s="204"/>
    </row>
    <row r="105">
      <c r="A105" s="205"/>
      <c r="D105" s="832" t="s">
        <v>182</v>
      </c>
      <c r="E105" s="833">
        <v>2.0</v>
      </c>
      <c r="F105" s="130"/>
      <c r="G105" s="131"/>
      <c r="H105" s="131" t="s">
        <v>183</v>
      </c>
      <c r="I105" s="835" t="s">
        <v>176</v>
      </c>
      <c r="K105" s="204"/>
      <c r="L105" s="204"/>
    </row>
    <row r="106">
      <c r="A106" s="205"/>
      <c r="D106" s="283" t="s">
        <v>39</v>
      </c>
      <c r="E106" s="925">
        <v>1.0</v>
      </c>
      <c r="F106" s="30"/>
      <c r="G106" s="32"/>
      <c r="H106" s="32" t="s">
        <v>40</v>
      </c>
      <c r="I106" s="824" t="s">
        <v>30</v>
      </c>
      <c r="K106" s="204"/>
      <c r="L106" s="204"/>
    </row>
    <row r="107">
      <c r="A107" s="205"/>
      <c r="D107" s="209" t="s">
        <v>405</v>
      </c>
      <c r="E107" s="209">
        <v>3.0</v>
      </c>
      <c r="F107" s="210"/>
      <c r="G107" s="211"/>
      <c r="H107" s="823" t="s">
        <v>31</v>
      </c>
      <c r="I107" s="824" t="s">
        <v>30</v>
      </c>
      <c r="K107" s="204"/>
      <c r="L107" s="204"/>
    </row>
    <row r="108">
      <c r="A108" s="217"/>
      <c r="B108" s="218"/>
      <c r="C108" s="218"/>
      <c r="D108" s="919" t="s">
        <v>22</v>
      </c>
      <c r="E108" s="219">
        <v>1.0</v>
      </c>
      <c r="F108" s="313"/>
      <c r="G108" s="264"/>
      <c r="H108" s="852" t="s">
        <v>307</v>
      </c>
      <c r="I108" s="844" t="s">
        <v>23</v>
      </c>
      <c r="K108" s="204"/>
      <c r="L108" s="204"/>
    </row>
    <row r="109">
      <c r="A109" s="236" t="s">
        <v>1084</v>
      </c>
      <c r="B109" s="237" t="s">
        <v>367</v>
      </c>
      <c r="C109" s="197">
        <f>sum(E109:E112)</f>
        <v>8</v>
      </c>
      <c r="D109" s="697" t="s">
        <v>1085</v>
      </c>
      <c r="E109" s="238">
        <v>4.0</v>
      </c>
      <c r="F109" s="278"/>
      <c r="G109" s="255"/>
      <c r="H109" s="821" t="s">
        <v>1086</v>
      </c>
      <c r="I109" s="822" t="s">
        <v>7</v>
      </c>
      <c r="K109" s="204"/>
      <c r="L109" s="204"/>
    </row>
    <row r="110">
      <c r="A110" s="205"/>
      <c r="D110" s="854" t="s">
        <v>126</v>
      </c>
      <c r="E110" s="209">
        <v>1.0</v>
      </c>
      <c r="F110" s="347" t="s">
        <v>368</v>
      </c>
      <c r="G110" s="348" t="s">
        <v>372</v>
      </c>
      <c r="H110" s="823" t="s">
        <v>127</v>
      </c>
      <c r="I110" s="827" t="s">
        <v>105</v>
      </c>
      <c r="K110" s="204"/>
      <c r="L110" s="204"/>
    </row>
    <row r="111">
      <c r="A111" s="205"/>
      <c r="D111" s="825" t="s">
        <v>61</v>
      </c>
      <c r="E111" s="825">
        <v>1.0</v>
      </c>
      <c r="F111" s="233"/>
      <c r="G111" s="233"/>
      <c r="H111" s="826" t="s">
        <v>62</v>
      </c>
      <c r="I111" s="827" t="s">
        <v>43</v>
      </c>
      <c r="K111" s="204"/>
      <c r="L111" s="204"/>
    </row>
    <row r="112">
      <c r="A112" s="217"/>
      <c r="B112" s="218"/>
      <c r="C112" s="218"/>
      <c r="D112" s="219" t="s">
        <v>284</v>
      </c>
      <c r="E112" s="219">
        <v>2.0</v>
      </c>
      <c r="F112" s="220"/>
      <c r="G112" s="221"/>
      <c r="H112" s="852" t="s">
        <v>115</v>
      </c>
      <c r="I112" s="827" t="s">
        <v>105</v>
      </c>
      <c r="K112" s="204"/>
      <c r="L112" s="204"/>
    </row>
    <row r="113">
      <c r="A113" s="236" t="s">
        <v>1087</v>
      </c>
      <c r="B113" s="237" t="s">
        <v>1088</v>
      </c>
      <c r="C113" s="197">
        <f>sum(E113:E116)</f>
        <v>7</v>
      </c>
      <c r="D113" s="845" t="s">
        <v>1089</v>
      </c>
      <c r="E113" s="845">
        <v>2.0</v>
      </c>
      <c r="F113" s="278"/>
      <c r="G113" s="255"/>
      <c r="H113" s="495" t="s">
        <v>1090</v>
      </c>
      <c r="I113" s="822" t="s">
        <v>65</v>
      </c>
      <c r="K113" s="204"/>
      <c r="L113" s="204"/>
    </row>
    <row r="114">
      <c r="A114" s="205"/>
      <c r="D114" s="847" t="s">
        <v>175</v>
      </c>
      <c r="E114" s="847">
        <v>3.0</v>
      </c>
      <c r="F114" s="211"/>
      <c r="G114" s="211"/>
      <c r="H114" s="823" t="s">
        <v>289</v>
      </c>
      <c r="I114" s="827" t="s">
        <v>176</v>
      </c>
      <c r="K114" s="204"/>
      <c r="L114" s="204"/>
    </row>
    <row r="115">
      <c r="A115" s="205"/>
      <c r="D115" s="847" t="s">
        <v>1091</v>
      </c>
      <c r="E115" s="847">
        <v>1.0</v>
      </c>
      <c r="F115" s="210"/>
      <c r="G115" s="211"/>
      <c r="H115" s="3" t="s">
        <v>1092</v>
      </c>
      <c r="I115" s="827" t="s">
        <v>163</v>
      </c>
      <c r="K115" s="204"/>
      <c r="L115" s="204"/>
    </row>
    <row r="116">
      <c r="A116" s="217"/>
      <c r="B116" s="218"/>
      <c r="C116" s="218"/>
      <c r="D116" s="679" t="s">
        <v>1093</v>
      </c>
      <c r="E116" s="679">
        <v>1.0</v>
      </c>
      <c r="F116" s="263"/>
      <c r="G116" s="264"/>
      <c r="H116" s="342" t="s">
        <v>1094</v>
      </c>
      <c r="I116" s="844" t="s">
        <v>105</v>
      </c>
      <c r="K116" s="204"/>
      <c r="L116" s="204"/>
    </row>
    <row r="117">
      <c r="A117" s="715" t="s">
        <v>1095</v>
      </c>
      <c r="B117" s="447" t="s">
        <v>1096</v>
      </c>
      <c r="C117" s="926">
        <f>sum(E117:E122)</f>
        <v>7</v>
      </c>
      <c r="D117" s="927" t="s">
        <v>26</v>
      </c>
      <c r="E117" s="928">
        <v>1.0</v>
      </c>
      <c r="F117" s="929"/>
      <c r="G117" s="929"/>
      <c r="H117" s="929" t="s">
        <v>27</v>
      </c>
      <c r="I117" s="930" t="s">
        <v>23</v>
      </c>
      <c r="K117" s="204"/>
      <c r="L117" s="204"/>
    </row>
    <row r="118">
      <c r="A118" s="205"/>
      <c r="D118" s="931" t="s">
        <v>33</v>
      </c>
      <c r="E118" s="931">
        <v>1.0</v>
      </c>
      <c r="F118" s="932"/>
      <c r="G118" s="932"/>
      <c r="H118" s="932" t="s">
        <v>34</v>
      </c>
      <c r="I118" s="933" t="s">
        <v>30</v>
      </c>
      <c r="K118" s="204"/>
      <c r="L118" s="204"/>
    </row>
    <row r="119">
      <c r="A119" s="205"/>
      <c r="D119" s="934" t="s">
        <v>61</v>
      </c>
      <c r="E119" s="934">
        <v>1.0</v>
      </c>
      <c r="F119" s="935"/>
      <c r="G119" s="935"/>
      <c r="H119" s="935" t="s">
        <v>62</v>
      </c>
      <c r="I119" s="936" t="s">
        <v>43</v>
      </c>
      <c r="K119" s="204"/>
      <c r="L119" s="204"/>
    </row>
    <row r="120">
      <c r="A120" s="205"/>
      <c r="D120" s="937" t="s">
        <v>117</v>
      </c>
      <c r="E120" s="937">
        <v>1.0</v>
      </c>
      <c r="F120" s="594"/>
      <c r="G120" s="594"/>
      <c r="H120" s="594" t="s">
        <v>322</v>
      </c>
      <c r="I120" s="914" t="s">
        <v>105</v>
      </c>
      <c r="K120" s="204"/>
      <c r="L120" s="204"/>
    </row>
    <row r="121">
      <c r="A121" s="205"/>
      <c r="D121" s="938" t="s">
        <v>189</v>
      </c>
      <c r="E121" s="939">
        <v>1.0</v>
      </c>
      <c r="F121" s="590"/>
      <c r="G121" s="590"/>
      <c r="H121" s="590" t="s">
        <v>190</v>
      </c>
      <c r="I121" s="940" t="s">
        <v>186</v>
      </c>
      <c r="K121" s="204"/>
      <c r="L121" s="204"/>
    </row>
    <row r="122">
      <c r="A122" s="217"/>
      <c r="B122" s="218"/>
      <c r="C122" s="218"/>
      <c r="D122" s="941" t="s">
        <v>162</v>
      </c>
      <c r="E122" s="941">
        <v>2.0</v>
      </c>
      <c r="F122" s="942"/>
      <c r="G122" s="942"/>
      <c r="H122" s="942" t="s">
        <v>164</v>
      </c>
      <c r="I122" s="943" t="s">
        <v>163</v>
      </c>
      <c r="K122" s="204"/>
      <c r="L122" s="204"/>
    </row>
    <row r="123">
      <c r="A123" s="944" t="s">
        <v>738</v>
      </c>
      <c r="B123" s="218"/>
      <c r="C123" s="218"/>
      <c r="D123" s="218"/>
      <c r="E123" s="218"/>
      <c r="F123" s="218"/>
      <c r="G123" s="218"/>
      <c r="H123" s="945"/>
      <c r="I123" s="946"/>
      <c r="K123" s="204"/>
      <c r="L123" s="204"/>
    </row>
    <row r="124">
      <c r="A124" s="195" t="s">
        <v>1097</v>
      </c>
      <c r="B124" s="237" t="s">
        <v>509</v>
      </c>
      <c r="C124" s="197">
        <f>sum(E124:E126)</f>
        <v>6</v>
      </c>
      <c r="D124" s="683" t="s">
        <v>123</v>
      </c>
      <c r="E124" s="947">
        <v>1.0</v>
      </c>
      <c r="F124" s="442"/>
      <c r="G124" s="684"/>
      <c r="H124" s="684" t="s">
        <v>124</v>
      </c>
      <c r="I124" s="948" t="s">
        <v>105</v>
      </c>
      <c r="K124" s="204"/>
      <c r="L124" s="204"/>
    </row>
    <row r="125">
      <c r="A125" s="205"/>
      <c r="D125" s="209" t="s">
        <v>284</v>
      </c>
      <c r="E125" s="209">
        <v>2.0</v>
      </c>
      <c r="F125" s="215"/>
      <c r="G125" s="216"/>
      <c r="H125" s="823" t="s">
        <v>115</v>
      </c>
      <c r="I125" s="827" t="s">
        <v>105</v>
      </c>
      <c r="K125" s="204"/>
      <c r="L125" s="204"/>
    </row>
    <row r="126">
      <c r="A126" s="217"/>
      <c r="B126" s="218"/>
      <c r="C126" s="218"/>
      <c r="D126" s="949" t="s">
        <v>147</v>
      </c>
      <c r="E126" s="949">
        <v>3.0</v>
      </c>
      <c r="F126" s="950"/>
      <c r="G126" s="950"/>
      <c r="H126" s="950" t="s">
        <v>145</v>
      </c>
      <c r="I126" s="951" t="s">
        <v>144</v>
      </c>
      <c r="K126" s="204"/>
      <c r="L126" s="204"/>
    </row>
    <row r="127">
      <c r="A127" s="224" t="s">
        <v>1098</v>
      </c>
      <c r="B127" s="225" t="s">
        <v>604</v>
      </c>
      <c r="C127" s="276">
        <f>sum(E127:E128)</f>
        <v>5</v>
      </c>
      <c r="D127" s="214" t="s">
        <v>162</v>
      </c>
      <c r="E127" s="209">
        <v>2.0</v>
      </c>
      <c r="F127" s="243"/>
      <c r="G127" s="211"/>
      <c r="H127" s="823" t="s">
        <v>164</v>
      </c>
      <c r="I127" s="827" t="s">
        <v>163</v>
      </c>
      <c r="K127" s="204"/>
      <c r="L127" s="204"/>
    </row>
    <row r="128">
      <c r="A128" s="217"/>
      <c r="B128" s="218"/>
      <c r="C128" s="218"/>
      <c r="D128" s="847" t="s">
        <v>175</v>
      </c>
      <c r="E128" s="847">
        <v>3.0</v>
      </c>
      <c r="F128" s="211"/>
      <c r="G128" s="211"/>
      <c r="H128" s="823" t="s">
        <v>289</v>
      </c>
      <c r="I128" s="827" t="s">
        <v>176</v>
      </c>
      <c r="K128" s="204"/>
      <c r="L128" s="204"/>
    </row>
    <row r="129">
      <c r="A129" s="236" t="s">
        <v>797</v>
      </c>
      <c r="B129" s="237" t="s">
        <v>798</v>
      </c>
      <c r="C129" s="197">
        <f>sum(E129:E130)</f>
        <v>4</v>
      </c>
      <c r="D129" s="238" t="s">
        <v>120</v>
      </c>
      <c r="E129" s="238">
        <v>1.0</v>
      </c>
      <c r="F129" s="353"/>
      <c r="G129" s="353"/>
      <c r="H129" s="241" t="s">
        <v>327</v>
      </c>
      <c r="I129" s="822" t="s">
        <v>105</v>
      </c>
      <c r="K129" s="204"/>
      <c r="L129" s="204"/>
    </row>
    <row r="130">
      <c r="A130" s="217"/>
      <c r="B130" s="218"/>
      <c r="C130" s="218"/>
      <c r="D130" s="847" t="s">
        <v>799</v>
      </c>
      <c r="E130" s="847">
        <v>3.0</v>
      </c>
      <c r="F130" s="210"/>
      <c r="G130" s="210"/>
      <c r="H130" s="839" t="s">
        <v>800</v>
      </c>
      <c r="I130" s="827" t="s">
        <v>105</v>
      </c>
      <c r="K130" s="204"/>
      <c r="L130" s="204"/>
    </row>
    <row r="131">
      <c r="A131" s="755" t="s">
        <v>1099</v>
      </c>
      <c r="B131" s="752" t="s">
        <v>1100</v>
      </c>
      <c r="C131" s="753">
        <f>sum(E131)</f>
        <v>4</v>
      </c>
      <c r="D131" s="952" t="s">
        <v>1101</v>
      </c>
      <c r="E131" s="624">
        <v>4.0</v>
      </c>
      <c r="F131" s="953"/>
      <c r="G131" s="953"/>
      <c r="H131" s="954" t="s">
        <v>1102</v>
      </c>
      <c r="I131" s="955" t="s">
        <v>105</v>
      </c>
      <c r="K131" s="204"/>
      <c r="L131" s="204"/>
    </row>
    <row r="132">
      <c r="A132" s="225" t="s">
        <v>1103</v>
      </c>
      <c r="B132" s="225" t="s">
        <v>395</v>
      </c>
      <c r="C132" s="197">
        <f>sum(E132:E133)</f>
        <v>3</v>
      </c>
      <c r="D132" s="214" t="s">
        <v>162</v>
      </c>
      <c r="E132" s="209">
        <v>2.0</v>
      </c>
      <c r="F132" s="243"/>
      <c r="G132" s="211"/>
      <c r="H132" s="823" t="s">
        <v>164</v>
      </c>
      <c r="I132" s="827" t="s">
        <v>163</v>
      </c>
      <c r="K132" s="204"/>
      <c r="L132" s="204"/>
    </row>
    <row r="133">
      <c r="D133" s="575" t="s">
        <v>94</v>
      </c>
      <c r="E133" s="911">
        <v>1.0</v>
      </c>
      <c r="F133" s="53"/>
      <c r="G133" s="60"/>
      <c r="H133" s="956" t="s">
        <v>95</v>
      </c>
      <c r="I133" s="957" t="s">
        <v>65</v>
      </c>
      <c r="K133" s="204"/>
      <c r="L133" s="204"/>
    </row>
    <row r="134">
      <c r="A134" s="236" t="s">
        <v>985</v>
      </c>
      <c r="B134" s="237" t="s">
        <v>986</v>
      </c>
      <c r="C134" s="197">
        <f t="shared" ref="C134:C135" si="1">sum(E134)</f>
        <v>0</v>
      </c>
      <c r="D134" s="958" t="s">
        <v>979</v>
      </c>
      <c r="E134" s="294"/>
      <c r="F134" s="294"/>
      <c r="G134" s="294"/>
      <c r="H134" s="294"/>
      <c r="I134" s="796"/>
      <c r="K134" s="204"/>
      <c r="L134" s="204"/>
    </row>
    <row r="135">
      <c r="A135" s="312" t="s">
        <v>1104</v>
      </c>
      <c r="B135" s="225" t="s">
        <v>708</v>
      </c>
      <c r="C135" s="197">
        <f t="shared" si="1"/>
        <v>0</v>
      </c>
      <c r="D135" s="958" t="s">
        <v>979</v>
      </c>
      <c r="E135" s="294"/>
      <c r="F135" s="294"/>
      <c r="G135" s="294"/>
      <c r="H135" s="294"/>
      <c r="I135" s="796"/>
      <c r="K135" s="204"/>
      <c r="L135" s="204"/>
    </row>
    <row r="136">
      <c r="D136" s="215"/>
      <c r="E136" s="215"/>
      <c r="F136" s="210"/>
      <c r="H136" s="959"/>
      <c r="I136" s="960"/>
      <c r="K136" s="204"/>
      <c r="L136" s="204"/>
    </row>
    <row r="137">
      <c r="D137" s="215"/>
      <c r="E137" s="215"/>
      <c r="F137" s="210"/>
      <c r="H137" s="959"/>
      <c r="I137" s="960"/>
      <c r="K137" s="204"/>
      <c r="L137" s="204"/>
    </row>
    <row r="138">
      <c r="D138" s="215"/>
      <c r="E138" s="215"/>
      <c r="F138" s="210"/>
      <c r="H138" s="959"/>
      <c r="I138" s="960"/>
      <c r="K138" s="204"/>
      <c r="L138" s="204"/>
    </row>
    <row r="139">
      <c r="D139" s="215"/>
      <c r="E139" s="215"/>
      <c r="F139" s="210"/>
      <c r="H139" s="959"/>
      <c r="I139" s="960"/>
      <c r="K139" s="204"/>
      <c r="L139" s="204"/>
    </row>
    <row r="140">
      <c r="D140" s="215"/>
      <c r="E140" s="215"/>
      <c r="F140" s="210"/>
      <c r="H140" s="959"/>
      <c r="I140" s="960"/>
      <c r="K140" s="204"/>
      <c r="L140" s="204"/>
    </row>
    <row r="141">
      <c r="D141" s="215"/>
      <c r="E141" s="215"/>
      <c r="F141" s="210"/>
      <c r="H141" s="959"/>
      <c r="I141" s="960"/>
      <c r="K141" s="204"/>
      <c r="L141" s="204"/>
    </row>
    <row r="142">
      <c r="D142" s="215"/>
      <c r="E142" s="215"/>
      <c r="F142" s="210"/>
      <c r="H142" s="959"/>
      <c r="I142" s="960"/>
      <c r="K142" s="204"/>
      <c r="L142" s="204"/>
    </row>
    <row r="143">
      <c r="D143" s="215"/>
      <c r="E143" s="215"/>
      <c r="F143" s="210"/>
      <c r="H143" s="959"/>
      <c r="I143" s="960"/>
      <c r="K143" s="204"/>
      <c r="L143" s="204"/>
    </row>
    <row r="144">
      <c r="D144" s="215"/>
      <c r="E144" s="215"/>
      <c r="F144" s="210"/>
      <c r="H144" s="959"/>
      <c r="I144" s="960"/>
      <c r="K144" s="204"/>
      <c r="L144" s="204"/>
    </row>
    <row r="145">
      <c r="D145" s="215"/>
      <c r="E145" s="215"/>
      <c r="F145" s="210"/>
      <c r="H145" s="959"/>
      <c r="I145" s="960"/>
      <c r="K145" s="204"/>
      <c r="L145" s="204"/>
    </row>
    <row r="146">
      <c r="D146" s="215"/>
      <c r="E146" s="215"/>
      <c r="F146" s="210"/>
      <c r="H146" s="959"/>
      <c r="I146" s="960"/>
      <c r="K146" s="204"/>
      <c r="L146" s="204"/>
    </row>
    <row r="147">
      <c r="D147" s="215"/>
      <c r="E147" s="215"/>
      <c r="F147" s="210"/>
      <c r="H147" s="959"/>
      <c r="I147" s="960"/>
      <c r="K147" s="204"/>
      <c r="L147" s="204"/>
    </row>
    <row r="148">
      <c r="D148" s="215"/>
      <c r="E148" s="215"/>
      <c r="F148" s="210"/>
      <c r="H148" s="959"/>
      <c r="I148" s="960"/>
      <c r="K148" s="204"/>
      <c r="L148" s="204"/>
    </row>
    <row r="149">
      <c r="D149" s="215"/>
      <c r="E149" s="215"/>
      <c r="F149" s="210"/>
      <c r="H149" s="959"/>
      <c r="I149" s="960"/>
      <c r="K149" s="204"/>
      <c r="L149" s="204"/>
    </row>
    <row r="150">
      <c r="D150" s="215"/>
      <c r="E150" s="215"/>
      <c r="F150" s="210"/>
      <c r="H150" s="959"/>
      <c r="I150" s="960"/>
      <c r="K150" s="204"/>
      <c r="L150" s="204"/>
    </row>
    <row r="151">
      <c r="D151" s="215"/>
      <c r="E151" s="215"/>
      <c r="F151" s="210"/>
      <c r="H151" s="959"/>
      <c r="I151" s="960"/>
      <c r="K151" s="204"/>
      <c r="L151" s="204"/>
    </row>
    <row r="152">
      <c r="D152" s="215"/>
      <c r="E152" s="215"/>
      <c r="F152" s="210"/>
      <c r="H152" s="959"/>
      <c r="I152" s="960"/>
      <c r="K152" s="204"/>
      <c r="L152" s="204"/>
    </row>
    <row r="153">
      <c r="D153" s="215"/>
      <c r="E153" s="215"/>
      <c r="F153" s="210"/>
      <c r="H153" s="959"/>
      <c r="I153" s="960"/>
      <c r="K153" s="204"/>
      <c r="L153" s="204"/>
    </row>
    <row r="154">
      <c r="D154" s="215"/>
      <c r="E154" s="215"/>
      <c r="F154" s="210"/>
      <c r="H154" s="959"/>
      <c r="I154" s="960"/>
      <c r="K154" s="204"/>
      <c r="L154" s="204"/>
    </row>
    <row r="155">
      <c r="D155" s="215"/>
      <c r="E155" s="215"/>
      <c r="F155" s="210"/>
      <c r="H155" s="959"/>
      <c r="I155" s="960"/>
      <c r="K155" s="204"/>
      <c r="L155" s="204"/>
    </row>
    <row r="156">
      <c r="D156" s="215"/>
      <c r="E156" s="215"/>
      <c r="F156" s="210"/>
      <c r="H156" s="959"/>
      <c r="I156" s="960"/>
      <c r="K156" s="204"/>
      <c r="L156" s="204"/>
    </row>
    <row r="157">
      <c r="D157" s="215"/>
      <c r="E157" s="215"/>
      <c r="F157" s="210"/>
      <c r="H157" s="959"/>
      <c r="I157" s="960"/>
      <c r="K157" s="204"/>
      <c r="L157" s="204"/>
    </row>
    <row r="158">
      <c r="D158" s="215"/>
      <c r="E158" s="215"/>
      <c r="F158" s="210"/>
      <c r="H158" s="959"/>
      <c r="I158" s="960"/>
      <c r="K158" s="204"/>
      <c r="L158" s="204"/>
    </row>
    <row r="159">
      <c r="D159" s="215"/>
      <c r="E159" s="215"/>
      <c r="F159" s="210"/>
      <c r="H159" s="959"/>
      <c r="I159" s="960"/>
      <c r="K159" s="204"/>
      <c r="L159" s="204"/>
    </row>
    <row r="160">
      <c r="D160" s="215"/>
      <c r="E160" s="215"/>
      <c r="F160" s="210"/>
      <c r="H160" s="959"/>
      <c r="I160" s="960"/>
      <c r="K160" s="204"/>
      <c r="L160" s="204"/>
    </row>
    <row r="161">
      <c r="D161" s="215"/>
      <c r="E161" s="215"/>
      <c r="F161" s="210"/>
      <c r="H161" s="959"/>
      <c r="I161" s="960"/>
      <c r="K161" s="204"/>
      <c r="L161" s="204"/>
    </row>
    <row r="162">
      <c r="D162" s="215"/>
      <c r="E162" s="215"/>
      <c r="F162" s="210"/>
      <c r="H162" s="959"/>
      <c r="I162" s="960"/>
      <c r="K162" s="204"/>
      <c r="L162" s="204"/>
    </row>
    <row r="163">
      <c r="D163" s="215"/>
      <c r="E163" s="215"/>
      <c r="F163" s="210"/>
      <c r="H163" s="959"/>
      <c r="I163" s="960"/>
      <c r="K163" s="204"/>
      <c r="L163" s="204"/>
    </row>
    <row r="164">
      <c r="D164" s="215"/>
      <c r="E164" s="215"/>
      <c r="F164" s="210"/>
      <c r="H164" s="959"/>
      <c r="I164" s="960"/>
      <c r="K164" s="204"/>
      <c r="L164" s="204"/>
    </row>
    <row r="165">
      <c r="D165" s="215"/>
      <c r="E165" s="215"/>
      <c r="F165" s="210"/>
      <c r="H165" s="959"/>
      <c r="I165" s="960"/>
      <c r="K165" s="204"/>
      <c r="L165" s="204"/>
    </row>
    <row r="166">
      <c r="D166" s="215"/>
      <c r="E166" s="215"/>
      <c r="F166" s="210"/>
      <c r="H166" s="959"/>
      <c r="I166" s="960"/>
      <c r="K166" s="204"/>
      <c r="L166" s="204"/>
    </row>
    <row r="167">
      <c r="D167" s="215"/>
      <c r="E167" s="215"/>
      <c r="F167" s="210"/>
      <c r="H167" s="959"/>
      <c r="I167" s="960"/>
      <c r="K167" s="204"/>
      <c r="L167" s="204"/>
    </row>
    <row r="168">
      <c r="D168" s="215"/>
      <c r="E168" s="215"/>
      <c r="F168" s="210"/>
      <c r="H168" s="959"/>
      <c r="I168" s="960"/>
      <c r="K168" s="204"/>
      <c r="L168" s="204"/>
    </row>
    <row r="169">
      <c r="D169" s="215"/>
      <c r="E169" s="215"/>
      <c r="F169" s="210"/>
      <c r="H169" s="959"/>
      <c r="I169" s="960"/>
      <c r="K169" s="204"/>
      <c r="L169" s="204"/>
    </row>
    <row r="170">
      <c r="D170" s="215"/>
      <c r="E170" s="215"/>
      <c r="F170" s="210"/>
      <c r="H170" s="959"/>
      <c r="I170" s="960"/>
      <c r="K170" s="204"/>
      <c r="L170" s="204"/>
    </row>
    <row r="171">
      <c r="D171" s="215"/>
      <c r="E171" s="215"/>
      <c r="F171" s="210"/>
      <c r="H171" s="959"/>
      <c r="I171" s="960"/>
      <c r="K171" s="204"/>
      <c r="L171" s="204"/>
    </row>
    <row r="172">
      <c r="D172" s="215"/>
      <c r="E172" s="215"/>
      <c r="F172" s="210"/>
      <c r="H172" s="959"/>
      <c r="I172" s="960"/>
      <c r="K172" s="204"/>
      <c r="L172" s="204"/>
    </row>
    <row r="173">
      <c r="D173" s="215"/>
      <c r="E173" s="215"/>
      <c r="F173" s="210"/>
      <c r="H173" s="959"/>
      <c r="I173" s="960"/>
      <c r="K173" s="204"/>
      <c r="L173" s="204"/>
    </row>
    <row r="174">
      <c r="D174" s="215"/>
      <c r="E174" s="215"/>
      <c r="F174" s="210"/>
      <c r="H174" s="959"/>
      <c r="I174" s="960"/>
      <c r="K174" s="204"/>
      <c r="L174" s="204"/>
    </row>
    <row r="175">
      <c r="D175" s="215"/>
      <c r="E175" s="215"/>
      <c r="F175" s="210"/>
      <c r="H175" s="959"/>
      <c r="I175" s="960"/>
      <c r="K175" s="204"/>
      <c r="L175" s="204"/>
    </row>
    <row r="176">
      <c r="D176" s="215"/>
      <c r="E176" s="215"/>
      <c r="F176" s="210"/>
      <c r="H176" s="959"/>
      <c r="I176" s="960"/>
      <c r="K176" s="204"/>
      <c r="L176" s="204"/>
    </row>
    <row r="177">
      <c r="D177" s="215"/>
      <c r="E177" s="215"/>
      <c r="F177" s="210"/>
      <c r="H177" s="959"/>
      <c r="I177" s="960"/>
      <c r="K177" s="204"/>
      <c r="L177" s="204"/>
    </row>
    <row r="178">
      <c r="D178" s="215"/>
      <c r="E178" s="215"/>
      <c r="F178" s="210"/>
      <c r="H178" s="959"/>
      <c r="I178" s="960"/>
      <c r="K178" s="204"/>
      <c r="L178" s="204"/>
    </row>
    <row r="179">
      <c r="D179" s="215"/>
      <c r="E179" s="215"/>
      <c r="F179" s="210"/>
      <c r="H179" s="959"/>
      <c r="I179" s="960"/>
      <c r="K179" s="204"/>
      <c r="L179" s="204"/>
    </row>
    <row r="180">
      <c r="D180" s="215"/>
      <c r="E180" s="215"/>
      <c r="F180" s="210"/>
      <c r="H180" s="959"/>
      <c r="I180" s="960"/>
      <c r="K180" s="204"/>
      <c r="L180" s="204"/>
    </row>
    <row r="181">
      <c r="D181" s="215"/>
      <c r="E181" s="215"/>
      <c r="F181" s="210"/>
      <c r="H181" s="959"/>
      <c r="I181" s="960"/>
      <c r="K181" s="204"/>
      <c r="L181" s="204"/>
    </row>
    <row r="182">
      <c r="D182" s="215"/>
      <c r="E182" s="215"/>
      <c r="F182" s="210"/>
      <c r="H182" s="959"/>
      <c r="I182" s="960"/>
      <c r="K182" s="204"/>
      <c r="L182" s="204"/>
    </row>
    <row r="183">
      <c r="D183" s="215"/>
      <c r="E183" s="215"/>
      <c r="F183" s="210"/>
      <c r="H183" s="959"/>
      <c r="I183" s="960"/>
      <c r="K183" s="204"/>
      <c r="L183" s="204"/>
    </row>
    <row r="184">
      <c r="D184" s="215"/>
      <c r="E184" s="215"/>
      <c r="F184" s="210"/>
      <c r="H184" s="959"/>
      <c r="I184" s="960"/>
      <c r="K184" s="204"/>
      <c r="L184" s="204"/>
    </row>
    <row r="185">
      <c r="D185" s="215"/>
      <c r="E185" s="215"/>
      <c r="F185" s="210"/>
      <c r="H185" s="959"/>
      <c r="I185" s="960"/>
      <c r="K185" s="204"/>
      <c r="L185" s="204"/>
    </row>
    <row r="186">
      <c r="D186" s="215"/>
      <c r="E186" s="215"/>
      <c r="F186" s="210"/>
      <c r="H186" s="959"/>
      <c r="I186" s="960"/>
      <c r="K186" s="204"/>
      <c r="L186" s="204"/>
    </row>
    <row r="187">
      <c r="D187" s="215"/>
      <c r="E187" s="215"/>
      <c r="F187" s="210"/>
      <c r="H187" s="959"/>
      <c r="I187" s="960"/>
      <c r="K187" s="204"/>
      <c r="L187" s="204"/>
    </row>
    <row r="188">
      <c r="D188" s="215"/>
      <c r="E188" s="215"/>
      <c r="F188" s="210"/>
      <c r="H188" s="959"/>
      <c r="I188" s="960"/>
      <c r="K188" s="204"/>
      <c r="L188" s="204"/>
    </row>
    <row r="189">
      <c r="D189" s="215"/>
      <c r="E189" s="215"/>
      <c r="F189" s="210"/>
      <c r="H189" s="959"/>
      <c r="I189" s="960"/>
      <c r="K189" s="204"/>
      <c r="L189" s="204"/>
    </row>
    <row r="190">
      <c r="D190" s="215"/>
      <c r="E190" s="215"/>
      <c r="F190" s="210"/>
      <c r="H190" s="959"/>
      <c r="I190" s="960"/>
      <c r="K190" s="204"/>
      <c r="L190" s="204"/>
    </row>
    <row r="191">
      <c r="D191" s="215"/>
      <c r="E191" s="215"/>
      <c r="F191" s="210"/>
      <c r="H191" s="959"/>
      <c r="I191" s="960"/>
      <c r="K191" s="204"/>
      <c r="L191" s="204"/>
    </row>
    <row r="192">
      <c r="D192" s="215"/>
      <c r="E192" s="215"/>
      <c r="F192" s="210"/>
      <c r="H192" s="959"/>
      <c r="I192" s="960"/>
      <c r="K192" s="204"/>
      <c r="L192" s="204"/>
    </row>
    <row r="193">
      <c r="D193" s="215"/>
      <c r="E193" s="215"/>
      <c r="F193" s="210"/>
      <c r="H193" s="959"/>
      <c r="I193" s="960"/>
      <c r="K193" s="204"/>
      <c r="L193" s="204"/>
    </row>
    <row r="194">
      <c r="D194" s="215"/>
      <c r="E194" s="215"/>
      <c r="F194" s="210"/>
      <c r="H194" s="959"/>
      <c r="I194" s="960"/>
      <c r="K194" s="204"/>
      <c r="L194" s="204"/>
    </row>
    <row r="195">
      <c r="D195" s="215"/>
      <c r="E195" s="215"/>
      <c r="F195" s="210"/>
      <c r="H195" s="959"/>
      <c r="I195" s="960"/>
      <c r="K195" s="204"/>
      <c r="L195" s="204"/>
    </row>
    <row r="196">
      <c r="D196" s="215"/>
      <c r="E196" s="215"/>
      <c r="F196" s="210"/>
      <c r="H196" s="959"/>
      <c r="I196" s="960"/>
      <c r="K196" s="204"/>
      <c r="L196" s="204"/>
    </row>
    <row r="197">
      <c r="D197" s="215"/>
      <c r="E197" s="215"/>
      <c r="F197" s="210"/>
      <c r="H197" s="959"/>
      <c r="I197" s="960"/>
      <c r="K197" s="204"/>
      <c r="L197" s="204"/>
    </row>
    <row r="198">
      <c r="D198" s="215"/>
      <c r="E198" s="215"/>
      <c r="F198" s="210"/>
      <c r="H198" s="959"/>
      <c r="I198" s="960"/>
      <c r="K198" s="204"/>
      <c r="L198" s="204"/>
    </row>
    <row r="199">
      <c r="D199" s="215"/>
      <c r="E199" s="215"/>
      <c r="F199" s="210"/>
      <c r="H199" s="959"/>
      <c r="I199" s="960"/>
      <c r="K199" s="204"/>
      <c r="L199" s="204"/>
    </row>
    <row r="200">
      <c r="D200" s="215"/>
      <c r="E200" s="215"/>
      <c r="F200" s="210"/>
      <c r="H200" s="959"/>
      <c r="I200" s="960"/>
      <c r="K200" s="204"/>
      <c r="L200" s="204"/>
    </row>
    <row r="201">
      <c r="D201" s="215"/>
      <c r="E201" s="215"/>
      <c r="F201" s="210"/>
      <c r="H201" s="959"/>
      <c r="I201" s="960"/>
      <c r="K201" s="204"/>
      <c r="L201" s="204"/>
    </row>
    <row r="202">
      <c r="D202" s="215"/>
      <c r="E202" s="215"/>
      <c r="F202" s="210"/>
      <c r="H202" s="959"/>
      <c r="I202" s="960"/>
      <c r="K202" s="204"/>
      <c r="L202" s="204"/>
    </row>
    <row r="203">
      <c r="D203" s="215"/>
      <c r="E203" s="215"/>
      <c r="F203" s="210"/>
      <c r="H203" s="959"/>
      <c r="I203" s="960"/>
      <c r="K203" s="204"/>
      <c r="L203" s="204"/>
    </row>
    <row r="204">
      <c r="D204" s="215"/>
      <c r="E204" s="215"/>
      <c r="F204" s="210"/>
      <c r="H204" s="959"/>
      <c r="I204" s="960"/>
      <c r="K204" s="204"/>
      <c r="L204" s="204"/>
    </row>
    <row r="205">
      <c r="D205" s="215"/>
      <c r="E205" s="215"/>
      <c r="F205" s="210"/>
      <c r="H205" s="959"/>
      <c r="I205" s="960"/>
      <c r="K205" s="204"/>
      <c r="L205" s="204"/>
    </row>
    <row r="206">
      <c r="D206" s="215"/>
      <c r="E206" s="215"/>
      <c r="F206" s="210"/>
      <c r="H206" s="959"/>
      <c r="I206" s="960"/>
      <c r="K206" s="204"/>
      <c r="L206" s="204"/>
    </row>
    <row r="207">
      <c r="D207" s="215"/>
      <c r="E207" s="215"/>
      <c r="F207" s="210"/>
      <c r="H207" s="959"/>
      <c r="I207" s="960"/>
      <c r="K207" s="204"/>
      <c r="L207" s="204"/>
    </row>
    <row r="208">
      <c r="D208" s="215"/>
      <c r="E208" s="215"/>
      <c r="F208" s="210"/>
      <c r="H208" s="959"/>
      <c r="I208" s="960"/>
      <c r="K208" s="204"/>
      <c r="L208" s="204"/>
    </row>
    <row r="209">
      <c r="D209" s="215"/>
      <c r="E209" s="215"/>
      <c r="F209" s="210"/>
      <c r="H209" s="959"/>
      <c r="I209" s="960"/>
      <c r="K209" s="204"/>
      <c r="L209" s="204"/>
    </row>
    <row r="210">
      <c r="D210" s="215"/>
      <c r="E210" s="215"/>
      <c r="F210" s="210"/>
      <c r="H210" s="959"/>
      <c r="I210" s="960"/>
      <c r="K210" s="204"/>
      <c r="L210" s="204"/>
    </row>
    <row r="211">
      <c r="D211" s="215"/>
      <c r="E211" s="215"/>
      <c r="F211" s="210"/>
      <c r="H211" s="959"/>
      <c r="I211" s="960"/>
      <c r="K211" s="204"/>
      <c r="L211" s="204"/>
    </row>
    <row r="212">
      <c r="D212" s="215"/>
      <c r="E212" s="215"/>
      <c r="F212" s="210"/>
      <c r="H212" s="959"/>
      <c r="I212" s="960"/>
      <c r="K212" s="204"/>
      <c r="L212" s="204"/>
    </row>
    <row r="213">
      <c r="D213" s="215"/>
      <c r="E213" s="215"/>
      <c r="F213" s="210"/>
      <c r="H213" s="959"/>
      <c r="I213" s="960"/>
      <c r="K213" s="204"/>
      <c r="L213" s="204"/>
    </row>
    <row r="214">
      <c r="D214" s="215"/>
      <c r="E214" s="215"/>
      <c r="F214" s="210"/>
      <c r="H214" s="959"/>
      <c r="I214" s="960"/>
      <c r="K214" s="204"/>
      <c r="L214" s="204"/>
    </row>
    <row r="215">
      <c r="D215" s="215"/>
      <c r="E215" s="215"/>
      <c r="F215" s="210"/>
      <c r="H215" s="959"/>
      <c r="I215" s="960"/>
      <c r="K215" s="204"/>
      <c r="L215" s="204"/>
    </row>
    <row r="216">
      <c r="D216" s="215"/>
      <c r="E216" s="215"/>
      <c r="F216" s="210"/>
      <c r="H216" s="959"/>
      <c r="I216" s="960"/>
      <c r="K216" s="204"/>
      <c r="L216" s="204"/>
    </row>
    <row r="217">
      <c r="D217" s="215"/>
      <c r="E217" s="215"/>
      <c r="F217" s="210"/>
      <c r="H217" s="959"/>
      <c r="I217" s="960"/>
      <c r="K217" s="204"/>
      <c r="L217" s="204"/>
    </row>
    <row r="218">
      <c r="D218" s="215"/>
      <c r="E218" s="215"/>
      <c r="F218" s="210"/>
      <c r="H218" s="959"/>
      <c r="I218" s="960"/>
      <c r="K218" s="204"/>
      <c r="L218" s="204"/>
    </row>
    <row r="219">
      <c r="D219" s="215"/>
      <c r="E219" s="215"/>
      <c r="F219" s="210"/>
      <c r="H219" s="959"/>
      <c r="I219" s="960"/>
      <c r="K219" s="204"/>
      <c r="L219" s="204"/>
    </row>
    <row r="220">
      <c r="D220" s="215"/>
      <c r="E220" s="215"/>
      <c r="F220" s="210"/>
      <c r="H220" s="959"/>
      <c r="I220" s="960"/>
      <c r="K220" s="204"/>
      <c r="L220" s="204"/>
    </row>
    <row r="221">
      <c r="D221" s="215"/>
      <c r="E221" s="215"/>
      <c r="F221" s="210"/>
      <c r="H221" s="959"/>
      <c r="I221" s="960"/>
      <c r="K221" s="204"/>
      <c r="L221" s="204"/>
    </row>
    <row r="222">
      <c r="D222" s="215"/>
      <c r="E222" s="215"/>
      <c r="F222" s="210"/>
      <c r="H222" s="959"/>
      <c r="I222" s="960"/>
      <c r="K222" s="204"/>
      <c r="L222" s="204"/>
    </row>
    <row r="223">
      <c r="D223" s="215"/>
      <c r="E223" s="215"/>
      <c r="F223" s="210"/>
      <c r="H223" s="959"/>
      <c r="I223" s="960"/>
      <c r="K223" s="204"/>
      <c r="L223" s="204"/>
    </row>
    <row r="224">
      <c r="D224" s="215"/>
      <c r="E224" s="215"/>
      <c r="F224" s="210"/>
      <c r="H224" s="959"/>
      <c r="I224" s="960"/>
      <c r="K224" s="204"/>
      <c r="L224" s="204"/>
    </row>
    <row r="225">
      <c r="D225" s="215"/>
      <c r="E225" s="215"/>
      <c r="F225" s="210"/>
      <c r="H225" s="959"/>
      <c r="I225" s="960"/>
      <c r="K225" s="204"/>
      <c r="L225" s="204"/>
    </row>
    <row r="226">
      <c r="D226" s="215"/>
      <c r="E226" s="215"/>
      <c r="F226" s="210"/>
      <c r="H226" s="959"/>
      <c r="I226" s="960"/>
      <c r="K226" s="204"/>
      <c r="L226" s="204"/>
    </row>
    <row r="227">
      <c r="D227" s="215"/>
      <c r="E227" s="215"/>
      <c r="F227" s="210"/>
      <c r="H227" s="959"/>
      <c r="I227" s="960"/>
      <c r="K227" s="204"/>
      <c r="L227" s="204"/>
    </row>
    <row r="228">
      <c r="D228" s="215"/>
      <c r="E228" s="215"/>
      <c r="F228" s="210"/>
      <c r="H228" s="959"/>
      <c r="I228" s="960"/>
      <c r="K228" s="204"/>
      <c r="L228" s="204"/>
    </row>
    <row r="229">
      <c r="D229" s="215"/>
      <c r="E229" s="215"/>
      <c r="F229" s="210"/>
      <c r="H229" s="959"/>
      <c r="I229" s="960"/>
      <c r="K229" s="204"/>
      <c r="L229" s="204"/>
    </row>
    <row r="230">
      <c r="D230" s="215"/>
      <c r="E230" s="215"/>
      <c r="F230" s="210"/>
      <c r="H230" s="959"/>
      <c r="I230" s="960"/>
      <c r="K230" s="204"/>
      <c r="L230" s="204"/>
    </row>
    <row r="231">
      <c r="D231" s="215"/>
      <c r="E231" s="215"/>
      <c r="F231" s="210"/>
      <c r="H231" s="959"/>
      <c r="I231" s="960"/>
      <c r="K231" s="204"/>
      <c r="L231" s="204"/>
    </row>
    <row r="232">
      <c r="D232" s="215"/>
      <c r="E232" s="215"/>
      <c r="F232" s="210"/>
      <c r="H232" s="959"/>
      <c r="I232" s="960"/>
      <c r="K232" s="204"/>
      <c r="L232" s="204"/>
    </row>
    <row r="233">
      <c r="D233" s="215"/>
      <c r="E233" s="215"/>
      <c r="F233" s="210"/>
      <c r="H233" s="959"/>
      <c r="I233" s="960"/>
      <c r="K233" s="204"/>
      <c r="L233" s="204"/>
    </row>
    <row r="234">
      <c r="D234" s="215"/>
      <c r="E234" s="215"/>
      <c r="F234" s="210"/>
      <c r="H234" s="959"/>
      <c r="I234" s="960"/>
      <c r="K234" s="204"/>
      <c r="L234" s="204"/>
    </row>
    <row r="235">
      <c r="D235" s="215"/>
      <c r="E235" s="215"/>
      <c r="F235" s="210"/>
      <c r="H235" s="959"/>
      <c r="I235" s="960"/>
      <c r="K235" s="204"/>
      <c r="L235" s="204"/>
    </row>
    <row r="236">
      <c r="D236" s="215"/>
      <c r="E236" s="215"/>
      <c r="F236" s="210"/>
      <c r="H236" s="959"/>
      <c r="I236" s="960"/>
      <c r="K236" s="204"/>
      <c r="L236" s="204"/>
    </row>
    <row r="237">
      <c r="D237" s="215"/>
      <c r="E237" s="215"/>
      <c r="F237" s="210"/>
      <c r="H237" s="959"/>
      <c r="I237" s="960"/>
      <c r="K237" s="204"/>
      <c r="L237" s="204"/>
    </row>
    <row r="238">
      <c r="D238" s="215"/>
      <c r="E238" s="215"/>
      <c r="F238" s="210"/>
      <c r="H238" s="959"/>
      <c r="I238" s="960"/>
      <c r="K238" s="204"/>
      <c r="L238" s="204"/>
    </row>
    <row r="239">
      <c r="D239" s="215"/>
      <c r="E239" s="215"/>
      <c r="F239" s="210"/>
      <c r="H239" s="959"/>
      <c r="I239" s="960"/>
      <c r="K239" s="204"/>
      <c r="L239" s="204"/>
    </row>
    <row r="240">
      <c r="D240" s="215"/>
      <c r="E240" s="215"/>
      <c r="F240" s="210"/>
      <c r="H240" s="959"/>
      <c r="I240" s="960"/>
      <c r="K240" s="204"/>
      <c r="L240" s="204"/>
    </row>
    <row r="241">
      <c r="D241" s="215"/>
      <c r="E241" s="215"/>
      <c r="F241" s="210"/>
      <c r="H241" s="959"/>
      <c r="I241" s="960"/>
      <c r="K241" s="204"/>
      <c r="L241" s="204"/>
    </row>
    <row r="242">
      <c r="D242" s="215"/>
      <c r="E242" s="215"/>
      <c r="F242" s="210"/>
      <c r="H242" s="959"/>
      <c r="I242" s="960"/>
      <c r="K242" s="204"/>
      <c r="L242" s="204"/>
    </row>
    <row r="243">
      <c r="D243" s="215"/>
      <c r="E243" s="215"/>
      <c r="F243" s="210"/>
      <c r="H243" s="959"/>
      <c r="I243" s="960"/>
      <c r="K243" s="204"/>
      <c r="L243" s="204"/>
    </row>
    <row r="244">
      <c r="D244" s="215"/>
      <c r="E244" s="215"/>
      <c r="F244" s="210"/>
      <c r="H244" s="959"/>
      <c r="I244" s="960"/>
      <c r="K244" s="204"/>
      <c r="L244" s="204"/>
    </row>
    <row r="245">
      <c r="D245" s="215"/>
      <c r="E245" s="215"/>
      <c r="F245" s="210"/>
      <c r="H245" s="959"/>
      <c r="I245" s="960"/>
      <c r="K245" s="204"/>
      <c r="L245" s="204"/>
    </row>
    <row r="246">
      <c r="D246" s="215"/>
      <c r="E246" s="215"/>
      <c r="F246" s="210"/>
      <c r="H246" s="959"/>
      <c r="I246" s="960"/>
      <c r="K246" s="204"/>
      <c r="L246" s="204"/>
    </row>
    <row r="247">
      <c r="D247" s="215"/>
      <c r="E247" s="215"/>
      <c r="F247" s="210"/>
      <c r="H247" s="959"/>
      <c r="I247" s="960"/>
      <c r="K247" s="204"/>
      <c r="L247" s="204"/>
    </row>
    <row r="248">
      <c r="D248" s="215"/>
      <c r="E248" s="215"/>
      <c r="F248" s="210"/>
      <c r="H248" s="959"/>
      <c r="I248" s="960"/>
      <c r="K248" s="204"/>
      <c r="L248" s="204"/>
    </row>
    <row r="249">
      <c r="D249" s="215"/>
      <c r="E249" s="215"/>
      <c r="F249" s="210"/>
      <c r="H249" s="959"/>
      <c r="I249" s="960"/>
      <c r="K249" s="204"/>
      <c r="L249" s="204"/>
    </row>
    <row r="250">
      <c r="D250" s="215"/>
      <c r="E250" s="215"/>
      <c r="F250" s="210"/>
      <c r="H250" s="959"/>
      <c r="I250" s="960"/>
      <c r="K250" s="204"/>
      <c r="L250" s="204"/>
    </row>
    <row r="251">
      <c r="D251" s="215"/>
      <c r="E251" s="215"/>
      <c r="F251" s="210"/>
      <c r="H251" s="959"/>
      <c r="I251" s="960"/>
      <c r="K251" s="204"/>
      <c r="L251" s="204"/>
    </row>
    <row r="252">
      <c r="D252" s="215"/>
      <c r="E252" s="215"/>
      <c r="F252" s="210"/>
      <c r="H252" s="959"/>
      <c r="I252" s="960"/>
      <c r="K252" s="204"/>
      <c r="L252" s="204"/>
    </row>
    <row r="253">
      <c r="D253" s="215"/>
      <c r="E253" s="215"/>
      <c r="F253" s="210"/>
      <c r="H253" s="959"/>
      <c r="I253" s="960"/>
      <c r="K253" s="204"/>
      <c r="L253" s="204"/>
    </row>
    <row r="254">
      <c r="D254" s="215"/>
      <c r="E254" s="215"/>
      <c r="F254" s="210"/>
      <c r="H254" s="959"/>
      <c r="I254" s="960"/>
      <c r="K254" s="204"/>
      <c r="L254" s="204"/>
    </row>
    <row r="255">
      <c r="D255" s="215"/>
      <c r="E255" s="215"/>
      <c r="F255" s="210"/>
      <c r="H255" s="959"/>
      <c r="I255" s="960"/>
      <c r="K255" s="204"/>
      <c r="L255" s="204"/>
    </row>
    <row r="256">
      <c r="D256" s="215"/>
      <c r="E256" s="215"/>
      <c r="F256" s="210"/>
      <c r="H256" s="959"/>
      <c r="I256" s="960"/>
      <c r="K256" s="204"/>
      <c r="L256" s="204"/>
    </row>
    <row r="257">
      <c r="D257" s="215"/>
      <c r="E257" s="215"/>
      <c r="F257" s="210"/>
      <c r="H257" s="959"/>
      <c r="I257" s="960"/>
      <c r="K257" s="204"/>
      <c r="L257" s="204"/>
    </row>
    <row r="258">
      <c r="D258" s="215"/>
      <c r="E258" s="215"/>
      <c r="F258" s="210"/>
      <c r="H258" s="959"/>
      <c r="I258" s="960"/>
      <c r="K258" s="204"/>
      <c r="L258" s="204"/>
    </row>
    <row r="259">
      <c r="D259" s="215"/>
      <c r="E259" s="215"/>
      <c r="F259" s="210"/>
      <c r="H259" s="959"/>
      <c r="I259" s="960"/>
      <c r="K259" s="204"/>
      <c r="L259" s="204"/>
    </row>
    <row r="260">
      <c r="D260" s="215"/>
      <c r="E260" s="215"/>
      <c r="F260" s="210"/>
      <c r="H260" s="959"/>
      <c r="I260" s="960"/>
      <c r="K260" s="204"/>
      <c r="L260" s="204"/>
    </row>
    <row r="261">
      <c r="D261" s="215"/>
      <c r="E261" s="215"/>
      <c r="F261" s="210"/>
      <c r="H261" s="959"/>
      <c r="I261" s="960"/>
      <c r="K261" s="204"/>
      <c r="L261" s="204"/>
    </row>
    <row r="262">
      <c r="D262" s="215"/>
      <c r="E262" s="215"/>
      <c r="F262" s="210"/>
      <c r="H262" s="959"/>
      <c r="I262" s="960"/>
      <c r="K262" s="204"/>
      <c r="L262" s="204"/>
    </row>
    <row r="263">
      <c r="D263" s="215"/>
      <c r="E263" s="215"/>
      <c r="F263" s="210"/>
      <c r="H263" s="959"/>
      <c r="I263" s="960"/>
      <c r="K263" s="204"/>
      <c r="L263" s="204"/>
    </row>
    <row r="264">
      <c r="D264" s="215"/>
      <c r="E264" s="215"/>
      <c r="F264" s="210"/>
      <c r="H264" s="959"/>
      <c r="I264" s="960"/>
      <c r="K264" s="204"/>
      <c r="L264" s="204"/>
    </row>
    <row r="265">
      <c r="D265" s="215"/>
      <c r="E265" s="215"/>
      <c r="F265" s="210"/>
      <c r="H265" s="959"/>
      <c r="I265" s="960"/>
      <c r="K265" s="204"/>
      <c r="L265" s="204"/>
    </row>
    <row r="266">
      <c r="D266" s="215"/>
      <c r="E266" s="215"/>
      <c r="F266" s="210"/>
      <c r="H266" s="959"/>
      <c r="I266" s="960"/>
      <c r="K266" s="204"/>
      <c r="L266" s="204"/>
    </row>
    <row r="267">
      <c r="D267" s="215"/>
      <c r="E267" s="215"/>
      <c r="F267" s="210"/>
      <c r="H267" s="959"/>
      <c r="I267" s="960"/>
      <c r="K267" s="204"/>
      <c r="L267" s="204"/>
    </row>
    <row r="268">
      <c r="D268" s="215"/>
      <c r="E268" s="215"/>
      <c r="F268" s="210"/>
      <c r="H268" s="959"/>
      <c r="I268" s="960"/>
      <c r="K268" s="204"/>
      <c r="L268" s="204"/>
    </row>
    <row r="269">
      <c r="D269" s="215"/>
      <c r="E269" s="215"/>
      <c r="F269" s="210"/>
      <c r="H269" s="959"/>
      <c r="I269" s="960"/>
      <c r="K269" s="204"/>
      <c r="L269" s="204"/>
    </row>
    <row r="270">
      <c r="D270" s="215"/>
      <c r="E270" s="215"/>
      <c r="F270" s="210"/>
      <c r="H270" s="959"/>
      <c r="I270" s="960"/>
      <c r="K270" s="204"/>
      <c r="L270" s="204"/>
    </row>
    <row r="271">
      <c r="D271" s="215"/>
      <c r="E271" s="215"/>
      <c r="F271" s="210"/>
      <c r="H271" s="959"/>
      <c r="I271" s="960"/>
      <c r="K271" s="204"/>
      <c r="L271" s="204"/>
    </row>
    <row r="272">
      <c r="D272" s="215"/>
      <c r="E272" s="215"/>
      <c r="F272" s="210"/>
      <c r="H272" s="959"/>
      <c r="I272" s="960"/>
      <c r="K272" s="204"/>
      <c r="L272" s="204"/>
    </row>
    <row r="273">
      <c r="D273" s="215"/>
      <c r="E273" s="215"/>
      <c r="F273" s="210"/>
      <c r="H273" s="959"/>
      <c r="I273" s="960"/>
      <c r="K273" s="204"/>
      <c r="L273" s="204"/>
    </row>
    <row r="274">
      <c r="D274" s="215"/>
      <c r="E274" s="215"/>
      <c r="F274" s="210"/>
      <c r="H274" s="959"/>
      <c r="I274" s="960"/>
      <c r="K274" s="204"/>
      <c r="L274" s="204"/>
    </row>
    <row r="275">
      <c r="D275" s="215"/>
      <c r="E275" s="215"/>
      <c r="F275" s="210"/>
      <c r="H275" s="959"/>
      <c r="I275" s="960"/>
      <c r="K275" s="204"/>
      <c r="L275" s="204"/>
    </row>
    <row r="276">
      <c r="D276" s="215"/>
      <c r="E276" s="215"/>
      <c r="F276" s="210"/>
      <c r="H276" s="959"/>
      <c r="I276" s="960"/>
      <c r="K276" s="204"/>
      <c r="L276" s="204"/>
    </row>
    <row r="277">
      <c r="D277" s="215"/>
      <c r="E277" s="215"/>
      <c r="F277" s="210"/>
      <c r="H277" s="959"/>
      <c r="I277" s="960"/>
      <c r="K277" s="204"/>
      <c r="L277" s="204"/>
    </row>
    <row r="278">
      <c r="D278" s="215"/>
      <c r="E278" s="215"/>
      <c r="F278" s="210"/>
      <c r="H278" s="959"/>
      <c r="I278" s="960"/>
      <c r="K278" s="204"/>
      <c r="L278" s="204"/>
    </row>
    <row r="279">
      <c r="D279" s="215"/>
      <c r="E279" s="215"/>
      <c r="F279" s="210"/>
      <c r="H279" s="959"/>
      <c r="I279" s="960"/>
      <c r="K279" s="204"/>
      <c r="L279" s="204"/>
    </row>
    <row r="280">
      <c r="D280" s="215"/>
      <c r="E280" s="215"/>
      <c r="F280" s="210"/>
      <c r="H280" s="959"/>
      <c r="I280" s="960"/>
      <c r="K280" s="204"/>
      <c r="L280" s="204"/>
    </row>
    <row r="281">
      <c r="D281" s="215"/>
      <c r="E281" s="215"/>
      <c r="F281" s="210"/>
      <c r="H281" s="959"/>
      <c r="I281" s="960"/>
      <c r="K281" s="204"/>
      <c r="L281" s="204"/>
    </row>
    <row r="282">
      <c r="D282" s="215"/>
      <c r="E282" s="215"/>
      <c r="F282" s="210"/>
      <c r="H282" s="959"/>
      <c r="I282" s="960"/>
      <c r="K282" s="204"/>
      <c r="L282" s="204"/>
    </row>
    <row r="283">
      <c r="D283" s="215"/>
      <c r="E283" s="215"/>
      <c r="F283" s="210"/>
      <c r="H283" s="959"/>
      <c r="I283" s="960"/>
      <c r="K283" s="204"/>
      <c r="L283" s="204"/>
    </row>
    <row r="284">
      <c r="D284" s="215"/>
      <c r="E284" s="215"/>
      <c r="F284" s="210"/>
      <c r="H284" s="959"/>
      <c r="I284" s="960"/>
      <c r="K284" s="204"/>
      <c r="L284" s="204"/>
    </row>
    <row r="285">
      <c r="D285" s="215"/>
      <c r="E285" s="215"/>
      <c r="F285" s="210"/>
      <c r="H285" s="959"/>
      <c r="I285" s="960"/>
      <c r="K285" s="204"/>
      <c r="L285" s="204"/>
    </row>
    <row r="286">
      <c r="D286" s="215"/>
      <c r="E286" s="215"/>
      <c r="F286" s="210"/>
      <c r="H286" s="959"/>
      <c r="I286" s="960"/>
      <c r="K286" s="204"/>
      <c r="L286" s="204"/>
    </row>
    <row r="287">
      <c r="D287" s="215"/>
      <c r="E287" s="215"/>
      <c r="F287" s="210"/>
      <c r="H287" s="959"/>
      <c r="I287" s="960"/>
      <c r="K287" s="204"/>
      <c r="L287" s="204"/>
    </row>
    <row r="288">
      <c r="D288" s="215"/>
      <c r="E288" s="215"/>
      <c r="F288" s="210"/>
      <c r="H288" s="959"/>
      <c r="I288" s="960"/>
      <c r="K288" s="204"/>
      <c r="L288" s="204"/>
    </row>
    <row r="289">
      <c r="D289" s="215"/>
      <c r="E289" s="215"/>
      <c r="F289" s="210"/>
      <c r="H289" s="959"/>
      <c r="I289" s="960"/>
      <c r="K289" s="204"/>
      <c r="L289" s="204"/>
    </row>
    <row r="290">
      <c r="D290" s="215"/>
      <c r="E290" s="215"/>
      <c r="F290" s="210"/>
      <c r="H290" s="959"/>
      <c r="I290" s="960"/>
      <c r="K290" s="204"/>
      <c r="L290" s="204"/>
    </row>
    <row r="291">
      <c r="D291" s="215"/>
      <c r="E291" s="215"/>
      <c r="F291" s="210"/>
      <c r="H291" s="959"/>
      <c r="I291" s="960"/>
      <c r="K291" s="204"/>
      <c r="L291" s="204"/>
    </row>
    <row r="292">
      <c r="D292" s="215"/>
      <c r="E292" s="215"/>
      <c r="F292" s="210"/>
      <c r="H292" s="959"/>
      <c r="I292" s="960"/>
      <c r="K292" s="204"/>
      <c r="L292" s="204"/>
    </row>
    <row r="293">
      <c r="D293" s="215"/>
      <c r="E293" s="215"/>
      <c r="F293" s="210"/>
      <c r="H293" s="959"/>
      <c r="I293" s="960"/>
      <c r="K293" s="204"/>
      <c r="L293" s="204"/>
    </row>
    <row r="294">
      <c r="D294" s="215"/>
      <c r="E294" s="215"/>
      <c r="F294" s="210"/>
      <c r="H294" s="959"/>
      <c r="I294" s="960"/>
      <c r="K294" s="204"/>
      <c r="L294" s="204"/>
    </row>
    <row r="295">
      <c r="D295" s="215"/>
      <c r="E295" s="215"/>
      <c r="F295" s="210"/>
      <c r="H295" s="959"/>
      <c r="I295" s="960"/>
      <c r="K295" s="204"/>
      <c r="L295" s="204"/>
    </row>
    <row r="296">
      <c r="D296" s="215"/>
      <c r="E296" s="215"/>
      <c r="F296" s="210"/>
      <c r="H296" s="959"/>
      <c r="I296" s="960"/>
      <c r="K296" s="204"/>
      <c r="L296" s="204"/>
    </row>
    <row r="297">
      <c r="D297" s="215"/>
      <c r="E297" s="215"/>
      <c r="F297" s="210"/>
      <c r="H297" s="959"/>
      <c r="I297" s="960"/>
      <c r="K297" s="204"/>
      <c r="L297" s="204"/>
    </row>
    <row r="298">
      <c r="D298" s="215"/>
      <c r="E298" s="215"/>
      <c r="F298" s="210"/>
      <c r="H298" s="959"/>
      <c r="I298" s="960"/>
      <c r="K298" s="204"/>
      <c r="L298" s="204"/>
    </row>
    <row r="299">
      <c r="D299" s="215"/>
      <c r="E299" s="215"/>
      <c r="F299" s="210"/>
      <c r="H299" s="959"/>
      <c r="I299" s="960"/>
      <c r="K299" s="204"/>
      <c r="L299" s="204"/>
    </row>
    <row r="300">
      <c r="D300" s="215"/>
      <c r="E300" s="215"/>
      <c r="F300" s="210"/>
      <c r="H300" s="959"/>
      <c r="I300" s="960"/>
      <c r="K300" s="204"/>
      <c r="L300" s="204"/>
    </row>
    <row r="301">
      <c r="D301" s="215"/>
      <c r="E301" s="215"/>
      <c r="F301" s="210"/>
      <c r="H301" s="959"/>
      <c r="I301" s="960"/>
      <c r="K301" s="204"/>
      <c r="L301" s="204"/>
    </row>
    <row r="302">
      <c r="D302" s="215"/>
      <c r="E302" s="215"/>
      <c r="F302" s="210"/>
      <c r="H302" s="959"/>
      <c r="I302" s="960"/>
      <c r="K302" s="204"/>
      <c r="L302" s="204"/>
    </row>
    <row r="303">
      <c r="D303" s="215"/>
      <c r="E303" s="215"/>
      <c r="F303" s="210"/>
      <c r="H303" s="959"/>
      <c r="I303" s="960"/>
      <c r="K303" s="204"/>
      <c r="L303" s="204"/>
    </row>
    <row r="304">
      <c r="D304" s="215"/>
      <c r="E304" s="215"/>
      <c r="F304" s="210"/>
      <c r="H304" s="959"/>
      <c r="I304" s="960"/>
      <c r="K304" s="204"/>
      <c r="L304" s="204"/>
    </row>
    <row r="305">
      <c r="D305" s="215"/>
      <c r="E305" s="215"/>
      <c r="F305" s="210"/>
      <c r="H305" s="959"/>
      <c r="I305" s="960"/>
      <c r="K305" s="204"/>
      <c r="L305" s="204"/>
    </row>
    <row r="306">
      <c r="D306" s="215"/>
      <c r="E306" s="215"/>
      <c r="F306" s="210"/>
      <c r="H306" s="959"/>
      <c r="I306" s="960"/>
      <c r="K306" s="204"/>
      <c r="L306" s="204"/>
    </row>
    <row r="307">
      <c r="D307" s="215"/>
      <c r="E307" s="215"/>
      <c r="F307" s="210"/>
      <c r="H307" s="959"/>
      <c r="I307" s="960"/>
      <c r="K307" s="204"/>
      <c r="L307" s="204"/>
    </row>
    <row r="308">
      <c r="D308" s="215"/>
      <c r="E308" s="215"/>
      <c r="F308" s="210"/>
      <c r="H308" s="959"/>
      <c r="I308" s="960"/>
      <c r="K308" s="204"/>
      <c r="L308" s="204"/>
    </row>
    <row r="309">
      <c r="D309" s="215"/>
      <c r="E309" s="215"/>
      <c r="F309" s="210"/>
      <c r="H309" s="959"/>
      <c r="I309" s="960"/>
      <c r="K309" s="204"/>
      <c r="L309" s="204"/>
    </row>
    <row r="310">
      <c r="D310" s="215"/>
      <c r="E310" s="215"/>
      <c r="F310" s="210"/>
      <c r="H310" s="959"/>
      <c r="I310" s="960"/>
      <c r="K310" s="204"/>
      <c r="L310" s="204"/>
    </row>
    <row r="311">
      <c r="D311" s="215"/>
      <c r="E311" s="215"/>
      <c r="F311" s="210"/>
      <c r="H311" s="959"/>
      <c r="I311" s="960"/>
      <c r="K311" s="204"/>
      <c r="L311" s="204"/>
    </row>
    <row r="312">
      <c r="D312" s="215"/>
      <c r="E312" s="215"/>
      <c r="F312" s="210"/>
      <c r="H312" s="959"/>
      <c r="I312" s="960"/>
      <c r="K312" s="204"/>
      <c r="L312" s="204"/>
    </row>
    <row r="313">
      <c r="D313" s="215"/>
      <c r="E313" s="215"/>
      <c r="F313" s="210"/>
      <c r="H313" s="959"/>
      <c r="I313" s="960"/>
      <c r="K313" s="204"/>
      <c r="L313" s="204"/>
    </row>
    <row r="314">
      <c r="D314" s="215"/>
      <c r="E314" s="215"/>
      <c r="F314" s="210"/>
      <c r="H314" s="959"/>
      <c r="I314" s="960"/>
      <c r="K314" s="204"/>
      <c r="L314" s="204"/>
    </row>
    <row r="315">
      <c r="D315" s="215"/>
      <c r="E315" s="215"/>
      <c r="F315" s="210"/>
      <c r="H315" s="959"/>
      <c r="I315" s="960"/>
      <c r="K315" s="204"/>
      <c r="L315" s="204"/>
    </row>
    <row r="316">
      <c r="D316" s="215"/>
      <c r="E316" s="215"/>
      <c r="F316" s="210"/>
      <c r="H316" s="959"/>
      <c r="I316" s="960"/>
      <c r="K316" s="204"/>
      <c r="L316" s="204"/>
    </row>
    <row r="317">
      <c r="D317" s="215"/>
      <c r="E317" s="215"/>
      <c r="F317" s="210"/>
      <c r="H317" s="959"/>
      <c r="I317" s="960"/>
      <c r="K317" s="204"/>
      <c r="L317" s="204"/>
    </row>
    <row r="318">
      <c r="D318" s="215"/>
      <c r="E318" s="215"/>
      <c r="F318" s="210"/>
      <c r="H318" s="959"/>
      <c r="I318" s="960"/>
      <c r="K318" s="204"/>
      <c r="L318" s="204"/>
    </row>
    <row r="319">
      <c r="D319" s="215"/>
      <c r="E319" s="215"/>
      <c r="F319" s="210"/>
      <c r="H319" s="959"/>
      <c r="I319" s="960"/>
      <c r="K319" s="204"/>
      <c r="L319" s="204"/>
    </row>
    <row r="320">
      <c r="D320" s="215"/>
      <c r="E320" s="215"/>
      <c r="F320" s="210"/>
      <c r="H320" s="959"/>
      <c r="I320" s="960"/>
      <c r="K320" s="204"/>
      <c r="L320" s="204"/>
    </row>
    <row r="321">
      <c r="D321" s="215"/>
      <c r="E321" s="215"/>
      <c r="F321" s="210"/>
      <c r="H321" s="959"/>
      <c r="I321" s="960"/>
      <c r="K321" s="204"/>
      <c r="L321" s="204"/>
    </row>
    <row r="322">
      <c r="D322" s="215"/>
      <c r="E322" s="215"/>
      <c r="F322" s="210"/>
      <c r="H322" s="959"/>
      <c r="I322" s="960"/>
      <c r="K322" s="204"/>
      <c r="L322" s="204"/>
    </row>
    <row r="323">
      <c r="D323" s="215"/>
      <c r="E323" s="215"/>
      <c r="F323" s="210"/>
      <c r="H323" s="959"/>
      <c r="I323" s="960"/>
      <c r="K323" s="204"/>
      <c r="L323" s="204"/>
    </row>
    <row r="324">
      <c r="D324" s="215"/>
      <c r="E324" s="215"/>
      <c r="F324" s="210"/>
      <c r="H324" s="959"/>
      <c r="I324" s="960"/>
      <c r="K324" s="204"/>
      <c r="L324" s="204"/>
    </row>
    <row r="325">
      <c r="D325" s="215"/>
      <c r="E325" s="215"/>
      <c r="F325" s="210"/>
      <c r="H325" s="959"/>
      <c r="I325" s="960"/>
      <c r="K325" s="204"/>
      <c r="L325" s="204"/>
    </row>
    <row r="326">
      <c r="D326" s="215"/>
      <c r="E326" s="215"/>
      <c r="F326" s="210"/>
      <c r="H326" s="959"/>
      <c r="I326" s="960"/>
      <c r="K326" s="204"/>
      <c r="L326" s="204"/>
    </row>
    <row r="327">
      <c r="D327" s="215"/>
      <c r="E327" s="215"/>
      <c r="F327" s="210"/>
      <c r="H327" s="959"/>
      <c r="I327" s="960"/>
      <c r="K327" s="204"/>
      <c r="L327" s="204"/>
    </row>
    <row r="328">
      <c r="D328" s="215"/>
      <c r="E328" s="215"/>
      <c r="F328" s="210"/>
      <c r="H328" s="959"/>
      <c r="I328" s="960"/>
      <c r="K328" s="204"/>
      <c r="L328" s="204"/>
    </row>
    <row r="329">
      <c r="D329" s="215"/>
      <c r="E329" s="215"/>
      <c r="F329" s="210"/>
      <c r="H329" s="959"/>
      <c r="I329" s="960"/>
      <c r="K329" s="204"/>
      <c r="L329" s="204"/>
    </row>
    <row r="330">
      <c r="D330" s="215"/>
      <c r="E330" s="215"/>
      <c r="F330" s="210"/>
      <c r="H330" s="959"/>
      <c r="I330" s="960"/>
      <c r="K330" s="204"/>
      <c r="L330" s="204"/>
    </row>
    <row r="331">
      <c r="D331" s="215"/>
      <c r="E331" s="215"/>
      <c r="F331" s="210"/>
      <c r="H331" s="959"/>
      <c r="I331" s="960"/>
      <c r="K331" s="204"/>
      <c r="L331" s="204"/>
    </row>
    <row r="332">
      <c r="D332" s="215"/>
      <c r="E332" s="215"/>
      <c r="F332" s="210"/>
      <c r="H332" s="959"/>
      <c r="I332" s="960"/>
      <c r="K332" s="204"/>
      <c r="L332" s="204"/>
    </row>
    <row r="333">
      <c r="D333" s="215"/>
      <c r="E333" s="215"/>
      <c r="F333" s="210"/>
      <c r="H333" s="959"/>
      <c r="I333" s="960"/>
      <c r="K333" s="204"/>
      <c r="L333" s="204"/>
    </row>
    <row r="334">
      <c r="D334" s="215"/>
      <c r="E334" s="215"/>
      <c r="F334" s="210"/>
      <c r="H334" s="959"/>
      <c r="I334" s="960"/>
      <c r="K334" s="204"/>
      <c r="L334" s="204"/>
    </row>
    <row r="335">
      <c r="D335" s="215"/>
      <c r="E335" s="215"/>
      <c r="F335" s="210"/>
      <c r="H335" s="959"/>
      <c r="I335" s="960"/>
      <c r="K335" s="204"/>
      <c r="L335" s="204"/>
    </row>
    <row r="336">
      <c r="D336" s="215"/>
      <c r="E336" s="215"/>
      <c r="F336" s="210"/>
      <c r="H336" s="959"/>
      <c r="I336" s="960"/>
      <c r="K336" s="204"/>
      <c r="L336" s="204"/>
    </row>
    <row r="337">
      <c r="D337" s="215"/>
      <c r="E337" s="215"/>
      <c r="F337" s="210"/>
      <c r="H337" s="959"/>
      <c r="I337" s="960"/>
      <c r="K337" s="204"/>
      <c r="L337" s="204"/>
    </row>
    <row r="338">
      <c r="D338" s="215"/>
      <c r="E338" s="215"/>
      <c r="F338" s="210"/>
      <c r="H338" s="959"/>
      <c r="I338" s="960"/>
      <c r="K338" s="204"/>
      <c r="L338" s="204"/>
    </row>
    <row r="339">
      <c r="D339" s="215"/>
      <c r="E339" s="215"/>
      <c r="F339" s="210"/>
      <c r="H339" s="959"/>
      <c r="I339" s="960"/>
      <c r="K339" s="204"/>
      <c r="L339" s="204"/>
    </row>
    <row r="340">
      <c r="D340" s="215"/>
      <c r="E340" s="215"/>
      <c r="F340" s="210"/>
      <c r="H340" s="959"/>
      <c r="I340" s="960"/>
      <c r="K340" s="204"/>
      <c r="L340" s="204"/>
    </row>
    <row r="341">
      <c r="D341" s="215"/>
      <c r="E341" s="215"/>
      <c r="F341" s="210"/>
      <c r="H341" s="959"/>
      <c r="I341" s="960"/>
      <c r="K341" s="204"/>
      <c r="L341" s="204"/>
    </row>
    <row r="342">
      <c r="D342" s="215"/>
      <c r="E342" s="215"/>
      <c r="F342" s="210"/>
      <c r="H342" s="959"/>
      <c r="I342" s="960"/>
      <c r="K342" s="204"/>
      <c r="L342" s="204"/>
    </row>
    <row r="343">
      <c r="D343" s="215"/>
      <c r="E343" s="215"/>
      <c r="F343" s="210"/>
      <c r="H343" s="959"/>
      <c r="I343" s="960"/>
      <c r="K343" s="204"/>
      <c r="L343" s="204"/>
    </row>
    <row r="344">
      <c r="D344" s="215"/>
      <c r="E344" s="215"/>
      <c r="F344" s="210"/>
      <c r="H344" s="959"/>
      <c r="I344" s="960"/>
      <c r="K344" s="204"/>
      <c r="L344" s="204"/>
    </row>
    <row r="345">
      <c r="D345" s="215"/>
      <c r="E345" s="215"/>
      <c r="F345" s="210"/>
      <c r="H345" s="959"/>
      <c r="I345" s="960"/>
      <c r="K345" s="204"/>
      <c r="L345" s="204"/>
    </row>
    <row r="346">
      <c r="D346" s="215"/>
      <c r="E346" s="215"/>
      <c r="F346" s="210"/>
      <c r="H346" s="959"/>
      <c r="I346" s="960"/>
      <c r="K346" s="204"/>
      <c r="L346" s="204"/>
    </row>
    <row r="347">
      <c r="D347" s="215"/>
      <c r="E347" s="215"/>
      <c r="F347" s="210"/>
      <c r="H347" s="959"/>
      <c r="I347" s="960"/>
      <c r="K347" s="204"/>
      <c r="L347" s="204"/>
    </row>
    <row r="348">
      <c r="D348" s="215"/>
      <c r="E348" s="215"/>
      <c r="F348" s="210"/>
      <c r="H348" s="959"/>
      <c r="I348" s="960"/>
      <c r="K348" s="204"/>
      <c r="L348" s="204"/>
    </row>
    <row r="349">
      <c r="D349" s="215"/>
      <c r="E349" s="215"/>
      <c r="F349" s="210"/>
      <c r="H349" s="959"/>
      <c r="I349" s="960"/>
      <c r="K349" s="204"/>
      <c r="L349" s="204"/>
    </row>
    <row r="350">
      <c r="D350" s="215"/>
      <c r="E350" s="215"/>
      <c r="F350" s="210"/>
      <c r="H350" s="959"/>
      <c r="I350" s="960"/>
      <c r="K350" s="204"/>
      <c r="L350" s="204"/>
    </row>
    <row r="351">
      <c r="D351" s="215"/>
      <c r="E351" s="215"/>
      <c r="F351" s="210"/>
      <c r="H351" s="959"/>
      <c r="I351" s="960"/>
      <c r="K351" s="204"/>
      <c r="L351" s="204"/>
    </row>
    <row r="352">
      <c r="D352" s="215"/>
      <c r="E352" s="215"/>
      <c r="F352" s="210"/>
      <c r="H352" s="959"/>
      <c r="I352" s="960"/>
      <c r="K352" s="204"/>
      <c r="L352" s="204"/>
    </row>
    <row r="353">
      <c r="D353" s="215"/>
      <c r="E353" s="215"/>
      <c r="F353" s="210"/>
      <c r="H353" s="959"/>
      <c r="I353" s="960"/>
      <c r="K353" s="204"/>
      <c r="L353" s="204"/>
    </row>
    <row r="354">
      <c r="D354" s="215"/>
      <c r="E354" s="215"/>
      <c r="F354" s="210"/>
      <c r="H354" s="959"/>
      <c r="I354" s="960"/>
      <c r="K354" s="204"/>
      <c r="L354" s="204"/>
    </row>
    <row r="355">
      <c r="D355" s="215"/>
      <c r="E355" s="215"/>
      <c r="F355" s="210"/>
      <c r="H355" s="959"/>
      <c r="I355" s="960"/>
      <c r="K355" s="204"/>
      <c r="L355" s="204"/>
    </row>
    <row r="356">
      <c r="D356" s="215"/>
      <c r="E356" s="215"/>
      <c r="F356" s="210"/>
      <c r="H356" s="959"/>
      <c r="I356" s="960"/>
      <c r="K356" s="204"/>
      <c r="L356" s="204"/>
    </row>
    <row r="357">
      <c r="D357" s="215"/>
      <c r="E357" s="215"/>
      <c r="F357" s="210"/>
      <c r="H357" s="959"/>
      <c r="I357" s="960"/>
      <c r="K357" s="204"/>
      <c r="L357" s="204"/>
    </row>
    <row r="358">
      <c r="D358" s="215"/>
      <c r="E358" s="215"/>
      <c r="F358" s="210"/>
      <c r="H358" s="959"/>
      <c r="I358" s="960"/>
      <c r="K358" s="204"/>
      <c r="L358" s="204"/>
    </row>
    <row r="359">
      <c r="D359" s="215"/>
      <c r="E359" s="215"/>
      <c r="F359" s="210"/>
      <c r="H359" s="959"/>
      <c r="I359" s="960"/>
      <c r="K359" s="204"/>
      <c r="L359" s="204"/>
    </row>
    <row r="360">
      <c r="D360" s="215"/>
      <c r="E360" s="215"/>
      <c r="F360" s="210"/>
      <c r="H360" s="959"/>
      <c r="I360" s="960"/>
      <c r="K360" s="204"/>
      <c r="L360" s="204"/>
    </row>
    <row r="361">
      <c r="D361" s="215"/>
      <c r="E361" s="215"/>
      <c r="F361" s="210"/>
      <c r="H361" s="959"/>
      <c r="I361" s="960"/>
      <c r="K361" s="204"/>
      <c r="L361" s="204"/>
    </row>
    <row r="362">
      <c r="D362" s="215"/>
      <c r="E362" s="215"/>
      <c r="F362" s="210"/>
      <c r="H362" s="959"/>
      <c r="I362" s="960"/>
      <c r="K362" s="204"/>
      <c r="L362" s="204"/>
    </row>
    <row r="363">
      <c r="D363" s="215"/>
      <c r="E363" s="215"/>
      <c r="F363" s="210"/>
      <c r="H363" s="959"/>
      <c r="I363" s="960"/>
      <c r="K363" s="204"/>
      <c r="L363" s="204"/>
    </row>
    <row r="364">
      <c r="D364" s="215"/>
      <c r="E364" s="215"/>
      <c r="F364" s="210"/>
      <c r="H364" s="959"/>
      <c r="I364" s="960"/>
      <c r="K364" s="204"/>
      <c r="L364" s="204"/>
    </row>
    <row r="365">
      <c r="D365" s="215"/>
      <c r="E365" s="215"/>
      <c r="F365" s="210"/>
      <c r="H365" s="959"/>
      <c r="I365" s="960"/>
      <c r="K365" s="204"/>
      <c r="L365" s="204"/>
    </row>
    <row r="366">
      <c r="D366" s="215"/>
      <c r="E366" s="215"/>
      <c r="F366" s="210"/>
      <c r="H366" s="959"/>
      <c r="I366" s="960"/>
      <c r="K366" s="204"/>
      <c r="L366" s="204"/>
    </row>
    <row r="367">
      <c r="D367" s="215"/>
      <c r="E367" s="215"/>
      <c r="F367" s="210"/>
      <c r="H367" s="959"/>
      <c r="I367" s="960"/>
      <c r="K367" s="204"/>
      <c r="L367" s="204"/>
    </row>
    <row r="368">
      <c r="D368" s="215"/>
      <c r="E368" s="215"/>
      <c r="F368" s="210"/>
      <c r="H368" s="959"/>
      <c r="I368" s="960"/>
      <c r="K368" s="204"/>
      <c r="L368" s="204"/>
    </row>
    <row r="369">
      <c r="D369" s="215"/>
      <c r="E369" s="215"/>
      <c r="F369" s="210"/>
      <c r="H369" s="959"/>
      <c r="I369" s="960"/>
      <c r="K369" s="204"/>
      <c r="L369" s="204"/>
    </row>
    <row r="370">
      <c r="D370" s="215"/>
      <c r="E370" s="215"/>
      <c r="F370" s="210"/>
      <c r="H370" s="959"/>
      <c r="I370" s="960"/>
      <c r="K370" s="204"/>
      <c r="L370" s="204"/>
    </row>
    <row r="371">
      <c r="D371" s="215"/>
      <c r="E371" s="215"/>
      <c r="F371" s="210"/>
      <c r="H371" s="959"/>
      <c r="I371" s="960"/>
      <c r="K371" s="204"/>
      <c r="L371" s="204"/>
    </row>
    <row r="372">
      <c r="D372" s="215"/>
      <c r="E372" s="215"/>
      <c r="F372" s="210"/>
      <c r="H372" s="959"/>
      <c r="I372" s="960"/>
      <c r="K372" s="204"/>
      <c r="L372" s="204"/>
    </row>
    <row r="373">
      <c r="D373" s="215"/>
      <c r="E373" s="215"/>
      <c r="F373" s="210"/>
      <c r="H373" s="959"/>
      <c r="I373" s="960"/>
      <c r="K373" s="204"/>
      <c r="L373" s="204"/>
    </row>
    <row r="374">
      <c r="D374" s="215"/>
      <c r="E374" s="215"/>
      <c r="F374" s="210"/>
      <c r="H374" s="959"/>
      <c r="I374" s="960"/>
      <c r="K374" s="204"/>
      <c r="L374" s="204"/>
    </row>
    <row r="375">
      <c r="D375" s="215"/>
      <c r="E375" s="215"/>
      <c r="F375" s="210"/>
      <c r="H375" s="959"/>
      <c r="I375" s="960"/>
      <c r="K375" s="204"/>
      <c r="L375" s="204"/>
    </row>
    <row r="376">
      <c r="D376" s="215"/>
      <c r="E376" s="215"/>
      <c r="F376" s="210"/>
      <c r="H376" s="959"/>
      <c r="I376" s="960"/>
      <c r="K376" s="204"/>
      <c r="L376" s="204"/>
    </row>
    <row r="377">
      <c r="D377" s="215"/>
      <c r="E377" s="215"/>
      <c r="F377" s="210"/>
      <c r="H377" s="959"/>
      <c r="I377" s="960"/>
      <c r="K377" s="204"/>
      <c r="L377" s="204"/>
    </row>
    <row r="378">
      <c r="D378" s="215"/>
      <c r="E378" s="215"/>
      <c r="F378" s="210"/>
      <c r="H378" s="959"/>
      <c r="I378" s="960"/>
      <c r="K378" s="204"/>
      <c r="L378" s="204"/>
    </row>
    <row r="379">
      <c r="D379" s="215"/>
      <c r="E379" s="215"/>
      <c r="F379" s="210"/>
      <c r="H379" s="959"/>
      <c r="I379" s="960"/>
      <c r="K379" s="204"/>
      <c r="L379" s="204"/>
    </row>
    <row r="380">
      <c r="D380" s="215"/>
      <c r="E380" s="215"/>
      <c r="F380" s="210"/>
      <c r="H380" s="959"/>
      <c r="I380" s="960"/>
      <c r="K380" s="204"/>
      <c r="L380" s="204"/>
    </row>
    <row r="381">
      <c r="D381" s="215"/>
      <c r="E381" s="215"/>
      <c r="F381" s="210"/>
      <c r="H381" s="959"/>
      <c r="I381" s="960"/>
      <c r="K381" s="204"/>
      <c r="L381" s="204"/>
    </row>
    <row r="382">
      <c r="D382" s="215"/>
      <c r="E382" s="215"/>
      <c r="F382" s="210"/>
      <c r="H382" s="959"/>
      <c r="I382" s="960"/>
      <c r="K382" s="204"/>
      <c r="L382" s="204"/>
    </row>
    <row r="383">
      <c r="D383" s="215"/>
      <c r="E383" s="215"/>
      <c r="F383" s="210"/>
      <c r="H383" s="959"/>
      <c r="I383" s="960"/>
      <c r="K383" s="204"/>
      <c r="L383" s="204"/>
    </row>
    <row r="384">
      <c r="D384" s="215"/>
      <c r="E384" s="215"/>
      <c r="F384" s="210"/>
      <c r="H384" s="959"/>
      <c r="I384" s="960"/>
      <c r="K384" s="204"/>
      <c r="L384" s="204"/>
    </row>
    <row r="385">
      <c r="D385" s="215"/>
      <c r="E385" s="215"/>
      <c r="F385" s="210"/>
      <c r="H385" s="959"/>
      <c r="I385" s="960"/>
      <c r="K385" s="204"/>
      <c r="L385" s="204"/>
    </row>
    <row r="386">
      <c r="D386" s="215"/>
      <c r="E386" s="215"/>
      <c r="F386" s="210"/>
      <c r="H386" s="959"/>
      <c r="I386" s="960"/>
      <c r="K386" s="204"/>
      <c r="L386" s="204"/>
    </row>
    <row r="387">
      <c r="D387" s="215"/>
      <c r="E387" s="215"/>
      <c r="F387" s="210"/>
      <c r="H387" s="959"/>
      <c r="I387" s="960"/>
      <c r="K387" s="204"/>
      <c r="L387" s="204"/>
    </row>
    <row r="388">
      <c r="D388" s="215"/>
      <c r="E388" s="215"/>
      <c r="F388" s="210"/>
      <c r="H388" s="959"/>
      <c r="I388" s="960"/>
      <c r="K388" s="204"/>
      <c r="L388" s="204"/>
    </row>
    <row r="389">
      <c r="D389" s="215"/>
      <c r="E389" s="215"/>
      <c r="F389" s="210"/>
      <c r="H389" s="959"/>
      <c r="I389" s="960"/>
      <c r="K389" s="204"/>
      <c r="L389" s="204"/>
    </row>
    <row r="390">
      <c r="D390" s="215"/>
      <c r="E390" s="215"/>
      <c r="F390" s="210"/>
      <c r="H390" s="959"/>
      <c r="I390" s="960"/>
      <c r="K390" s="204"/>
      <c r="L390" s="204"/>
    </row>
    <row r="391">
      <c r="D391" s="215"/>
      <c r="E391" s="215"/>
      <c r="F391" s="210"/>
      <c r="H391" s="959"/>
      <c r="I391" s="960"/>
      <c r="K391" s="204"/>
      <c r="L391" s="204"/>
    </row>
    <row r="392">
      <c r="D392" s="215"/>
      <c r="E392" s="215"/>
      <c r="F392" s="210"/>
      <c r="H392" s="959"/>
      <c r="I392" s="960"/>
      <c r="K392" s="204"/>
      <c r="L392" s="204"/>
    </row>
    <row r="393">
      <c r="D393" s="215"/>
      <c r="E393" s="215"/>
      <c r="F393" s="210"/>
      <c r="H393" s="959"/>
      <c r="I393" s="960"/>
      <c r="K393" s="204"/>
      <c r="L393" s="204"/>
    </row>
    <row r="394">
      <c r="D394" s="215"/>
      <c r="E394" s="215"/>
      <c r="F394" s="210"/>
      <c r="H394" s="959"/>
      <c r="I394" s="960"/>
      <c r="K394" s="204"/>
      <c r="L394" s="204"/>
    </row>
    <row r="395">
      <c r="D395" s="215"/>
      <c r="E395" s="215"/>
      <c r="F395" s="210"/>
      <c r="H395" s="959"/>
      <c r="I395" s="960"/>
      <c r="K395" s="204"/>
      <c r="L395" s="204"/>
    </row>
    <row r="396">
      <c r="D396" s="215"/>
      <c r="E396" s="215"/>
      <c r="F396" s="210"/>
      <c r="H396" s="959"/>
      <c r="I396" s="960"/>
      <c r="K396" s="204"/>
      <c r="L396" s="204"/>
    </row>
    <row r="397">
      <c r="D397" s="215"/>
      <c r="E397" s="215"/>
      <c r="F397" s="210"/>
      <c r="H397" s="959"/>
      <c r="I397" s="960"/>
      <c r="K397" s="204"/>
      <c r="L397" s="204"/>
    </row>
    <row r="398">
      <c r="D398" s="215"/>
      <c r="E398" s="215"/>
      <c r="F398" s="210"/>
      <c r="H398" s="959"/>
      <c r="I398" s="960"/>
      <c r="K398" s="204"/>
      <c r="L398" s="204"/>
    </row>
    <row r="399">
      <c r="D399" s="215"/>
      <c r="E399" s="215"/>
      <c r="F399" s="210"/>
      <c r="H399" s="959"/>
      <c r="I399" s="960"/>
      <c r="K399" s="204"/>
      <c r="L399" s="204"/>
    </row>
    <row r="400">
      <c r="D400" s="215"/>
      <c r="E400" s="215"/>
      <c r="F400" s="210"/>
      <c r="H400" s="959"/>
      <c r="I400" s="960"/>
      <c r="K400" s="204"/>
      <c r="L400" s="204"/>
    </row>
    <row r="401">
      <c r="D401" s="215"/>
      <c r="E401" s="215"/>
      <c r="F401" s="210"/>
      <c r="H401" s="959"/>
      <c r="I401" s="960"/>
      <c r="K401" s="204"/>
      <c r="L401" s="204"/>
    </row>
    <row r="402">
      <c r="D402" s="215"/>
      <c r="E402" s="215"/>
      <c r="F402" s="210"/>
      <c r="H402" s="959"/>
      <c r="I402" s="960"/>
      <c r="K402" s="204"/>
      <c r="L402" s="204"/>
    </row>
    <row r="403">
      <c r="D403" s="215"/>
      <c r="E403" s="215"/>
      <c r="F403" s="210"/>
      <c r="H403" s="959"/>
      <c r="I403" s="960"/>
      <c r="K403" s="204"/>
      <c r="L403" s="204"/>
    </row>
    <row r="404">
      <c r="D404" s="215"/>
      <c r="E404" s="215"/>
      <c r="F404" s="210"/>
      <c r="H404" s="959"/>
      <c r="I404" s="960"/>
      <c r="K404" s="204"/>
      <c r="L404" s="204"/>
    </row>
    <row r="405">
      <c r="D405" s="215"/>
      <c r="E405" s="215"/>
      <c r="F405" s="210"/>
      <c r="H405" s="959"/>
      <c r="I405" s="960"/>
      <c r="K405" s="204"/>
      <c r="L405" s="204"/>
    </row>
    <row r="406">
      <c r="D406" s="215"/>
      <c r="E406" s="215"/>
      <c r="F406" s="210"/>
      <c r="H406" s="959"/>
      <c r="I406" s="960"/>
      <c r="K406" s="204"/>
      <c r="L406" s="204"/>
    </row>
    <row r="407">
      <c r="D407" s="215"/>
      <c r="E407" s="215"/>
      <c r="F407" s="210"/>
      <c r="H407" s="959"/>
      <c r="I407" s="960"/>
      <c r="K407" s="204"/>
      <c r="L407" s="204"/>
    </row>
    <row r="408">
      <c r="D408" s="215"/>
      <c r="E408" s="215"/>
      <c r="F408" s="210"/>
      <c r="H408" s="959"/>
      <c r="I408" s="960"/>
      <c r="K408" s="204"/>
      <c r="L408" s="204"/>
    </row>
    <row r="409">
      <c r="D409" s="215"/>
      <c r="E409" s="215"/>
      <c r="F409" s="210"/>
      <c r="H409" s="959"/>
      <c r="I409" s="960"/>
      <c r="K409" s="204"/>
      <c r="L409" s="204"/>
    </row>
    <row r="410">
      <c r="D410" s="215"/>
      <c r="E410" s="215"/>
      <c r="F410" s="210"/>
      <c r="H410" s="959"/>
      <c r="I410" s="960"/>
      <c r="K410" s="204"/>
      <c r="L410" s="204"/>
    </row>
    <row r="411">
      <c r="D411" s="215"/>
      <c r="E411" s="215"/>
      <c r="F411" s="210"/>
      <c r="H411" s="959"/>
      <c r="I411" s="960"/>
      <c r="K411" s="204"/>
      <c r="L411" s="204"/>
    </row>
    <row r="412">
      <c r="D412" s="215"/>
      <c r="E412" s="215"/>
      <c r="F412" s="210"/>
      <c r="H412" s="959"/>
      <c r="I412" s="960"/>
      <c r="K412" s="204"/>
      <c r="L412" s="204"/>
    </row>
    <row r="413">
      <c r="D413" s="215"/>
      <c r="E413" s="215"/>
      <c r="F413" s="210"/>
      <c r="H413" s="959"/>
      <c r="I413" s="960"/>
      <c r="K413" s="204"/>
      <c r="L413" s="204"/>
    </row>
    <row r="414">
      <c r="D414" s="215"/>
      <c r="E414" s="215"/>
      <c r="F414" s="210"/>
      <c r="H414" s="959"/>
      <c r="I414" s="960"/>
      <c r="K414" s="204"/>
      <c r="L414" s="204"/>
    </row>
    <row r="415">
      <c r="D415" s="215"/>
      <c r="E415" s="215"/>
      <c r="F415" s="210"/>
      <c r="H415" s="959"/>
      <c r="I415" s="960"/>
      <c r="K415" s="204"/>
      <c r="L415" s="204"/>
    </row>
    <row r="416">
      <c r="D416" s="215"/>
      <c r="E416" s="215"/>
      <c r="F416" s="210"/>
      <c r="H416" s="959"/>
      <c r="I416" s="960"/>
      <c r="K416" s="204"/>
      <c r="L416" s="204"/>
    </row>
    <row r="417">
      <c r="D417" s="215"/>
      <c r="E417" s="215"/>
      <c r="F417" s="210"/>
      <c r="H417" s="959"/>
      <c r="I417" s="960"/>
      <c r="K417" s="204"/>
      <c r="L417" s="204"/>
    </row>
    <row r="418">
      <c r="D418" s="215"/>
      <c r="E418" s="215"/>
      <c r="F418" s="210"/>
      <c r="H418" s="959"/>
      <c r="I418" s="960"/>
      <c r="K418" s="204"/>
      <c r="L418" s="204"/>
    </row>
    <row r="419">
      <c r="D419" s="215"/>
      <c r="E419" s="215"/>
      <c r="F419" s="210"/>
      <c r="H419" s="959"/>
      <c r="I419" s="960"/>
      <c r="K419" s="204"/>
      <c r="L419" s="204"/>
    </row>
    <row r="420">
      <c r="D420" s="215"/>
      <c r="E420" s="215"/>
      <c r="F420" s="210"/>
      <c r="H420" s="959"/>
      <c r="I420" s="960"/>
      <c r="K420" s="204"/>
      <c r="L420" s="204"/>
    </row>
    <row r="421">
      <c r="D421" s="215"/>
      <c r="E421" s="215"/>
      <c r="F421" s="210"/>
      <c r="H421" s="959"/>
      <c r="I421" s="960"/>
      <c r="K421" s="204"/>
      <c r="L421" s="204"/>
    </row>
    <row r="422">
      <c r="D422" s="215"/>
      <c r="E422" s="215"/>
      <c r="F422" s="210"/>
      <c r="H422" s="959"/>
      <c r="I422" s="960"/>
      <c r="K422" s="204"/>
      <c r="L422" s="204"/>
    </row>
    <row r="423">
      <c r="D423" s="215"/>
      <c r="E423" s="215"/>
      <c r="F423" s="210"/>
      <c r="H423" s="959"/>
      <c r="I423" s="960"/>
      <c r="K423" s="204"/>
      <c r="L423" s="204"/>
    </row>
    <row r="424">
      <c r="D424" s="215"/>
      <c r="E424" s="215"/>
      <c r="F424" s="210"/>
      <c r="H424" s="959"/>
      <c r="I424" s="960"/>
      <c r="K424" s="204"/>
      <c r="L424" s="204"/>
    </row>
    <row r="425">
      <c r="D425" s="215"/>
      <c r="E425" s="215"/>
      <c r="F425" s="210"/>
      <c r="H425" s="959"/>
      <c r="I425" s="960"/>
      <c r="K425" s="204"/>
      <c r="L425" s="204"/>
    </row>
    <row r="426">
      <c r="D426" s="215"/>
      <c r="E426" s="215"/>
      <c r="F426" s="210"/>
      <c r="H426" s="959"/>
      <c r="I426" s="960"/>
      <c r="K426" s="204"/>
      <c r="L426" s="204"/>
    </row>
    <row r="427">
      <c r="D427" s="215"/>
      <c r="E427" s="215"/>
      <c r="F427" s="210"/>
      <c r="H427" s="959"/>
      <c r="I427" s="960"/>
      <c r="K427" s="204"/>
      <c r="L427" s="204"/>
    </row>
    <row r="428">
      <c r="D428" s="215"/>
      <c r="E428" s="215"/>
      <c r="F428" s="210"/>
      <c r="H428" s="959"/>
      <c r="I428" s="960"/>
      <c r="K428" s="204"/>
      <c r="L428" s="204"/>
    </row>
    <row r="429">
      <c r="D429" s="215"/>
      <c r="E429" s="215"/>
      <c r="F429" s="210"/>
      <c r="H429" s="959"/>
      <c r="I429" s="960"/>
      <c r="K429" s="204"/>
      <c r="L429" s="204"/>
    </row>
    <row r="430">
      <c r="D430" s="215"/>
      <c r="E430" s="215"/>
      <c r="F430" s="210"/>
      <c r="H430" s="959"/>
      <c r="I430" s="960"/>
      <c r="K430" s="204"/>
      <c r="L430" s="204"/>
    </row>
    <row r="431">
      <c r="D431" s="215"/>
      <c r="E431" s="215"/>
      <c r="F431" s="210"/>
      <c r="H431" s="959"/>
      <c r="I431" s="960"/>
      <c r="K431" s="204"/>
      <c r="L431" s="204"/>
    </row>
    <row r="432">
      <c r="D432" s="215"/>
      <c r="E432" s="215"/>
      <c r="F432" s="210"/>
      <c r="H432" s="959"/>
      <c r="I432" s="960"/>
      <c r="K432" s="204"/>
      <c r="L432" s="204"/>
    </row>
    <row r="433">
      <c r="D433" s="215"/>
      <c r="E433" s="215"/>
      <c r="F433" s="210"/>
      <c r="H433" s="959"/>
      <c r="I433" s="960"/>
      <c r="K433" s="204"/>
      <c r="L433" s="204"/>
    </row>
    <row r="434">
      <c r="D434" s="215"/>
      <c r="E434" s="215"/>
      <c r="F434" s="210"/>
      <c r="H434" s="959"/>
      <c r="I434" s="960"/>
      <c r="K434" s="204"/>
      <c r="L434" s="204"/>
    </row>
    <row r="435">
      <c r="D435" s="215"/>
      <c r="E435" s="215"/>
      <c r="F435" s="210"/>
      <c r="H435" s="959"/>
      <c r="I435" s="960"/>
      <c r="K435" s="204"/>
      <c r="L435" s="204"/>
    </row>
    <row r="436">
      <c r="D436" s="215"/>
      <c r="E436" s="215"/>
      <c r="F436" s="210"/>
      <c r="H436" s="959"/>
      <c r="I436" s="960"/>
      <c r="K436" s="204"/>
      <c r="L436" s="204"/>
    </row>
    <row r="437">
      <c r="D437" s="215"/>
      <c r="E437" s="215"/>
      <c r="F437" s="210"/>
      <c r="H437" s="959"/>
      <c r="I437" s="960"/>
      <c r="K437" s="204"/>
      <c r="L437" s="204"/>
    </row>
    <row r="438">
      <c r="D438" s="215"/>
      <c r="E438" s="215"/>
      <c r="F438" s="210"/>
      <c r="H438" s="959"/>
      <c r="I438" s="960"/>
      <c r="K438" s="204"/>
      <c r="L438" s="204"/>
    </row>
    <row r="439">
      <c r="D439" s="215"/>
      <c r="E439" s="215"/>
      <c r="F439" s="210"/>
      <c r="H439" s="959"/>
      <c r="I439" s="960"/>
      <c r="K439" s="204"/>
      <c r="L439" s="204"/>
    </row>
    <row r="440">
      <c r="D440" s="215"/>
      <c r="E440" s="215"/>
      <c r="F440" s="210"/>
      <c r="H440" s="959"/>
      <c r="I440" s="960"/>
      <c r="K440" s="204"/>
      <c r="L440" s="204"/>
    </row>
    <row r="441">
      <c r="D441" s="215"/>
      <c r="E441" s="215"/>
      <c r="F441" s="210"/>
      <c r="H441" s="959"/>
      <c r="I441" s="960"/>
      <c r="K441" s="204"/>
      <c r="L441" s="204"/>
    </row>
    <row r="442">
      <c r="D442" s="215"/>
      <c r="E442" s="215"/>
      <c r="F442" s="210"/>
      <c r="H442" s="959"/>
      <c r="I442" s="960"/>
      <c r="K442" s="204"/>
      <c r="L442" s="204"/>
    </row>
    <row r="443">
      <c r="D443" s="215"/>
      <c r="E443" s="215"/>
      <c r="F443" s="210"/>
      <c r="H443" s="959"/>
      <c r="I443" s="960"/>
      <c r="K443" s="204"/>
      <c r="L443" s="204"/>
    </row>
    <row r="444">
      <c r="D444" s="215"/>
      <c r="E444" s="215"/>
      <c r="F444" s="210"/>
      <c r="H444" s="959"/>
      <c r="I444" s="960"/>
      <c r="K444" s="204"/>
      <c r="L444" s="204"/>
    </row>
    <row r="445">
      <c r="D445" s="215"/>
      <c r="E445" s="215"/>
      <c r="F445" s="210"/>
      <c r="H445" s="959"/>
      <c r="I445" s="960"/>
      <c r="K445" s="204"/>
      <c r="L445" s="204"/>
    </row>
    <row r="446">
      <c r="D446" s="215"/>
      <c r="E446" s="215"/>
      <c r="F446" s="210"/>
      <c r="H446" s="959"/>
      <c r="I446" s="960"/>
      <c r="K446" s="204"/>
      <c r="L446" s="204"/>
    </row>
    <row r="447">
      <c r="D447" s="215"/>
      <c r="E447" s="215"/>
      <c r="F447" s="210"/>
      <c r="H447" s="959"/>
      <c r="I447" s="960"/>
      <c r="K447" s="204"/>
      <c r="L447" s="204"/>
    </row>
    <row r="448">
      <c r="D448" s="215"/>
      <c r="E448" s="215"/>
      <c r="F448" s="210"/>
      <c r="H448" s="959"/>
      <c r="I448" s="960"/>
      <c r="K448" s="204"/>
      <c r="L448" s="204"/>
    </row>
    <row r="449">
      <c r="D449" s="215"/>
      <c r="E449" s="215"/>
      <c r="F449" s="210"/>
      <c r="H449" s="959"/>
      <c r="I449" s="960"/>
      <c r="K449" s="204"/>
      <c r="L449" s="204"/>
    </row>
    <row r="450">
      <c r="D450" s="215"/>
      <c r="E450" s="215"/>
      <c r="F450" s="210"/>
      <c r="H450" s="959"/>
      <c r="I450" s="960"/>
      <c r="K450" s="204"/>
      <c r="L450" s="204"/>
    </row>
    <row r="451">
      <c r="D451" s="215"/>
      <c r="E451" s="215"/>
      <c r="F451" s="210"/>
      <c r="H451" s="959"/>
      <c r="I451" s="960"/>
      <c r="K451" s="204"/>
      <c r="L451" s="204"/>
    </row>
    <row r="452">
      <c r="D452" s="215"/>
      <c r="E452" s="215"/>
      <c r="F452" s="210"/>
      <c r="H452" s="959"/>
      <c r="I452" s="960"/>
      <c r="K452" s="204"/>
      <c r="L452" s="204"/>
    </row>
    <row r="453">
      <c r="D453" s="215"/>
      <c r="E453" s="215"/>
      <c r="F453" s="210"/>
      <c r="H453" s="959"/>
      <c r="I453" s="960"/>
      <c r="K453" s="204"/>
      <c r="L453" s="204"/>
    </row>
    <row r="454">
      <c r="D454" s="215"/>
      <c r="E454" s="215"/>
      <c r="F454" s="210"/>
      <c r="H454" s="959"/>
      <c r="I454" s="960"/>
      <c r="K454" s="204"/>
      <c r="L454" s="204"/>
    </row>
    <row r="455">
      <c r="D455" s="215"/>
      <c r="E455" s="215"/>
      <c r="F455" s="210"/>
      <c r="H455" s="959"/>
      <c r="I455" s="960"/>
      <c r="K455" s="204"/>
      <c r="L455" s="204"/>
    </row>
    <row r="456">
      <c r="D456" s="215"/>
      <c r="E456" s="215"/>
      <c r="F456" s="210"/>
      <c r="H456" s="959"/>
      <c r="I456" s="960"/>
      <c r="K456" s="204"/>
      <c r="L456" s="204"/>
    </row>
    <row r="457">
      <c r="D457" s="215"/>
      <c r="E457" s="215"/>
      <c r="F457" s="210"/>
      <c r="H457" s="959"/>
      <c r="I457" s="960"/>
      <c r="K457" s="204"/>
      <c r="L457" s="204"/>
    </row>
    <row r="458">
      <c r="D458" s="215"/>
      <c r="E458" s="215"/>
      <c r="F458" s="210"/>
      <c r="H458" s="959"/>
      <c r="I458" s="960"/>
      <c r="K458" s="204"/>
      <c r="L458" s="204"/>
    </row>
    <row r="459">
      <c r="D459" s="215"/>
      <c r="E459" s="215"/>
      <c r="F459" s="210"/>
      <c r="H459" s="959"/>
      <c r="I459" s="960"/>
      <c r="K459" s="204"/>
      <c r="L459" s="204"/>
    </row>
    <row r="460">
      <c r="D460" s="215"/>
      <c r="E460" s="215"/>
      <c r="F460" s="210"/>
      <c r="H460" s="959"/>
      <c r="I460" s="960"/>
      <c r="K460" s="204"/>
      <c r="L460" s="204"/>
    </row>
    <row r="461">
      <c r="D461" s="215"/>
      <c r="E461" s="215"/>
      <c r="F461" s="210"/>
      <c r="H461" s="959"/>
      <c r="I461" s="960"/>
      <c r="K461" s="204"/>
      <c r="L461" s="204"/>
    </row>
    <row r="462">
      <c r="D462" s="215"/>
      <c r="E462" s="215"/>
      <c r="F462" s="210"/>
      <c r="H462" s="959"/>
      <c r="I462" s="960"/>
      <c r="K462" s="204"/>
      <c r="L462" s="204"/>
    </row>
    <row r="463">
      <c r="D463" s="215"/>
      <c r="E463" s="215"/>
      <c r="F463" s="210"/>
      <c r="H463" s="959"/>
      <c r="I463" s="960"/>
      <c r="K463" s="204"/>
      <c r="L463" s="204"/>
    </row>
    <row r="464">
      <c r="D464" s="215"/>
      <c r="E464" s="215"/>
      <c r="F464" s="210"/>
      <c r="H464" s="959"/>
      <c r="I464" s="960"/>
      <c r="K464" s="204"/>
      <c r="L464" s="204"/>
    </row>
    <row r="465">
      <c r="D465" s="215"/>
      <c r="E465" s="215"/>
      <c r="F465" s="210"/>
      <c r="H465" s="959"/>
      <c r="I465" s="960"/>
      <c r="K465" s="204"/>
      <c r="L465" s="204"/>
    </row>
    <row r="466">
      <c r="D466" s="215"/>
      <c r="E466" s="215"/>
      <c r="F466" s="210"/>
      <c r="H466" s="959"/>
      <c r="I466" s="960"/>
      <c r="K466" s="204"/>
      <c r="L466" s="204"/>
    </row>
    <row r="467">
      <c r="D467" s="215"/>
      <c r="E467" s="215"/>
      <c r="F467" s="210"/>
      <c r="H467" s="959"/>
      <c r="I467" s="960"/>
      <c r="K467" s="204"/>
      <c r="L467" s="204"/>
    </row>
    <row r="468">
      <c r="D468" s="215"/>
      <c r="E468" s="215"/>
      <c r="F468" s="210"/>
      <c r="H468" s="959"/>
      <c r="I468" s="960"/>
      <c r="K468" s="204"/>
      <c r="L468" s="204"/>
    </row>
    <row r="469">
      <c r="D469" s="215"/>
      <c r="E469" s="215"/>
      <c r="F469" s="210"/>
      <c r="H469" s="959"/>
      <c r="I469" s="960"/>
      <c r="K469" s="204"/>
      <c r="L469" s="204"/>
    </row>
    <row r="470">
      <c r="D470" s="215"/>
      <c r="E470" s="215"/>
      <c r="F470" s="210"/>
      <c r="H470" s="959"/>
      <c r="I470" s="960"/>
      <c r="K470" s="204"/>
      <c r="L470" s="204"/>
    </row>
    <row r="471">
      <c r="D471" s="215"/>
      <c r="E471" s="215"/>
      <c r="F471" s="210"/>
      <c r="H471" s="959"/>
      <c r="I471" s="960"/>
      <c r="K471" s="204"/>
      <c r="L471" s="204"/>
    </row>
    <row r="472">
      <c r="D472" s="215"/>
      <c r="E472" s="215"/>
      <c r="F472" s="210"/>
      <c r="H472" s="959"/>
      <c r="I472" s="960"/>
      <c r="K472" s="204"/>
      <c r="L472" s="204"/>
    </row>
    <row r="473">
      <c r="D473" s="215"/>
      <c r="E473" s="215"/>
      <c r="F473" s="210"/>
      <c r="H473" s="959"/>
      <c r="I473" s="960"/>
      <c r="K473" s="204"/>
      <c r="L473" s="204"/>
    </row>
    <row r="474">
      <c r="D474" s="215"/>
      <c r="E474" s="215"/>
      <c r="F474" s="210"/>
      <c r="H474" s="959"/>
      <c r="I474" s="960"/>
      <c r="K474" s="204"/>
      <c r="L474" s="204"/>
    </row>
    <row r="475">
      <c r="D475" s="215"/>
      <c r="E475" s="215"/>
      <c r="F475" s="210"/>
      <c r="H475" s="959"/>
      <c r="I475" s="960"/>
      <c r="K475" s="204"/>
      <c r="L475" s="204"/>
    </row>
    <row r="476">
      <c r="D476" s="215"/>
      <c r="E476" s="215"/>
      <c r="F476" s="210"/>
      <c r="H476" s="959"/>
      <c r="I476" s="960"/>
      <c r="K476" s="204"/>
      <c r="L476" s="204"/>
    </row>
    <row r="477">
      <c r="D477" s="215"/>
      <c r="E477" s="215"/>
      <c r="F477" s="210"/>
      <c r="H477" s="959"/>
      <c r="I477" s="960"/>
      <c r="K477" s="204"/>
      <c r="L477" s="204"/>
    </row>
    <row r="478">
      <c r="D478" s="215"/>
      <c r="E478" s="215"/>
      <c r="F478" s="210"/>
      <c r="H478" s="959"/>
      <c r="I478" s="960"/>
      <c r="K478" s="204"/>
      <c r="L478" s="204"/>
    </row>
    <row r="479">
      <c r="D479" s="215"/>
      <c r="E479" s="215"/>
      <c r="F479" s="210"/>
      <c r="H479" s="959"/>
      <c r="I479" s="960"/>
      <c r="K479" s="204"/>
      <c r="L479" s="204"/>
    </row>
    <row r="480">
      <c r="D480" s="215"/>
      <c r="E480" s="215"/>
      <c r="F480" s="210"/>
      <c r="H480" s="959"/>
      <c r="I480" s="960"/>
      <c r="K480" s="204"/>
      <c r="L480" s="204"/>
    </row>
    <row r="481">
      <c r="D481" s="215"/>
      <c r="E481" s="215"/>
      <c r="F481" s="210"/>
      <c r="H481" s="959"/>
      <c r="I481" s="960"/>
      <c r="K481" s="204"/>
      <c r="L481" s="204"/>
    </row>
    <row r="482">
      <c r="D482" s="215"/>
      <c r="E482" s="215"/>
      <c r="F482" s="210"/>
      <c r="H482" s="959"/>
      <c r="I482" s="960"/>
      <c r="K482" s="204"/>
      <c r="L482" s="204"/>
    </row>
    <row r="483">
      <c r="D483" s="215"/>
      <c r="E483" s="215"/>
      <c r="F483" s="210"/>
      <c r="H483" s="959"/>
      <c r="I483" s="960"/>
      <c r="K483" s="204"/>
      <c r="L483" s="204"/>
    </row>
    <row r="484">
      <c r="D484" s="215"/>
      <c r="E484" s="215"/>
      <c r="F484" s="210"/>
      <c r="H484" s="959"/>
      <c r="I484" s="960"/>
      <c r="K484" s="204"/>
      <c r="L484" s="204"/>
    </row>
    <row r="485">
      <c r="D485" s="215"/>
      <c r="E485" s="215"/>
      <c r="F485" s="210"/>
      <c r="H485" s="959"/>
      <c r="I485" s="960"/>
      <c r="K485" s="204"/>
      <c r="L485" s="204"/>
    </row>
    <row r="486">
      <c r="D486" s="215"/>
      <c r="E486" s="215"/>
      <c r="F486" s="210"/>
      <c r="H486" s="959"/>
      <c r="I486" s="960"/>
      <c r="K486" s="204"/>
      <c r="L486" s="204"/>
    </row>
    <row r="487">
      <c r="D487" s="215"/>
      <c r="E487" s="215"/>
      <c r="F487" s="210"/>
      <c r="H487" s="959"/>
      <c r="I487" s="960"/>
      <c r="K487" s="204"/>
      <c r="L487" s="204"/>
    </row>
    <row r="488">
      <c r="D488" s="215"/>
      <c r="E488" s="215"/>
      <c r="F488" s="210"/>
      <c r="H488" s="959"/>
      <c r="I488" s="960"/>
      <c r="K488" s="204"/>
      <c r="L488" s="204"/>
    </row>
    <row r="489">
      <c r="D489" s="215"/>
      <c r="E489" s="215"/>
      <c r="F489" s="210"/>
      <c r="H489" s="959"/>
      <c r="I489" s="960"/>
      <c r="K489" s="204"/>
      <c r="L489" s="204"/>
    </row>
    <row r="490">
      <c r="D490" s="215"/>
      <c r="E490" s="215"/>
      <c r="F490" s="210"/>
      <c r="H490" s="959"/>
      <c r="I490" s="960"/>
      <c r="K490" s="204"/>
      <c r="L490" s="204"/>
    </row>
    <row r="491">
      <c r="D491" s="215"/>
      <c r="E491" s="215"/>
      <c r="F491" s="210"/>
      <c r="H491" s="959"/>
      <c r="I491" s="960"/>
      <c r="K491" s="204"/>
      <c r="L491" s="204"/>
    </row>
    <row r="492">
      <c r="D492" s="215"/>
      <c r="E492" s="215"/>
      <c r="F492" s="210"/>
      <c r="H492" s="959"/>
      <c r="I492" s="960"/>
      <c r="K492" s="204"/>
      <c r="L492" s="204"/>
    </row>
    <row r="493">
      <c r="D493" s="215"/>
      <c r="E493" s="215"/>
      <c r="F493" s="210"/>
      <c r="H493" s="959"/>
      <c r="I493" s="960"/>
      <c r="K493" s="204"/>
      <c r="L493" s="204"/>
    </row>
    <row r="494">
      <c r="D494" s="215"/>
      <c r="E494" s="215"/>
      <c r="F494" s="210"/>
      <c r="H494" s="959"/>
      <c r="I494" s="960"/>
      <c r="K494" s="204"/>
      <c r="L494" s="204"/>
    </row>
    <row r="495">
      <c r="D495" s="215"/>
      <c r="E495" s="215"/>
      <c r="F495" s="210"/>
      <c r="H495" s="959"/>
      <c r="I495" s="960"/>
      <c r="K495" s="204"/>
      <c r="L495" s="204"/>
    </row>
    <row r="496">
      <c r="D496" s="215"/>
      <c r="E496" s="215"/>
      <c r="F496" s="210"/>
      <c r="H496" s="959"/>
      <c r="I496" s="960"/>
      <c r="K496" s="204"/>
      <c r="L496" s="204"/>
    </row>
    <row r="497">
      <c r="D497" s="215"/>
      <c r="E497" s="215"/>
      <c r="F497" s="210"/>
      <c r="H497" s="959"/>
      <c r="I497" s="960"/>
      <c r="K497" s="204"/>
      <c r="L497" s="204"/>
    </row>
    <row r="498">
      <c r="D498" s="215"/>
      <c r="E498" s="215"/>
      <c r="F498" s="210"/>
      <c r="H498" s="959"/>
      <c r="I498" s="960"/>
      <c r="K498" s="204"/>
      <c r="L498" s="204"/>
    </row>
    <row r="499">
      <c r="D499" s="215"/>
      <c r="E499" s="215"/>
      <c r="F499" s="210"/>
      <c r="H499" s="959"/>
      <c r="I499" s="960"/>
      <c r="K499" s="204"/>
      <c r="L499" s="204"/>
    </row>
    <row r="500">
      <c r="D500" s="215"/>
      <c r="E500" s="215"/>
      <c r="F500" s="210"/>
      <c r="H500" s="959"/>
      <c r="I500" s="960"/>
      <c r="K500" s="204"/>
      <c r="L500" s="204"/>
    </row>
    <row r="501">
      <c r="D501" s="215"/>
      <c r="E501" s="215"/>
      <c r="F501" s="210"/>
      <c r="H501" s="959"/>
      <c r="I501" s="960"/>
      <c r="K501" s="204"/>
      <c r="L501" s="204"/>
    </row>
    <row r="502">
      <c r="D502" s="215"/>
      <c r="E502" s="215"/>
      <c r="F502" s="210"/>
      <c r="H502" s="959"/>
      <c r="I502" s="960"/>
      <c r="K502" s="204"/>
      <c r="L502" s="204"/>
    </row>
    <row r="503">
      <c r="D503" s="215"/>
      <c r="E503" s="215"/>
      <c r="F503" s="210"/>
      <c r="H503" s="959"/>
      <c r="I503" s="960"/>
      <c r="K503" s="204"/>
      <c r="L503" s="204"/>
    </row>
    <row r="504">
      <c r="D504" s="215"/>
      <c r="E504" s="215"/>
      <c r="F504" s="210"/>
      <c r="H504" s="959"/>
      <c r="I504" s="960"/>
      <c r="K504" s="204"/>
      <c r="L504" s="204"/>
    </row>
    <row r="505">
      <c r="D505" s="215"/>
      <c r="E505" s="215"/>
      <c r="F505" s="210"/>
      <c r="H505" s="959"/>
      <c r="I505" s="960"/>
      <c r="K505" s="204"/>
      <c r="L505" s="204"/>
    </row>
    <row r="506">
      <c r="D506" s="215"/>
      <c r="E506" s="215"/>
      <c r="F506" s="210"/>
      <c r="H506" s="959"/>
      <c r="I506" s="960"/>
      <c r="K506" s="204"/>
      <c r="L506" s="204"/>
    </row>
    <row r="507">
      <c r="D507" s="215"/>
      <c r="E507" s="215"/>
      <c r="F507" s="210"/>
      <c r="H507" s="959"/>
      <c r="I507" s="960"/>
      <c r="K507" s="204"/>
      <c r="L507" s="204"/>
    </row>
    <row r="508">
      <c r="D508" s="215"/>
      <c r="E508" s="215"/>
      <c r="F508" s="210"/>
      <c r="H508" s="959"/>
      <c r="I508" s="960"/>
      <c r="K508" s="204"/>
      <c r="L508" s="204"/>
    </row>
    <row r="509">
      <c r="D509" s="215"/>
      <c r="E509" s="215"/>
      <c r="F509" s="210"/>
      <c r="H509" s="959"/>
      <c r="I509" s="960"/>
      <c r="K509" s="204"/>
      <c r="L509" s="204"/>
    </row>
    <row r="510">
      <c r="D510" s="215"/>
      <c r="E510" s="215"/>
      <c r="F510" s="210"/>
      <c r="H510" s="959"/>
      <c r="I510" s="960"/>
      <c r="K510" s="204"/>
      <c r="L510" s="204"/>
    </row>
    <row r="511">
      <c r="D511" s="215"/>
      <c r="E511" s="215"/>
      <c r="F511" s="210"/>
      <c r="H511" s="959"/>
      <c r="I511" s="960"/>
      <c r="K511" s="204"/>
      <c r="L511" s="204"/>
    </row>
    <row r="512">
      <c r="D512" s="215"/>
      <c r="E512" s="215"/>
      <c r="F512" s="210"/>
      <c r="H512" s="959"/>
      <c r="I512" s="960"/>
      <c r="K512" s="204"/>
      <c r="L512" s="204"/>
    </row>
    <row r="513">
      <c r="D513" s="215"/>
      <c r="E513" s="215"/>
      <c r="F513" s="210"/>
      <c r="H513" s="959"/>
      <c r="I513" s="960"/>
      <c r="K513" s="204"/>
      <c r="L513" s="204"/>
    </row>
    <row r="514">
      <c r="D514" s="215"/>
      <c r="E514" s="215"/>
      <c r="F514" s="210"/>
      <c r="H514" s="959"/>
      <c r="I514" s="960"/>
      <c r="K514" s="204"/>
      <c r="L514" s="204"/>
    </row>
    <row r="515">
      <c r="D515" s="215"/>
      <c r="E515" s="215"/>
      <c r="F515" s="210"/>
      <c r="H515" s="959"/>
      <c r="I515" s="960"/>
      <c r="K515" s="204"/>
      <c r="L515" s="204"/>
    </row>
    <row r="516">
      <c r="D516" s="215"/>
      <c r="E516" s="215"/>
      <c r="F516" s="210"/>
      <c r="H516" s="959"/>
      <c r="I516" s="960"/>
      <c r="K516" s="204"/>
      <c r="L516" s="204"/>
    </row>
    <row r="517">
      <c r="D517" s="215"/>
      <c r="E517" s="215"/>
      <c r="F517" s="210"/>
      <c r="H517" s="959"/>
      <c r="I517" s="960"/>
      <c r="K517" s="204"/>
      <c r="L517" s="204"/>
    </row>
    <row r="518">
      <c r="D518" s="215"/>
      <c r="E518" s="215"/>
      <c r="F518" s="210"/>
      <c r="H518" s="959"/>
      <c r="I518" s="960"/>
      <c r="K518" s="204"/>
      <c r="L518" s="204"/>
    </row>
    <row r="519">
      <c r="D519" s="215"/>
      <c r="E519" s="215"/>
      <c r="F519" s="210"/>
      <c r="H519" s="959"/>
      <c r="I519" s="960"/>
      <c r="K519" s="204"/>
      <c r="L519" s="204"/>
    </row>
    <row r="520">
      <c r="D520" s="215"/>
      <c r="E520" s="215"/>
      <c r="F520" s="210"/>
      <c r="H520" s="959"/>
      <c r="I520" s="960"/>
      <c r="K520" s="204"/>
      <c r="L520" s="204"/>
    </row>
    <row r="521">
      <c r="D521" s="215"/>
      <c r="E521" s="215"/>
      <c r="F521" s="210"/>
      <c r="H521" s="959"/>
      <c r="I521" s="960"/>
      <c r="K521" s="204"/>
      <c r="L521" s="204"/>
    </row>
    <row r="522">
      <c r="D522" s="215"/>
      <c r="E522" s="215"/>
      <c r="F522" s="210"/>
      <c r="H522" s="959"/>
      <c r="I522" s="960"/>
      <c r="K522" s="204"/>
      <c r="L522" s="204"/>
    </row>
    <row r="523">
      <c r="D523" s="215"/>
      <c r="E523" s="215"/>
      <c r="F523" s="210"/>
      <c r="H523" s="959"/>
      <c r="I523" s="960"/>
      <c r="K523" s="204"/>
      <c r="L523" s="204"/>
    </row>
    <row r="524">
      <c r="D524" s="215"/>
      <c r="E524" s="215"/>
      <c r="F524" s="210"/>
      <c r="H524" s="959"/>
      <c r="I524" s="960"/>
      <c r="K524" s="204"/>
      <c r="L524" s="204"/>
    </row>
    <row r="525">
      <c r="D525" s="215"/>
      <c r="E525" s="215"/>
      <c r="F525" s="210"/>
      <c r="H525" s="959"/>
      <c r="I525" s="960"/>
      <c r="K525" s="204"/>
      <c r="L525" s="204"/>
    </row>
    <row r="526">
      <c r="D526" s="215"/>
      <c r="E526" s="215"/>
      <c r="F526" s="210"/>
      <c r="H526" s="959"/>
      <c r="I526" s="960"/>
      <c r="K526" s="204"/>
      <c r="L526" s="204"/>
    </row>
    <row r="527">
      <c r="D527" s="215"/>
      <c r="E527" s="215"/>
      <c r="F527" s="210"/>
      <c r="H527" s="959"/>
      <c r="I527" s="960"/>
      <c r="K527" s="204"/>
      <c r="L527" s="204"/>
    </row>
    <row r="528">
      <c r="D528" s="215"/>
      <c r="E528" s="215"/>
      <c r="F528" s="210"/>
      <c r="H528" s="959"/>
      <c r="I528" s="960"/>
      <c r="K528" s="204"/>
      <c r="L528" s="204"/>
    </row>
    <row r="529">
      <c r="D529" s="215"/>
      <c r="E529" s="215"/>
      <c r="F529" s="210"/>
      <c r="H529" s="959"/>
      <c r="I529" s="960"/>
      <c r="K529" s="204"/>
      <c r="L529" s="204"/>
    </row>
    <row r="530">
      <c r="D530" s="215"/>
      <c r="E530" s="215"/>
      <c r="F530" s="210"/>
      <c r="H530" s="959"/>
      <c r="I530" s="960"/>
      <c r="K530" s="204"/>
      <c r="L530" s="204"/>
    </row>
    <row r="531">
      <c r="D531" s="215"/>
      <c r="E531" s="215"/>
      <c r="F531" s="210"/>
      <c r="H531" s="959"/>
      <c r="I531" s="960"/>
      <c r="K531" s="204"/>
      <c r="L531" s="204"/>
    </row>
    <row r="532">
      <c r="D532" s="215"/>
      <c r="E532" s="215"/>
      <c r="F532" s="210"/>
      <c r="H532" s="959"/>
      <c r="I532" s="960"/>
      <c r="K532" s="204"/>
      <c r="L532" s="204"/>
    </row>
    <row r="533">
      <c r="D533" s="215"/>
      <c r="E533" s="215"/>
      <c r="F533" s="210"/>
      <c r="H533" s="959"/>
      <c r="I533" s="960"/>
      <c r="K533" s="204"/>
      <c r="L533" s="204"/>
    </row>
    <row r="534">
      <c r="D534" s="215"/>
      <c r="E534" s="215"/>
      <c r="F534" s="210"/>
      <c r="H534" s="959"/>
      <c r="I534" s="960"/>
      <c r="K534" s="204"/>
      <c r="L534" s="204"/>
    </row>
    <row r="535">
      <c r="D535" s="215"/>
      <c r="E535" s="215"/>
      <c r="F535" s="210"/>
      <c r="H535" s="959"/>
      <c r="I535" s="960"/>
      <c r="K535" s="204"/>
      <c r="L535" s="204"/>
    </row>
    <row r="536">
      <c r="D536" s="215"/>
      <c r="E536" s="215"/>
      <c r="F536" s="210"/>
      <c r="H536" s="959"/>
      <c r="I536" s="960"/>
      <c r="K536" s="204"/>
      <c r="L536" s="204"/>
    </row>
    <row r="537">
      <c r="D537" s="215"/>
      <c r="E537" s="215"/>
      <c r="F537" s="210"/>
      <c r="H537" s="959"/>
      <c r="I537" s="960"/>
      <c r="K537" s="204"/>
      <c r="L537" s="204"/>
    </row>
    <row r="538">
      <c r="D538" s="215"/>
      <c r="E538" s="215"/>
      <c r="F538" s="210"/>
      <c r="H538" s="959"/>
      <c r="I538" s="960"/>
      <c r="K538" s="204"/>
      <c r="L538" s="204"/>
    </row>
    <row r="539">
      <c r="D539" s="215"/>
      <c r="E539" s="215"/>
      <c r="F539" s="210"/>
      <c r="H539" s="959"/>
      <c r="I539" s="960"/>
      <c r="K539" s="204"/>
      <c r="L539" s="204"/>
    </row>
    <row r="540">
      <c r="D540" s="215"/>
      <c r="E540" s="215"/>
      <c r="F540" s="210"/>
      <c r="H540" s="959"/>
      <c r="I540" s="960"/>
      <c r="K540" s="204"/>
      <c r="L540" s="204"/>
    </row>
    <row r="541">
      <c r="D541" s="215"/>
      <c r="E541" s="215"/>
      <c r="F541" s="210"/>
      <c r="H541" s="959"/>
      <c r="I541" s="960"/>
      <c r="K541" s="204"/>
      <c r="L541" s="204"/>
    </row>
    <row r="542">
      <c r="D542" s="215"/>
      <c r="E542" s="215"/>
      <c r="F542" s="210"/>
      <c r="H542" s="959"/>
      <c r="I542" s="960"/>
      <c r="K542" s="204"/>
      <c r="L542" s="204"/>
    </row>
    <row r="543">
      <c r="D543" s="215"/>
      <c r="E543" s="215"/>
      <c r="F543" s="210"/>
      <c r="H543" s="959"/>
      <c r="I543" s="960"/>
      <c r="K543" s="204"/>
      <c r="L543" s="204"/>
    </row>
    <row r="544">
      <c r="D544" s="215"/>
      <c r="E544" s="215"/>
      <c r="F544" s="210"/>
      <c r="H544" s="959"/>
      <c r="I544" s="960"/>
      <c r="K544" s="204"/>
      <c r="L544" s="204"/>
    </row>
    <row r="545">
      <c r="D545" s="215"/>
      <c r="E545" s="215"/>
      <c r="F545" s="210"/>
      <c r="H545" s="959"/>
      <c r="I545" s="960"/>
      <c r="K545" s="204"/>
      <c r="L545" s="204"/>
    </row>
    <row r="546">
      <c r="D546" s="215"/>
      <c r="E546" s="215"/>
      <c r="F546" s="210"/>
      <c r="H546" s="959"/>
      <c r="I546" s="960"/>
      <c r="K546" s="204"/>
      <c r="L546" s="204"/>
    </row>
    <row r="547">
      <c r="D547" s="215"/>
      <c r="E547" s="215"/>
      <c r="F547" s="210"/>
      <c r="H547" s="959"/>
      <c r="I547" s="960"/>
      <c r="K547" s="204"/>
      <c r="L547" s="204"/>
    </row>
    <row r="548">
      <c r="D548" s="215"/>
      <c r="E548" s="215"/>
      <c r="F548" s="210"/>
      <c r="H548" s="959"/>
      <c r="I548" s="960"/>
      <c r="K548" s="204"/>
      <c r="L548" s="204"/>
    </row>
    <row r="549">
      <c r="D549" s="215"/>
      <c r="E549" s="215"/>
      <c r="F549" s="210"/>
      <c r="H549" s="959"/>
      <c r="I549" s="960"/>
      <c r="K549" s="204"/>
      <c r="L549" s="204"/>
    </row>
    <row r="550">
      <c r="D550" s="215"/>
      <c r="E550" s="215"/>
      <c r="F550" s="210"/>
      <c r="H550" s="959"/>
      <c r="I550" s="960"/>
      <c r="K550" s="204"/>
      <c r="L550" s="204"/>
    </row>
    <row r="551">
      <c r="D551" s="215"/>
      <c r="E551" s="215"/>
      <c r="F551" s="210"/>
      <c r="H551" s="959"/>
      <c r="I551" s="960"/>
      <c r="K551" s="204"/>
      <c r="L551" s="204"/>
    </row>
    <row r="552">
      <c r="D552" s="215"/>
      <c r="E552" s="215"/>
      <c r="F552" s="210"/>
      <c r="H552" s="959"/>
      <c r="I552" s="960"/>
      <c r="K552" s="204"/>
      <c r="L552" s="204"/>
    </row>
    <row r="553">
      <c r="D553" s="215"/>
      <c r="E553" s="215"/>
      <c r="F553" s="210"/>
      <c r="H553" s="959"/>
      <c r="I553" s="960"/>
      <c r="K553" s="204"/>
      <c r="L553" s="204"/>
    </row>
    <row r="554">
      <c r="D554" s="215"/>
      <c r="E554" s="215"/>
      <c r="F554" s="210"/>
      <c r="H554" s="959"/>
      <c r="I554" s="960"/>
      <c r="K554" s="204"/>
      <c r="L554" s="204"/>
    </row>
    <row r="555">
      <c r="D555" s="215"/>
      <c r="E555" s="215"/>
      <c r="F555" s="210"/>
      <c r="H555" s="959"/>
      <c r="I555" s="960"/>
      <c r="K555" s="204"/>
      <c r="L555" s="204"/>
    </row>
    <row r="556">
      <c r="D556" s="215"/>
      <c r="E556" s="215"/>
      <c r="F556" s="210"/>
      <c r="H556" s="959"/>
      <c r="I556" s="960"/>
      <c r="K556" s="204"/>
      <c r="L556" s="204"/>
    </row>
    <row r="557">
      <c r="D557" s="215"/>
      <c r="E557" s="215"/>
      <c r="F557" s="210"/>
      <c r="H557" s="959"/>
      <c r="I557" s="960"/>
      <c r="K557" s="204"/>
      <c r="L557" s="204"/>
    </row>
    <row r="558">
      <c r="D558" s="215"/>
      <c r="E558" s="215"/>
      <c r="F558" s="210"/>
      <c r="H558" s="959"/>
      <c r="I558" s="960"/>
      <c r="K558" s="204"/>
      <c r="L558" s="204"/>
    </row>
    <row r="559">
      <c r="D559" s="215"/>
      <c r="E559" s="215"/>
      <c r="F559" s="210"/>
      <c r="H559" s="959"/>
      <c r="I559" s="960"/>
      <c r="K559" s="204"/>
      <c r="L559" s="204"/>
    </row>
    <row r="560">
      <c r="D560" s="215"/>
      <c r="E560" s="215"/>
      <c r="F560" s="210"/>
      <c r="H560" s="959"/>
      <c r="I560" s="960"/>
      <c r="K560" s="204"/>
      <c r="L560" s="204"/>
    </row>
    <row r="561">
      <c r="D561" s="215"/>
      <c r="E561" s="215"/>
      <c r="F561" s="210"/>
      <c r="H561" s="959"/>
      <c r="I561" s="960"/>
      <c r="K561" s="204"/>
      <c r="L561" s="204"/>
    </row>
    <row r="562">
      <c r="D562" s="215"/>
      <c r="E562" s="215"/>
      <c r="F562" s="210"/>
      <c r="H562" s="959"/>
      <c r="I562" s="960"/>
      <c r="K562" s="204"/>
      <c r="L562" s="204"/>
    </row>
    <row r="563">
      <c r="D563" s="215"/>
      <c r="E563" s="215"/>
      <c r="F563" s="210"/>
      <c r="H563" s="959"/>
      <c r="I563" s="960"/>
      <c r="K563" s="204"/>
      <c r="L563" s="204"/>
    </row>
    <row r="564">
      <c r="D564" s="215"/>
      <c r="E564" s="215"/>
      <c r="F564" s="210"/>
      <c r="H564" s="959"/>
      <c r="I564" s="960"/>
      <c r="K564" s="204"/>
      <c r="L564" s="204"/>
    </row>
    <row r="565">
      <c r="D565" s="215"/>
      <c r="E565" s="215"/>
      <c r="F565" s="210"/>
      <c r="H565" s="959"/>
      <c r="I565" s="960"/>
      <c r="K565" s="204"/>
      <c r="L565" s="204"/>
    </row>
    <row r="566">
      <c r="D566" s="215"/>
      <c r="E566" s="215"/>
      <c r="F566" s="210"/>
      <c r="H566" s="959"/>
      <c r="I566" s="960"/>
      <c r="K566" s="204"/>
      <c r="L566" s="204"/>
    </row>
    <row r="567">
      <c r="D567" s="215"/>
      <c r="E567" s="215"/>
      <c r="F567" s="210"/>
      <c r="H567" s="959"/>
      <c r="I567" s="960"/>
      <c r="K567" s="204"/>
      <c r="L567" s="204"/>
    </row>
    <row r="568">
      <c r="D568" s="215"/>
      <c r="E568" s="215"/>
      <c r="F568" s="210"/>
      <c r="H568" s="959"/>
      <c r="I568" s="960"/>
      <c r="K568" s="204"/>
      <c r="L568" s="204"/>
    </row>
    <row r="569">
      <c r="D569" s="215"/>
      <c r="E569" s="215"/>
      <c r="F569" s="210"/>
      <c r="H569" s="959"/>
      <c r="I569" s="960"/>
      <c r="K569" s="204"/>
      <c r="L569" s="204"/>
    </row>
    <row r="570">
      <c r="D570" s="215"/>
      <c r="E570" s="215"/>
      <c r="F570" s="210"/>
      <c r="H570" s="959"/>
      <c r="I570" s="960"/>
      <c r="K570" s="204"/>
      <c r="L570" s="204"/>
    </row>
    <row r="571">
      <c r="D571" s="215"/>
      <c r="E571" s="215"/>
      <c r="F571" s="210"/>
      <c r="H571" s="959"/>
      <c r="I571" s="960"/>
      <c r="K571" s="204"/>
      <c r="L571" s="204"/>
    </row>
    <row r="572">
      <c r="D572" s="215"/>
      <c r="E572" s="215"/>
      <c r="F572" s="210"/>
      <c r="H572" s="959"/>
      <c r="I572" s="960"/>
      <c r="K572" s="204"/>
      <c r="L572" s="204"/>
    </row>
    <row r="573">
      <c r="D573" s="215"/>
      <c r="E573" s="215"/>
      <c r="F573" s="210"/>
      <c r="H573" s="959"/>
      <c r="I573" s="960"/>
      <c r="K573" s="204"/>
      <c r="L573" s="204"/>
    </row>
    <row r="574">
      <c r="D574" s="215"/>
      <c r="E574" s="215"/>
      <c r="F574" s="210"/>
      <c r="H574" s="959"/>
      <c r="I574" s="960"/>
      <c r="K574" s="204"/>
      <c r="L574" s="204"/>
    </row>
    <row r="575">
      <c r="D575" s="215"/>
      <c r="E575" s="215"/>
      <c r="F575" s="210"/>
      <c r="H575" s="959"/>
      <c r="I575" s="960"/>
      <c r="K575" s="204"/>
      <c r="L575" s="204"/>
    </row>
    <row r="576">
      <c r="D576" s="215"/>
      <c r="E576" s="215"/>
      <c r="F576" s="210"/>
      <c r="H576" s="959"/>
      <c r="I576" s="960"/>
      <c r="K576" s="204"/>
      <c r="L576" s="204"/>
    </row>
    <row r="577">
      <c r="D577" s="215"/>
      <c r="E577" s="215"/>
      <c r="F577" s="210"/>
      <c r="H577" s="959"/>
      <c r="I577" s="960"/>
      <c r="K577" s="204"/>
      <c r="L577" s="204"/>
    </row>
    <row r="578">
      <c r="D578" s="215"/>
      <c r="E578" s="215"/>
      <c r="F578" s="210"/>
      <c r="H578" s="959"/>
      <c r="I578" s="960"/>
      <c r="K578" s="204"/>
      <c r="L578" s="204"/>
    </row>
    <row r="579">
      <c r="D579" s="215"/>
      <c r="E579" s="215"/>
      <c r="F579" s="210"/>
      <c r="H579" s="959"/>
      <c r="I579" s="960"/>
      <c r="K579" s="204"/>
      <c r="L579" s="204"/>
    </row>
    <row r="580">
      <c r="D580" s="215"/>
      <c r="E580" s="215"/>
      <c r="F580" s="210"/>
      <c r="H580" s="959"/>
      <c r="I580" s="960"/>
      <c r="K580" s="204"/>
      <c r="L580" s="204"/>
    </row>
    <row r="581">
      <c r="D581" s="215"/>
      <c r="E581" s="215"/>
      <c r="F581" s="210"/>
      <c r="H581" s="959"/>
      <c r="I581" s="960"/>
      <c r="K581" s="204"/>
      <c r="L581" s="204"/>
    </row>
    <row r="582">
      <c r="D582" s="215"/>
      <c r="E582" s="215"/>
      <c r="F582" s="210"/>
      <c r="H582" s="959"/>
      <c r="I582" s="960"/>
      <c r="K582" s="204"/>
      <c r="L582" s="204"/>
    </row>
    <row r="583">
      <c r="D583" s="215"/>
      <c r="E583" s="215"/>
      <c r="F583" s="210"/>
      <c r="H583" s="959"/>
      <c r="I583" s="960"/>
      <c r="K583" s="204"/>
      <c r="L583" s="204"/>
    </row>
    <row r="584">
      <c r="D584" s="215"/>
      <c r="E584" s="215"/>
      <c r="F584" s="210"/>
      <c r="H584" s="959"/>
      <c r="I584" s="960"/>
      <c r="K584" s="204"/>
      <c r="L584" s="204"/>
    </row>
    <row r="585">
      <c r="D585" s="215"/>
      <c r="E585" s="215"/>
      <c r="F585" s="210"/>
      <c r="H585" s="959"/>
      <c r="I585" s="960"/>
      <c r="K585" s="204"/>
      <c r="L585" s="204"/>
    </row>
    <row r="586">
      <c r="D586" s="215"/>
      <c r="E586" s="215"/>
      <c r="F586" s="210"/>
      <c r="H586" s="959"/>
      <c r="I586" s="960"/>
      <c r="K586" s="204"/>
      <c r="L586" s="204"/>
    </row>
    <row r="587">
      <c r="D587" s="215"/>
      <c r="E587" s="215"/>
      <c r="F587" s="210"/>
      <c r="H587" s="959"/>
      <c r="I587" s="960"/>
      <c r="K587" s="204"/>
      <c r="L587" s="204"/>
    </row>
    <row r="588">
      <c r="D588" s="215"/>
      <c r="E588" s="215"/>
      <c r="F588" s="210"/>
      <c r="H588" s="959"/>
      <c r="I588" s="960"/>
      <c r="K588" s="204"/>
      <c r="L588" s="204"/>
    </row>
    <row r="589">
      <c r="D589" s="215"/>
      <c r="E589" s="215"/>
      <c r="F589" s="210"/>
      <c r="H589" s="959"/>
      <c r="I589" s="960"/>
      <c r="K589" s="204"/>
      <c r="L589" s="204"/>
    </row>
    <row r="590">
      <c r="D590" s="215"/>
      <c r="E590" s="215"/>
      <c r="F590" s="210"/>
      <c r="H590" s="959"/>
      <c r="I590" s="960"/>
      <c r="K590" s="204"/>
      <c r="L590" s="204"/>
    </row>
    <row r="591">
      <c r="D591" s="215"/>
      <c r="E591" s="215"/>
      <c r="F591" s="210"/>
      <c r="H591" s="959"/>
      <c r="I591" s="960"/>
      <c r="K591" s="204"/>
      <c r="L591" s="204"/>
    </row>
    <row r="592">
      <c r="D592" s="215"/>
      <c r="E592" s="215"/>
      <c r="F592" s="210"/>
      <c r="H592" s="959"/>
      <c r="I592" s="960"/>
      <c r="K592" s="204"/>
      <c r="L592" s="204"/>
    </row>
    <row r="593">
      <c r="D593" s="215"/>
      <c r="E593" s="215"/>
      <c r="F593" s="210"/>
      <c r="H593" s="959"/>
      <c r="I593" s="960"/>
      <c r="K593" s="204"/>
      <c r="L593" s="204"/>
    </row>
    <row r="594">
      <c r="D594" s="215"/>
      <c r="E594" s="215"/>
      <c r="F594" s="210"/>
      <c r="H594" s="959"/>
      <c r="I594" s="960"/>
      <c r="K594" s="204"/>
      <c r="L594" s="204"/>
    </row>
    <row r="595">
      <c r="D595" s="215"/>
      <c r="E595" s="215"/>
      <c r="F595" s="210"/>
      <c r="H595" s="959"/>
      <c r="I595" s="960"/>
      <c r="K595" s="204"/>
      <c r="L595" s="204"/>
    </row>
    <row r="596">
      <c r="D596" s="215"/>
      <c r="E596" s="215"/>
      <c r="F596" s="210"/>
      <c r="H596" s="959"/>
      <c r="I596" s="960"/>
      <c r="K596" s="204"/>
      <c r="L596" s="204"/>
    </row>
    <row r="597">
      <c r="D597" s="215"/>
      <c r="E597" s="215"/>
      <c r="F597" s="210"/>
      <c r="H597" s="959"/>
      <c r="I597" s="960"/>
      <c r="K597" s="204"/>
      <c r="L597" s="204"/>
    </row>
    <row r="598">
      <c r="D598" s="215"/>
      <c r="E598" s="215"/>
      <c r="F598" s="210"/>
      <c r="H598" s="959"/>
      <c r="I598" s="960"/>
      <c r="K598" s="204"/>
      <c r="L598" s="204"/>
    </row>
    <row r="599">
      <c r="D599" s="215"/>
      <c r="E599" s="215"/>
      <c r="F599" s="210"/>
      <c r="H599" s="959"/>
      <c r="I599" s="960"/>
      <c r="K599" s="204"/>
      <c r="L599" s="204"/>
    </row>
    <row r="600">
      <c r="D600" s="215"/>
      <c r="E600" s="215"/>
      <c r="F600" s="210"/>
      <c r="H600" s="959"/>
      <c r="I600" s="960"/>
      <c r="K600" s="204"/>
      <c r="L600" s="204"/>
    </row>
    <row r="601">
      <c r="D601" s="215"/>
      <c r="E601" s="215"/>
      <c r="F601" s="210"/>
      <c r="H601" s="959"/>
      <c r="I601" s="960"/>
      <c r="K601" s="204"/>
      <c r="L601" s="204"/>
    </row>
    <row r="602">
      <c r="D602" s="215"/>
      <c r="E602" s="215"/>
      <c r="F602" s="210"/>
      <c r="H602" s="959"/>
      <c r="I602" s="960"/>
      <c r="K602" s="204"/>
      <c r="L602" s="204"/>
    </row>
    <row r="603">
      <c r="D603" s="215"/>
      <c r="E603" s="215"/>
      <c r="F603" s="210"/>
      <c r="H603" s="959"/>
      <c r="I603" s="960"/>
      <c r="K603" s="204"/>
      <c r="L603" s="204"/>
    </row>
    <row r="604">
      <c r="D604" s="215"/>
      <c r="E604" s="215"/>
      <c r="F604" s="210"/>
      <c r="H604" s="959"/>
      <c r="I604" s="960"/>
      <c r="K604" s="204"/>
      <c r="L604" s="204"/>
    </row>
    <row r="605">
      <c r="D605" s="215"/>
      <c r="E605" s="215"/>
      <c r="F605" s="210"/>
      <c r="H605" s="959"/>
      <c r="I605" s="960"/>
      <c r="K605" s="204"/>
      <c r="L605" s="204"/>
    </row>
    <row r="606">
      <c r="D606" s="215"/>
      <c r="E606" s="215"/>
      <c r="F606" s="210"/>
      <c r="H606" s="959"/>
      <c r="I606" s="960"/>
      <c r="K606" s="204"/>
      <c r="L606" s="204"/>
    </row>
    <row r="607">
      <c r="D607" s="215"/>
      <c r="E607" s="215"/>
      <c r="F607" s="210"/>
      <c r="H607" s="959"/>
      <c r="I607" s="960"/>
      <c r="K607" s="204"/>
      <c r="L607" s="204"/>
    </row>
    <row r="608">
      <c r="D608" s="215"/>
      <c r="E608" s="215"/>
      <c r="F608" s="210"/>
      <c r="H608" s="959"/>
      <c r="I608" s="960"/>
      <c r="K608" s="204"/>
      <c r="L608" s="204"/>
    </row>
    <row r="609">
      <c r="D609" s="215"/>
      <c r="E609" s="215"/>
      <c r="F609" s="210"/>
      <c r="H609" s="959"/>
      <c r="I609" s="960"/>
      <c r="K609" s="204"/>
      <c r="L609" s="204"/>
    </row>
    <row r="610">
      <c r="D610" s="215"/>
      <c r="E610" s="215"/>
      <c r="F610" s="210"/>
      <c r="H610" s="959"/>
      <c r="I610" s="960"/>
      <c r="K610" s="204"/>
      <c r="L610" s="204"/>
    </row>
    <row r="611">
      <c r="D611" s="215"/>
      <c r="E611" s="215"/>
      <c r="F611" s="210"/>
      <c r="H611" s="959"/>
      <c r="I611" s="960"/>
      <c r="K611" s="204"/>
      <c r="L611" s="204"/>
    </row>
    <row r="612">
      <c r="D612" s="215"/>
      <c r="E612" s="215"/>
      <c r="F612" s="210"/>
      <c r="H612" s="959"/>
      <c r="I612" s="960"/>
      <c r="K612" s="204"/>
      <c r="L612" s="204"/>
    </row>
    <row r="613">
      <c r="D613" s="215"/>
      <c r="E613" s="215"/>
      <c r="F613" s="210"/>
      <c r="H613" s="959"/>
      <c r="I613" s="960"/>
      <c r="K613" s="204"/>
      <c r="L613" s="204"/>
    </row>
    <row r="614">
      <c r="D614" s="215"/>
      <c r="E614" s="215"/>
      <c r="F614" s="210"/>
      <c r="H614" s="959"/>
      <c r="I614" s="960"/>
      <c r="K614" s="204"/>
      <c r="L614" s="204"/>
    </row>
    <row r="615">
      <c r="D615" s="215"/>
      <c r="E615" s="215"/>
      <c r="F615" s="210"/>
      <c r="H615" s="959"/>
      <c r="I615" s="960"/>
      <c r="K615" s="204"/>
      <c r="L615" s="204"/>
    </row>
    <row r="616">
      <c r="D616" s="215"/>
      <c r="E616" s="215"/>
      <c r="F616" s="210"/>
      <c r="H616" s="959"/>
      <c r="I616" s="960"/>
      <c r="K616" s="204"/>
      <c r="L616" s="204"/>
    </row>
    <row r="617">
      <c r="D617" s="215"/>
      <c r="E617" s="215"/>
      <c r="F617" s="210"/>
      <c r="H617" s="959"/>
      <c r="I617" s="960"/>
      <c r="K617" s="204"/>
      <c r="L617" s="204"/>
    </row>
    <row r="618">
      <c r="D618" s="215"/>
      <c r="E618" s="215"/>
      <c r="F618" s="210"/>
      <c r="H618" s="959"/>
      <c r="I618" s="960"/>
      <c r="K618" s="204"/>
      <c r="L618" s="204"/>
    </row>
    <row r="619">
      <c r="D619" s="215"/>
      <c r="E619" s="215"/>
      <c r="F619" s="210"/>
      <c r="H619" s="959"/>
      <c r="I619" s="960"/>
      <c r="K619" s="204"/>
      <c r="L619" s="204"/>
    </row>
    <row r="620">
      <c r="D620" s="215"/>
      <c r="E620" s="215"/>
      <c r="F620" s="210"/>
      <c r="H620" s="959"/>
      <c r="I620" s="960"/>
      <c r="K620" s="204"/>
      <c r="L620" s="204"/>
    </row>
    <row r="621">
      <c r="D621" s="215"/>
      <c r="E621" s="215"/>
      <c r="F621" s="210"/>
      <c r="H621" s="959"/>
      <c r="I621" s="960"/>
      <c r="K621" s="204"/>
      <c r="L621" s="204"/>
    </row>
    <row r="622">
      <c r="D622" s="215"/>
      <c r="E622" s="215"/>
      <c r="F622" s="210"/>
      <c r="H622" s="959"/>
      <c r="I622" s="960"/>
      <c r="K622" s="204"/>
      <c r="L622" s="204"/>
    </row>
    <row r="623">
      <c r="D623" s="215"/>
      <c r="E623" s="215"/>
      <c r="F623" s="210"/>
      <c r="H623" s="959"/>
      <c r="I623" s="960"/>
      <c r="K623" s="204"/>
      <c r="L623" s="204"/>
    </row>
    <row r="624">
      <c r="D624" s="215"/>
      <c r="E624" s="215"/>
      <c r="F624" s="210"/>
      <c r="H624" s="959"/>
      <c r="I624" s="960"/>
      <c r="K624" s="204"/>
      <c r="L624" s="204"/>
    </row>
    <row r="625">
      <c r="D625" s="215"/>
      <c r="E625" s="215"/>
      <c r="F625" s="210"/>
      <c r="H625" s="959"/>
      <c r="I625" s="960"/>
      <c r="K625" s="204"/>
      <c r="L625" s="204"/>
    </row>
    <row r="626">
      <c r="D626" s="215"/>
      <c r="E626" s="215"/>
      <c r="F626" s="210"/>
      <c r="H626" s="959"/>
      <c r="I626" s="960"/>
      <c r="K626" s="204"/>
      <c r="L626" s="204"/>
    </row>
    <row r="627">
      <c r="D627" s="215"/>
      <c r="E627" s="215"/>
      <c r="F627" s="210"/>
      <c r="H627" s="959"/>
      <c r="I627" s="960"/>
      <c r="K627" s="204"/>
      <c r="L627" s="204"/>
    </row>
    <row r="628">
      <c r="D628" s="215"/>
      <c r="E628" s="215"/>
      <c r="F628" s="210"/>
      <c r="H628" s="959"/>
      <c r="I628" s="960"/>
      <c r="K628" s="204"/>
      <c r="L628" s="204"/>
    </row>
    <row r="629">
      <c r="D629" s="215"/>
      <c r="E629" s="215"/>
      <c r="F629" s="210"/>
      <c r="H629" s="959"/>
      <c r="I629" s="960"/>
      <c r="K629" s="204"/>
      <c r="L629" s="204"/>
    </row>
    <row r="630">
      <c r="D630" s="215"/>
      <c r="E630" s="215"/>
      <c r="F630" s="210"/>
      <c r="H630" s="959"/>
      <c r="I630" s="960"/>
      <c r="K630" s="204"/>
      <c r="L630" s="204"/>
    </row>
    <row r="631">
      <c r="D631" s="215"/>
      <c r="E631" s="215"/>
      <c r="F631" s="210"/>
      <c r="H631" s="959"/>
      <c r="I631" s="960"/>
      <c r="K631" s="204"/>
      <c r="L631" s="204"/>
    </row>
    <row r="632">
      <c r="D632" s="215"/>
      <c r="E632" s="215"/>
      <c r="F632" s="210"/>
      <c r="H632" s="959"/>
      <c r="I632" s="960"/>
      <c r="K632" s="204"/>
      <c r="L632" s="204"/>
    </row>
    <row r="633">
      <c r="D633" s="215"/>
      <c r="E633" s="215"/>
      <c r="F633" s="210"/>
      <c r="H633" s="959"/>
      <c r="I633" s="960"/>
      <c r="K633" s="204"/>
      <c r="L633" s="204"/>
    </row>
    <row r="634">
      <c r="D634" s="215"/>
      <c r="E634" s="215"/>
      <c r="F634" s="210"/>
      <c r="H634" s="959"/>
      <c r="I634" s="960"/>
      <c r="K634" s="204"/>
      <c r="L634" s="204"/>
    </row>
    <row r="635">
      <c r="D635" s="215"/>
      <c r="E635" s="215"/>
      <c r="F635" s="210"/>
      <c r="H635" s="959"/>
      <c r="I635" s="960"/>
      <c r="K635" s="204"/>
      <c r="L635" s="204"/>
    </row>
    <row r="636">
      <c r="D636" s="215"/>
      <c r="E636" s="215"/>
      <c r="F636" s="210"/>
      <c r="H636" s="959"/>
      <c r="I636" s="960"/>
      <c r="K636" s="204"/>
      <c r="L636" s="204"/>
    </row>
    <row r="637">
      <c r="D637" s="215"/>
      <c r="E637" s="215"/>
      <c r="F637" s="210"/>
      <c r="H637" s="959"/>
      <c r="I637" s="960"/>
      <c r="K637" s="204"/>
      <c r="L637" s="204"/>
    </row>
    <row r="638">
      <c r="D638" s="215"/>
      <c r="E638" s="215"/>
      <c r="F638" s="210"/>
      <c r="H638" s="959"/>
      <c r="I638" s="960"/>
      <c r="K638" s="204"/>
      <c r="L638" s="204"/>
    </row>
    <row r="639">
      <c r="D639" s="215"/>
      <c r="E639" s="215"/>
      <c r="F639" s="210"/>
      <c r="H639" s="959"/>
      <c r="I639" s="960"/>
      <c r="K639" s="204"/>
      <c r="L639" s="204"/>
    </row>
    <row r="640">
      <c r="D640" s="215"/>
      <c r="E640" s="215"/>
      <c r="F640" s="210"/>
      <c r="H640" s="959"/>
      <c r="I640" s="960"/>
      <c r="K640" s="204"/>
      <c r="L640" s="204"/>
    </row>
    <row r="641">
      <c r="D641" s="215"/>
      <c r="E641" s="215"/>
      <c r="F641" s="210"/>
      <c r="H641" s="959"/>
      <c r="I641" s="960"/>
      <c r="K641" s="204"/>
      <c r="L641" s="204"/>
    </row>
    <row r="642">
      <c r="D642" s="215"/>
      <c r="E642" s="215"/>
      <c r="F642" s="210"/>
      <c r="H642" s="959"/>
      <c r="I642" s="960"/>
      <c r="K642" s="204"/>
      <c r="L642" s="204"/>
    </row>
    <row r="643">
      <c r="D643" s="215"/>
      <c r="E643" s="215"/>
      <c r="F643" s="210"/>
      <c r="H643" s="959"/>
      <c r="I643" s="960"/>
      <c r="K643" s="204"/>
      <c r="L643" s="204"/>
    </row>
    <row r="644">
      <c r="D644" s="215"/>
      <c r="E644" s="215"/>
      <c r="F644" s="210"/>
      <c r="H644" s="959"/>
      <c r="I644" s="960"/>
      <c r="K644" s="204"/>
      <c r="L644" s="204"/>
    </row>
    <row r="645">
      <c r="D645" s="215"/>
      <c r="E645" s="215"/>
      <c r="F645" s="210"/>
      <c r="H645" s="959"/>
      <c r="I645" s="960"/>
      <c r="K645" s="204"/>
      <c r="L645" s="204"/>
    </row>
    <row r="646">
      <c r="D646" s="215"/>
      <c r="E646" s="215"/>
      <c r="F646" s="210"/>
      <c r="H646" s="959"/>
      <c r="I646" s="960"/>
      <c r="K646" s="204"/>
      <c r="L646" s="204"/>
    </row>
    <row r="647">
      <c r="D647" s="215"/>
      <c r="E647" s="215"/>
      <c r="F647" s="210"/>
      <c r="H647" s="959"/>
      <c r="I647" s="960"/>
      <c r="K647" s="204"/>
      <c r="L647" s="204"/>
    </row>
    <row r="648">
      <c r="D648" s="215"/>
      <c r="E648" s="215"/>
      <c r="F648" s="210"/>
      <c r="H648" s="959"/>
      <c r="I648" s="960"/>
      <c r="K648" s="204"/>
      <c r="L648" s="204"/>
    </row>
    <row r="649">
      <c r="D649" s="215"/>
      <c r="E649" s="215"/>
      <c r="F649" s="210"/>
      <c r="H649" s="959"/>
      <c r="I649" s="960"/>
      <c r="K649" s="204"/>
      <c r="L649" s="204"/>
    </row>
    <row r="650">
      <c r="D650" s="215"/>
      <c r="E650" s="215"/>
      <c r="F650" s="210"/>
      <c r="H650" s="959"/>
      <c r="I650" s="960"/>
      <c r="K650" s="204"/>
      <c r="L650" s="204"/>
    </row>
    <row r="651">
      <c r="D651" s="215"/>
      <c r="E651" s="215"/>
      <c r="F651" s="210"/>
      <c r="H651" s="959"/>
      <c r="I651" s="960"/>
      <c r="K651" s="204"/>
      <c r="L651" s="204"/>
    </row>
    <row r="652">
      <c r="D652" s="215"/>
      <c r="E652" s="215"/>
      <c r="F652" s="210"/>
      <c r="H652" s="959"/>
      <c r="I652" s="960"/>
      <c r="K652" s="204"/>
      <c r="L652" s="204"/>
    </row>
    <row r="653">
      <c r="D653" s="215"/>
      <c r="E653" s="215"/>
      <c r="F653" s="210"/>
      <c r="H653" s="959"/>
      <c r="I653" s="960"/>
      <c r="K653" s="204"/>
      <c r="L653" s="204"/>
    </row>
    <row r="654">
      <c r="D654" s="215"/>
      <c r="E654" s="215"/>
      <c r="F654" s="210"/>
      <c r="H654" s="959"/>
      <c r="I654" s="960"/>
      <c r="K654" s="204"/>
      <c r="L654" s="204"/>
    </row>
    <row r="655">
      <c r="D655" s="215"/>
      <c r="E655" s="215"/>
      <c r="F655" s="210"/>
      <c r="H655" s="959"/>
      <c r="I655" s="960"/>
      <c r="K655" s="204"/>
      <c r="L655" s="204"/>
    </row>
    <row r="656">
      <c r="D656" s="215"/>
      <c r="E656" s="215"/>
      <c r="F656" s="210"/>
      <c r="H656" s="959"/>
      <c r="I656" s="960"/>
      <c r="K656" s="204"/>
      <c r="L656" s="204"/>
    </row>
    <row r="657">
      <c r="D657" s="215"/>
      <c r="E657" s="215"/>
      <c r="F657" s="210"/>
      <c r="H657" s="959"/>
      <c r="I657" s="960"/>
      <c r="K657" s="204"/>
      <c r="L657" s="204"/>
    </row>
    <row r="658">
      <c r="D658" s="215"/>
      <c r="E658" s="215"/>
      <c r="F658" s="210"/>
      <c r="H658" s="959"/>
      <c r="I658" s="960"/>
      <c r="K658" s="204"/>
      <c r="L658" s="204"/>
    </row>
    <row r="659">
      <c r="D659" s="215"/>
      <c r="E659" s="215"/>
      <c r="F659" s="210"/>
      <c r="H659" s="959"/>
      <c r="I659" s="960"/>
      <c r="K659" s="204"/>
      <c r="L659" s="204"/>
    </row>
    <row r="660">
      <c r="D660" s="215"/>
      <c r="E660" s="215"/>
      <c r="F660" s="210"/>
      <c r="H660" s="959"/>
      <c r="I660" s="960"/>
      <c r="K660" s="204"/>
      <c r="L660" s="204"/>
    </row>
    <row r="661">
      <c r="D661" s="215"/>
      <c r="E661" s="215"/>
      <c r="F661" s="210"/>
      <c r="H661" s="959"/>
      <c r="I661" s="960"/>
      <c r="K661" s="204"/>
      <c r="L661" s="204"/>
    </row>
    <row r="662">
      <c r="D662" s="215"/>
      <c r="E662" s="215"/>
      <c r="F662" s="210"/>
      <c r="H662" s="959"/>
      <c r="I662" s="960"/>
      <c r="K662" s="204"/>
      <c r="L662" s="204"/>
    </row>
    <row r="663">
      <c r="D663" s="215"/>
      <c r="E663" s="215"/>
      <c r="F663" s="210"/>
      <c r="H663" s="959"/>
      <c r="I663" s="960"/>
      <c r="K663" s="204"/>
      <c r="L663" s="204"/>
    </row>
    <row r="664">
      <c r="D664" s="215"/>
      <c r="E664" s="215"/>
      <c r="F664" s="210"/>
      <c r="H664" s="959"/>
      <c r="I664" s="960"/>
      <c r="K664" s="204"/>
      <c r="L664" s="204"/>
    </row>
    <row r="665">
      <c r="D665" s="215"/>
      <c r="E665" s="215"/>
      <c r="F665" s="210"/>
      <c r="H665" s="959"/>
      <c r="I665" s="960"/>
      <c r="K665" s="204"/>
      <c r="L665" s="204"/>
    </row>
    <row r="666">
      <c r="D666" s="215"/>
      <c r="E666" s="215"/>
      <c r="F666" s="210"/>
      <c r="H666" s="959"/>
      <c r="I666" s="960"/>
      <c r="K666" s="204"/>
      <c r="L666" s="204"/>
    </row>
    <row r="667">
      <c r="D667" s="215"/>
      <c r="E667" s="215"/>
      <c r="F667" s="210"/>
      <c r="H667" s="959"/>
      <c r="I667" s="960"/>
      <c r="K667" s="204"/>
      <c r="L667" s="204"/>
    </row>
    <row r="668">
      <c r="D668" s="215"/>
      <c r="E668" s="215"/>
      <c r="F668" s="210"/>
      <c r="H668" s="959"/>
      <c r="I668" s="960"/>
      <c r="K668" s="204"/>
      <c r="L668" s="204"/>
    </row>
    <row r="669">
      <c r="D669" s="215"/>
      <c r="E669" s="215"/>
      <c r="F669" s="210"/>
      <c r="H669" s="959"/>
      <c r="I669" s="960"/>
      <c r="K669" s="204"/>
      <c r="L669" s="204"/>
    </row>
    <row r="670">
      <c r="D670" s="215"/>
      <c r="E670" s="215"/>
      <c r="F670" s="210"/>
      <c r="H670" s="959"/>
      <c r="I670" s="960"/>
      <c r="K670" s="204"/>
      <c r="L670" s="204"/>
    </row>
    <row r="671">
      <c r="D671" s="215"/>
      <c r="E671" s="215"/>
      <c r="F671" s="210"/>
      <c r="H671" s="959"/>
      <c r="I671" s="960"/>
      <c r="K671" s="204"/>
      <c r="L671" s="204"/>
    </row>
    <row r="672">
      <c r="D672" s="215"/>
      <c r="E672" s="215"/>
      <c r="F672" s="210"/>
      <c r="H672" s="959"/>
      <c r="I672" s="960"/>
      <c r="K672" s="204"/>
      <c r="L672" s="204"/>
    </row>
    <row r="673">
      <c r="D673" s="215"/>
      <c r="E673" s="215"/>
      <c r="F673" s="210"/>
      <c r="H673" s="959"/>
      <c r="I673" s="960"/>
      <c r="K673" s="204"/>
      <c r="L673" s="204"/>
    </row>
    <row r="674">
      <c r="D674" s="215"/>
      <c r="E674" s="215"/>
      <c r="F674" s="210"/>
      <c r="H674" s="959"/>
      <c r="I674" s="960"/>
      <c r="K674" s="204"/>
      <c r="L674" s="204"/>
    </row>
    <row r="675">
      <c r="D675" s="215"/>
      <c r="E675" s="215"/>
      <c r="F675" s="210"/>
      <c r="H675" s="959"/>
      <c r="I675" s="960"/>
      <c r="K675" s="204"/>
      <c r="L675" s="204"/>
    </row>
    <row r="676">
      <c r="D676" s="215"/>
      <c r="E676" s="215"/>
      <c r="F676" s="210"/>
      <c r="H676" s="959"/>
      <c r="I676" s="960"/>
      <c r="K676" s="204"/>
      <c r="L676" s="204"/>
    </row>
    <row r="677">
      <c r="D677" s="215"/>
      <c r="E677" s="215"/>
      <c r="F677" s="210"/>
      <c r="H677" s="959"/>
      <c r="I677" s="960"/>
      <c r="K677" s="204"/>
      <c r="L677" s="204"/>
    </row>
    <row r="678">
      <c r="D678" s="215"/>
      <c r="E678" s="215"/>
      <c r="F678" s="210"/>
      <c r="H678" s="959"/>
      <c r="I678" s="960"/>
      <c r="K678" s="204"/>
      <c r="L678" s="204"/>
    </row>
    <row r="679">
      <c r="D679" s="215"/>
      <c r="E679" s="215"/>
      <c r="F679" s="210"/>
      <c r="H679" s="959"/>
      <c r="I679" s="960"/>
      <c r="K679" s="204"/>
      <c r="L679" s="204"/>
    </row>
    <row r="680">
      <c r="D680" s="215"/>
      <c r="E680" s="215"/>
      <c r="F680" s="210"/>
      <c r="H680" s="959"/>
      <c r="I680" s="960"/>
      <c r="K680" s="204"/>
      <c r="L680" s="204"/>
    </row>
    <row r="681">
      <c r="D681" s="215"/>
      <c r="E681" s="215"/>
      <c r="F681" s="210"/>
      <c r="H681" s="959"/>
      <c r="I681" s="960"/>
      <c r="K681" s="204"/>
      <c r="L681" s="204"/>
    </row>
    <row r="682">
      <c r="D682" s="215"/>
      <c r="E682" s="215"/>
      <c r="F682" s="210"/>
      <c r="H682" s="959"/>
      <c r="I682" s="960"/>
      <c r="K682" s="204"/>
      <c r="L682" s="204"/>
    </row>
    <row r="683">
      <c r="D683" s="215"/>
      <c r="E683" s="215"/>
      <c r="F683" s="210"/>
      <c r="H683" s="959"/>
      <c r="I683" s="960"/>
      <c r="K683" s="204"/>
      <c r="L683" s="204"/>
    </row>
    <row r="684">
      <c r="D684" s="215"/>
      <c r="E684" s="215"/>
      <c r="F684" s="210"/>
      <c r="H684" s="959"/>
      <c r="I684" s="960"/>
      <c r="K684" s="204"/>
      <c r="L684" s="204"/>
    </row>
    <row r="685">
      <c r="D685" s="215"/>
      <c r="E685" s="215"/>
      <c r="F685" s="210"/>
      <c r="H685" s="959"/>
      <c r="I685" s="960"/>
      <c r="K685" s="204"/>
      <c r="L685" s="204"/>
    </row>
    <row r="686">
      <c r="D686" s="215"/>
      <c r="E686" s="215"/>
      <c r="F686" s="210"/>
      <c r="H686" s="959"/>
      <c r="I686" s="960"/>
      <c r="K686" s="204"/>
      <c r="L686" s="204"/>
    </row>
    <row r="687">
      <c r="D687" s="215"/>
      <c r="E687" s="215"/>
      <c r="F687" s="210"/>
      <c r="H687" s="959"/>
      <c r="I687" s="960"/>
      <c r="K687" s="204"/>
      <c r="L687" s="204"/>
    </row>
    <row r="688">
      <c r="D688" s="215"/>
      <c r="E688" s="215"/>
      <c r="F688" s="210"/>
      <c r="H688" s="959"/>
      <c r="I688" s="960"/>
      <c r="K688" s="204"/>
      <c r="L688" s="204"/>
    </row>
    <row r="689">
      <c r="D689" s="215"/>
      <c r="E689" s="215"/>
      <c r="F689" s="210"/>
      <c r="H689" s="959"/>
      <c r="I689" s="960"/>
      <c r="K689" s="204"/>
      <c r="L689" s="204"/>
    </row>
    <row r="690">
      <c r="D690" s="215"/>
      <c r="E690" s="215"/>
      <c r="F690" s="210"/>
      <c r="H690" s="959"/>
      <c r="I690" s="960"/>
      <c r="K690" s="204"/>
      <c r="L690" s="204"/>
    </row>
    <row r="691">
      <c r="D691" s="215"/>
      <c r="E691" s="215"/>
      <c r="F691" s="210"/>
      <c r="H691" s="959"/>
      <c r="I691" s="960"/>
      <c r="K691" s="204"/>
      <c r="L691" s="204"/>
    </row>
    <row r="692">
      <c r="D692" s="215"/>
      <c r="E692" s="215"/>
      <c r="F692" s="210"/>
      <c r="H692" s="959"/>
      <c r="I692" s="960"/>
      <c r="K692" s="204"/>
      <c r="L692" s="204"/>
    </row>
    <row r="693">
      <c r="D693" s="215"/>
      <c r="E693" s="215"/>
      <c r="F693" s="210"/>
      <c r="H693" s="959"/>
      <c r="I693" s="960"/>
      <c r="K693" s="204"/>
      <c r="L693" s="204"/>
    </row>
    <row r="694">
      <c r="D694" s="215"/>
      <c r="E694" s="215"/>
      <c r="F694" s="210"/>
      <c r="H694" s="959"/>
      <c r="I694" s="960"/>
      <c r="K694" s="204"/>
      <c r="L694" s="204"/>
    </row>
    <row r="695">
      <c r="D695" s="215"/>
      <c r="E695" s="215"/>
      <c r="F695" s="210"/>
      <c r="H695" s="959"/>
      <c r="I695" s="960"/>
      <c r="K695" s="204"/>
      <c r="L695" s="204"/>
    </row>
    <row r="696">
      <c r="D696" s="215"/>
      <c r="E696" s="215"/>
      <c r="F696" s="210"/>
      <c r="H696" s="959"/>
      <c r="I696" s="960"/>
      <c r="K696" s="204"/>
      <c r="L696" s="204"/>
    </row>
    <row r="697">
      <c r="D697" s="215"/>
      <c r="E697" s="215"/>
      <c r="F697" s="210"/>
      <c r="H697" s="959"/>
      <c r="I697" s="960"/>
      <c r="K697" s="204"/>
      <c r="L697" s="204"/>
    </row>
    <row r="698">
      <c r="D698" s="215"/>
      <c r="E698" s="215"/>
      <c r="F698" s="210"/>
      <c r="H698" s="959"/>
      <c r="I698" s="960"/>
      <c r="K698" s="204"/>
      <c r="L698" s="204"/>
    </row>
    <row r="699">
      <c r="D699" s="215"/>
      <c r="E699" s="215"/>
      <c r="F699" s="210"/>
      <c r="H699" s="959"/>
      <c r="I699" s="960"/>
      <c r="K699" s="204"/>
      <c r="L699" s="204"/>
    </row>
    <row r="700">
      <c r="D700" s="215"/>
      <c r="E700" s="215"/>
      <c r="F700" s="210"/>
      <c r="H700" s="959"/>
      <c r="I700" s="960"/>
      <c r="K700" s="204"/>
      <c r="L700" s="204"/>
    </row>
    <row r="701">
      <c r="D701" s="215"/>
      <c r="E701" s="215"/>
      <c r="F701" s="210"/>
      <c r="H701" s="959"/>
      <c r="I701" s="960"/>
      <c r="K701" s="204"/>
      <c r="L701" s="204"/>
    </row>
    <row r="702">
      <c r="D702" s="215"/>
      <c r="E702" s="215"/>
      <c r="F702" s="210"/>
      <c r="H702" s="959"/>
      <c r="I702" s="960"/>
    </row>
    <row r="703">
      <c r="D703" s="215"/>
      <c r="E703" s="215"/>
      <c r="F703" s="210"/>
      <c r="H703" s="959"/>
      <c r="I703" s="960"/>
    </row>
    <row r="704">
      <c r="D704" s="215"/>
      <c r="E704" s="215"/>
      <c r="F704" s="210"/>
      <c r="H704" s="959"/>
      <c r="I704" s="960"/>
    </row>
    <row r="705">
      <c r="D705" s="215"/>
      <c r="E705" s="215"/>
      <c r="F705" s="210"/>
      <c r="H705" s="959"/>
      <c r="I705" s="960"/>
    </row>
    <row r="706">
      <c r="D706" s="215"/>
      <c r="E706" s="215"/>
      <c r="F706" s="210"/>
      <c r="H706" s="959"/>
      <c r="I706" s="960"/>
    </row>
    <row r="707">
      <c r="D707" s="215"/>
      <c r="E707" s="215"/>
      <c r="F707" s="210"/>
      <c r="H707" s="959"/>
      <c r="I707" s="960"/>
    </row>
    <row r="708">
      <c r="D708" s="215"/>
      <c r="E708" s="215"/>
      <c r="F708" s="210"/>
      <c r="H708" s="959"/>
      <c r="I708" s="960"/>
    </row>
    <row r="709">
      <c r="D709" s="215"/>
      <c r="E709" s="215"/>
      <c r="F709" s="210"/>
      <c r="H709" s="959"/>
      <c r="I709" s="960"/>
    </row>
    <row r="710">
      <c r="D710" s="215"/>
      <c r="E710" s="215"/>
      <c r="F710" s="210"/>
      <c r="H710" s="959"/>
      <c r="I710" s="960"/>
    </row>
    <row r="711">
      <c r="D711" s="215"/>
      <c r="E711" s="215"/>
      <c r="F711" s="210"/>
      <c r="H711" s="959"/>
      <c r="I711" s="960"/>
    </row>
  </sheetData>
  <mergeCells count="81">
    <mergeCell ref="B20:B25"/>
    <mergeCell ref="C20:C25"/>
    <mergeCell ref="A26:A29"/>
    <mergeCell ref="B26:B29"/>
    <mergeCell ref="C26:C29"/>
    <mergeCell ref="E26:E29"/>
    <mergeCell ref="A2:A11"/>
    <mergeCell ref="B2:B11"/>
    <mergeCell ref="C2:C11"/>
    <mergeCell ref="A13:A19"/>
    <mergeCell ref="B13:B19"/>
    <mergeCell ref="C13:C19"/>
    <mergeCell ref="A20:A25"/>
    <mergeCell ref="B43:B49"/>
    <mergeCell ref="C43:C49"/>
    <mergeCell ref="A30:A36"/>
    <mergeCell ref="B30:B36"/>
    <mergeCell ref="C30:C36"/>
    <mergeCell ref="A37:A42"/>
    <mergeCell ref="B37:B42"/>
    <mergeCell ref="C37:C42"/>
    <mergeCell ref="A43:A49"/>
    <mergeCell ref="A50:A55"/>
    <mergeCell ref="B50:B55"/>
    <mergeCell ref="C50:C55"/>
    <mergeCell ref="A56:G56"/>
    <mergeCell ref="A57:A61"/>
    <mergeCell ref="B57:B61"/>
    <mergeCell ref="C57:C61"/>
    <mergeCell ref="A79:A83"/>
    <mergeCell ref="B79:B83"/>
    <mergeCell ref="C79:C83"/>
    <mergeCell ref="A95:G95"/>
    <mergeCell ref="A123:G123"/>
    <mergeCell ref="B124:B126"/>
    <mergeCell ref="C124:C126"/>
    <mergeCell ref="D134:I134"/>
    <mergeCell ref="D135:I135"/>
    <mergeCell ref="A113:A116"/>
    <mergeCell ref="B113:B116"/>
    <mergeCell ref="C113:C116"/>
    <mergeCell ref="A117:A122"/>
    <mergeCell ref="B117:B122"/>
    <mergeCell ref="C117:C122"/>
    <mergeCell ref="A124:A126"/>
    <mergeCell ref="B72:B78"/>
    <mergeCell ref="C72:C78"/>
    <mergeCell ref="A62:A67"/>
    <mergeCell ref="B62:B67"/>
    <mergeCell ref="C62:C67"/>
    <mergeCell ref="A68:A71"/>
    <mergeCell ref="B68:B71"/>
    <mergeCell ref="C68:C71"/>
    <mergeCell ref="A72:A78"/>
    <mergeCell ref="B96:B99"/>
    <mergeCell ref="C96:C99"/>
    <mergeCell ref="A84:A87"/>
    <mergeCell ref="B84:B87"/>
    <mergeCell ref="C84:C87"/>
    <mergeCell ref="A88:A94"/>
    <mergeCell ref="B88:B94"/>
    <mergeCell ref="C88:C94"/>
    <mergeCell ref="A96:A99"/>
    <mergeCell ref="B109:B112"/>
    <mergeCell ref="C109:C112"/>
    <mergeCell ref="A100:A103"/>
    <mergeCell ref="B100:B103"/>
    <mergeCell ref="C100:C103"/>
    <mergeCell ref="A104:A108"/>
    <mergeCell ref="B104:B108"/>
    <mergeCell ref="C104:C108"/>
    <mergeCell ref="A109:A112"/>
    <mergeCell ref="B132:B133"/>
    <mergeCell ref="C132:C133"/>
    <mergeCell ref="A127:A128"/>
    <mergeCell ref="B127:B128"/>
    <mergeCell ref="C127:C128"/>
    <mergeCell ref="A129:A130"/>
    <mergeCell ref="B129:B130"/>
    <mergeCell ref="C129:C130"/>
    <mergeCell ref="A132:A133"/>
  </mergeCells>
  <conditionalFormatting sqref="C2:C55 C57:C94 C96:C122 C124:C608">
    <cfRule type="colorScale" priority="1">
      <colorScale>
        <cfvo type="formula" val="6"/>
        <cfvo type="formula" val="10"/>
        <cfvo type="formula" val="15"/>
        <color rgb="FF93C47D"/>
        <color rgb="FFFFFF00"/>
        <color rgb="FFCC0000"/>
      </colorScale>
    </cfRule>
  </conditionalFormatting>
  <conditionalFormatting sqref="D1:G42 H1:I711 D44:G44 D46:G55 D57:G60 D62:G62 D64:G66 D68:G94 D96:G122 D124:G711">
    <cfRule type="expression" dxfId="0" priority="2">
      <formula>$I1="Arms &amp; Arm Attachments"</formula>
    </cfRule>
  </conditionalFormatting>
  <conditionalFormatting sqref="D1:G42 H1:I711 D44:G44 D46:G55 D57:G60 D62:G62 D64:G66 D68:G94 D96:G122 D124:G711">
    <cfRule type="expression" dxfId="1" priority="3">
      <formula>$I1="Auditory System"</formula>
    </cfRule>
  </conditionalFormatting>
  <conditionalFormatting sqref="D1:G42 H1:I711 D44:G44 D46:G55 D57:G60 D62:G62 D64:G66 D68:G94 D96:G122 D124:G711">
    <cfRule type="expression" dxfId="2" priority="4">
      <formula>$I1="Circulatory &amp; Immune Systems"</formula>
    </cfRule>
  </conditionalFormatting>
  <conditionalFormatting sqref="D1:G42 H1:I711 D44:G44 D46:G55 D57:G60 D62:G62 D64:G66 D68:G94 D96:G122 D124:G711">
    <cfRule type="expression" dxfId="3" priority="5">
      <formula>$I1="Hands &amp; Feet"</formula>
    </cfRule>
  </conditionalFormatting>
  <conditionalFormatting sqref="D1:G42 H1:I711 D44:G44 D46:G55 D57:G60 D62:G62 D64:G66 D68:G94 D96:G122 D124:G711">
    <cfRule type="expression" dxfId="4" priority="6">
      <formula>$I1="Integumentary System"</formula>
    </cfRule>
  </conditionalFormatting>
  <conditionalFormatting sqref="D1:G42 H1:I711 D44:G44 D46:G55 D57:G60 D62:G62 D64:G66 D68:G94 D96:G122 D124:G711">
    <cfRule type="expression" dxfId="5" priority="7">
      <formula>$I1="Legs &amp; Mobility"</formula>
    </cfRule>
  </conditionalFormatting>
  <conditionalFormatting sqref="D1:G42 H1:I711 D44:G44 D46:G55 D57:G60 D62:G62 D64:G66 D68:G94 D96:G122 D124:G711">
    <cfRule type="expression" dxfId="6" priority="8">
      <formula>$I1="Neural"</formula>
    </cfRule>
  </conditionalFormatting>
  <conditionalFormatting sqref="D1:G42 H1:I711 D44:G44 D46:G55 D57:G60 D62:G62 D64:G66 D68:G94 D96:G122 D124:G711">
    <cfRule type="expression" dxfId="7" priority="9">
      <formula>$I1="Universal Muscular (Arms/Legs/Tail)"</formula>
    </cfRule>
  </conditionalFormatting>
  <conditionalFormatting sqref="D1:G42 H1:I711 D44:G44 D46:G55 D57:G60 D62:G62 D64:G66 D68:G94 D96:G122 D124:G711">
    <cfRule type="expression" dxfId="8" priority="10">
      <formula>$I1="Ocular System"</formula>
    </cfRule>
  </conditionalFormatting>
  <conditionalFormatting sqref="D1:G42 H1:I711 D44:G44 D46:G55 D57:G60 D62:G62 D64:G66 D68:G94 D96:G122 D124:G711">
    <cfRule type="expression" dxfId="9" priority="11">
      <formula>$I1="Miscellaneous"</formula>
    </cfRule>
  </conditionalFormatting>
  <conditionalFormatting sqref="D1:G42 H1:I711 D44:G44 D46:G55 D57:G60 D62:G62 D64:G66 D68:G94 D96:G122 D124:G711">
    <cfRule type="expression" dxfId="10" priority="12">
      <formula>$I1="Skeleton &amp; Torso Musculature"</formula>
    </cfRule>
  </conditionalFormatting>
  <drawing r:id="rId1"/>
</worksheet>
</file>