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Cyberwear List Balanced" sheetId="1" r:id="rId5"/>
    <sheet state="visible" name="Character CWP Tracking" sheetId="2" r:id="rId6"/>
    <sheet state="visible" name="NPC CWP Tracking" sheetId="3" r:id="rId7"/>
    <sheet state="hidden" name="Corpse Build" sheetId="4" r:id="rId8"/>
    <sheet state="hidden" name="Example Archetype builds" sheetId="5" r:id="rId9"/>
    <sheet state="hidden" name="Exotic Performer" sheetId="6" r:id="rId10"/>
    <sheet state="hidden" name="Mafia Enforcer" sheetId="7" r:id="rId11"/>
    <sheet state="hidden" name="PetOwned" sheetId="8" r:id="rId12"/>
    <sheet state="hidden" name="Black Clinic Doc" sheetId="9" r:id="rId13"/>
    <sheet state="hidden" name="Corpo" sheetId="10" r:id="rId14"/>
    <sheet state="hidden" name="Nomad" sheetId="11" r:id="rId15"/>
  </sheets>
  <definedNames/>
  <calcPr/>
</workbook>
</file>

<file path=xl/sharedStrings.xml><?xml version="1.0" encoding="utf-8"?>
<sst xmlns="http://schemas.openxmlformats.org/spreadsheetml/2006/main" count="7674" uniqueCount="1237">
  <si>
    <t>Cyberware Name</t>
  </si>
  <si>
    <t>CWP</t>
  </si>
  <si>
    <t>Slot</t>
  </si>
  <si>
    <t>Description</t>
  </si>
  <si>
    <t>Side Effect</t>
  </si>
  <si>
    <t>Notes</t>
  </si>
  <si>
    <t>Phantom Limbs</t>
  </si>
  <si>
    <t>Arms &amp; Arm Attachments</t>
  </si>
  <si>
    <t>Extra set of controllable robotic arms (basic tasks).</t>
  </si>
  <si>
    <t>Arms have jerky movement; often get in the way.</t>
  </si>
  <si>
    <t>Implant Cost</t>
  </si>
  <si>
    <t>Cyberarm (Dexterous)</t>
  </si>
  <si>
    <t>Precision tool use. RP lockpicking, surgery, mechanical hacking.</t>
  </si>
  <si>
    <t>Shakes when under pressure. Doesn't enhance Stamina</t>
  </si>
  <si>
    <t>GorillaArms</t>
  </si>
  <si>
    <t>Lift heavy shit. Overpower people. Physical domination. +50% strength</t>
  </si>
  <si>
    <t>Always looks bulky or a bit too heavy. No fine tactile sense. Doesn't enhance Stamina</t>
  </si>
  <si>
    <t>Monowire</t>
  </si>
  <si>
    <t xml:space="preserve">A hyper-thin, retractable filament—stronger than steel, sharper than a scalpel. </t>
  </si>
  <si>
    <t>Mantis Blades</t>
  </si>
  <si>
    <t>Mantis Blades. sharp. scary. neato-o.</t>
  </si>
  <si>
    <t>You have weird sharp arms</t>
  </si>
  <si>
    <t>Enhanced Ears</t>
  </si>
  <si>
    <t>Auditory System</t>
  </si>
  <si>
    <t>Higher chance to Hear whispers through walls, filter sound, pinpoint origin.</t>
  </si>
  <si>
    <t>Overwhelmed in noisy spaces. Startles easily.</t>
  </si>
  <si>
    <t>Noise Dampener</t>
  </si>
  <si>
    <t>Higher chance to filter out harmful sonic frequencies.</t>
  </si>
  <si>
    <t>Temporary deafness if overwhelmed.</t>
  </si>
  <si>
    <t>Cyberlungs</t>
  </si>
  <si>
    <t>Circulatory &amp; Immune Systems</t>
  </si>
  <si>
    <t>Breathe underwater, through smoke, gas, or vacuum.</t>
  </si>
  <si>
    <t>Breathing is off–slow and mechanical. You fog up rooms unnaturally.</t>
  </si>
  <si>
    <t>Oxygen Recycler</t>
  </si>
  <si>
    <t>Prolonged breath-holding. (2 minutes)</t>
  </si>
  <si>
    <t>Audible mechanical breathing sounds.</t>
  </si>
  <si>
    <t>Chemical Analyzer</t>
  </si>
  <si>
    <t>Higher chance to detect chemical traces in the air.</t>
  </si>
  <si>
    <t>Constant sneezing fits in polluted areas.</t>
  </si>
  <si>
    <t>Detoxifier</t>
  </si>
  <si>
    <t>Higher chance to filters toxins from blood effectively.</t>
  </si>
  <si>
    <t>Frequent thirst; constant hydration needed.</t>
  </si>
  <si>
    <t>Shock Palms</t>
  </si>
  <si>
    <t>Hands &amp; Feet</t>
  </si>
  <si>
    <t>Delivers mild electrical shock on contact.</t>
  </si>
  <si>
    <t>Hands randomly spark, especially when wet.</t>
  </si>
  <si>
    <t>CryoGrip</t>
  </si>
  <si>
    <t>Emit cold from hands, enough to freeze certain surfaces touched or cause frostbite if applied for too long.</t>
  </si>
  <si>
    <t>Hands visibly frosted; risk frostbite in sustained use.</t>
  </si>
  <si>
    <t>SilentStep Soles</t>
  </si>
  <si>
    <t>Shock-dampening foot mod. Complete silence when walking.</t>
  </si>
  <si>
    <t>You can’t run loud even if you want to. No warning stomps.</t>
  </si>
  <si>
    <t>Cyberfingers</t>
  </si>
  <si>
    <t>Hidden tools in fingertips—USB, lockpick, small blade.</t>
  </si>
  <si>
    <t>Constant low-level clicking or twitching in fingers.</t>
  </si>
  <si>
    <t>Cybernetic Claws</t>
  </si>
  <si>
    <t>Claws or stylized tools. Intimidation, fashion, or utility.</t>
  </si>
  <si>
    <t>Metal click when tapping; never quite silent.</t>
  </si>
  <si>
    <t>Subdermal Grip</t>
  </si>
  <si>
    <t>Lets you hold objects tighter than human limits—great for weapons or grappling.</t>
  </si>
  <si>
    <t>Sometimes crushes fragile stuff by accident.</t>
  </si>
  <si>
    <t>Micro-Vibration Generator</t>
  </si>
  <si>
    <t>Enhanced bladed melee effectiveness via vibration. +50% Effectiveness</t>
  </si>
  <si>
    <t>Low buzzing noise during activation, unsettling to others.</t>
  </si>
  <si>
    <t>Dermal Plating</t>
  </si>
  <si>
    <t>Integumentary System</t>
  </si>
  <si>
    <t>Hard armor plates inserted into the skin. Resistant to blunt trauma and medium powered projectiles. Plates will have to be replaced when damaged.</t>
  </si>
  <si>
    <t>Feels cold to the touch. Looks synthetic. Scanners flag you.</t>
  </si>
  <si>
    <t>Sub-dermal Plating</t>
  </si>
  <si>
    <t>Flexible armor weave beneath the skin. Better against blades and low powered projectiles. Requires less maintenance than Dermal plating.</t>
  </si>
  <si>
    <t>NanoStitch Skin</t>
  </si>
  <si>
    <t>Automatically seals small wounds. Used to counter tech weapons that puncture small but deep holes into soft tissue. Less effective against powered weapons.</t>
  </si>
  <si>
    <t>Skin occasionally ripples oddly, unsettling observers.</t>
  </si>
  <si>
    <t>Supra-Dermal Weave</t>
  </si>
  <si>
    <t>Reinforced skin, minor resistance to injuries.</t>
  </si>
  <si>
    <t>Skin feels unnaturally rigid and leathery.</t>
  </si>
  <si>
    <t>Optical Camo</t>
  </si>
  <si>
    <t>Semi-Invisible when activated (50%) Lasts for two minutes before requiring a 30 second recharge.</t>
  </si>
  <si>
    <t>You still shimmer and aren't anywhere near fully invisble.</t>
  </si>
  <si>
    <t>Chameleon Skin</t>
  </si>
  <si>
    <t>Passive invisibility from further than 5ft when still. Lasts for two minutes before requiring a 30 second recharge.</t>
  </si>
  <si>
    <t>Glitches when you're stressed or bleeding. Ripples under emotion.</t>
  </si>
  <si>
    <t>Pressure Sensor Skin</t>
  </si>
  <si>
    <t>Senses air pressure changes—better at weather prediction, higher chance for detecting hidden compartments.</t>
  </si>
  <si>
    <t>Skin visibly shudders with sudden pressure changes.</t>
  </si>
  <si>
    <t>Luminescent Skin</t>
  </si>
  <si>
    <t>Emit gentle illumination in darkness. You ARE the flashlight.</t>
  </si>
  <si>
    <t>Uncontrollable brightness changes with emotions.</t>
  </si>
  <si>
    <t>Thermal Control Skin</t>
  </si>
  <si>
    <t>Adjust body temperature at will.  80°F to 130°F (Cool to the touch to hot enough to feel unpleasant, burn with prolonged contact)</t>
  </si>
  <si>
    <t>Skin temperature fluctuations make physical contact uncomfortable.</t>
  </si>
  <si>
    <t>Subdermal Display</t>
  </si>
  <si>
    <t>Project images or text from your body—RP IDs, tattoos.</t>
  </si>
  <si>
    <t>Can be hijacked. May flash when you're emotional.</t>
  </si>
  <si>
    <t>UnderSkin Lightshow</t>
  </si>
  <si>
    <t>Create glowing patterns or tattoos beneath skin.</t>
  </si>
  <si>
    <t>Occasionally glitches, displays unintended imagery.</t>
  </si>
  <si>
    <t>Cyberleg (Runner)</t>
  </si>
  <si>
    <t>Legs &amp; Mobility</t>
  </si>
  <si>
    <t>Jump farther, run faster, land silently. Parkour beast.</t>
  </si>
  <si>
    <t>Loud stomp at full speed. Doesn't enhance Stamina</t>
  </si>
  <si>
    <t>Reinforced Tendons</t>
  </si>
  <si>
    <t>No fall damage from &lt; 20 feet, Reduced fall damage from &lt; 30 feet.</t>
  </si>
  <si>
    <t>Audible tendon snaps occasionally during intense activity.</t>
  </si>
  <si>
    <t>DollChip</t>
  </si>
  <si>
    <t>Miscellaneous</t>
  </si>
  <si>
    <t>Hardware-bonded collar with encrypted owner ID. Can be issued commands by chip owner. Does not remember anything in-session</t>
  </si>
  <si>
    <t>If the owner is removed or dies, you're stuck in 'orphaned asset' mode—confused, depressed, glitchy.</t>
  </si>
  <si>
    <t>Spasm Drone Port</t>
  </si>
  <si>
    <t>3 Charges - Releases a tiny scout drone or flying camera.</t>
  </si>
  <si>
    <t>Leaves a nasty port in your skin. Buzzes when charging.</t>
  </si>
  <si>
    <t>Enhanced Tastebuds</t>
  </si>
  <si>
    <t>Taste chemical compositions—higher chance to detect poisons, substances.</t>
  </si>
  <si>
    <t>Intense dislike of strongly flavored foods; easily overwhelmed.</t>
  </si>
  <si>
    <t>ICE Layer</t>
  </si>
  <si>
    <t>Detects incoming hacks instantly—early warning.</t>
  </si>
  <si>
    <t>Emits weird static.</t>
  </si>
  <si>
    <t>GhostTag</t>
  </si>
  <si>
    <t>Your face is automatically blurred in security cameras. Higher chance to be unidentifiable in camera footage.</t>
  </si>
  <si>
    <t>Your face is automatically blurred in security cameras. May make law enforcement suspicious.</t>
  </si>
  <si>
    <t>Biomonitor</t>
  </si>
  <si>
    <t>Tracks all vital signs. Can auto-alert partners when you're in danger.</t>
  </si>
  <si>
    <t>Can trigger false alarms. You get “pinged” constantly when anxious.</t>
  </si>
  <si>
    <t>Internal Storage</t>
  </si>
  <si>
    <t>Stash a weapon, chip, or vial inside your body.</t>
  </si>
  <si>
    <t>Have to dig into yourself to retrieve. Looks sketchy as hell.</t>
  </si>
  <si>
    <t>Modded Mandibles</t>
  </si>
  <si>
    <t>Jaw opens wider than normal—voice amp, bite attack, or freak people out.</t>
  </si>
  <si>
    <t>Can’t whistle anymore. You look a little disconcerting.</t>
  </si>
  <si>
    <t>SmartLink</t>
  </si>
  <si>
    <t>Allows the use of Smart Weapons, which benefit from targeting assistance, auto-aim correction, and firing arc predictions via your HUD. Without this cyberware, Smart Weapons function like normal guns.</t>
  </si>
  <si>
    <t>Mr. Studd™ / Midnight Lady™</t>
  </si>
  <si>
    <t>Boosted stamina, modular sensations, vibe modules.</t>
  </si>
  <si>
    <t>Malfunctions in awkward moments. Buzzes audibly if overused.</t>
  </si>
  <si>
    <t>Scent Scanner</t>
  </si>
  <si>
    <t>Track people or chemicals by smell. Smell blood, oil, etc.</t>
  </si>
  <si>
    <t>Overwhelmed in clubs, alleys, combat. Sometimes gags from sensory overload.</t>
  </si>
  <si>
    <t>Tail Mount</t>
  </si>
  <si>
    <t>Prehensile tail–style, weapon, or utility limb.</t>
  </si>
  <si>
    <t>Sitting is awkward. It moves when you're nervous.</t>
  </si>
  <si>
    <t>VoiceWeaver</t>
  </si>
  <si>
    <t>Real-time voice modulation—change pitch, mimic accents, disguise yourself.</t>
  </si>
  <si>
    <t>Gets stuck mid-shift. You glitch between voices during arguments.</t>
  </si>
  <si>
    <t>Netrunner Suite (Level 3)</t>
  </si>
  <si>
    <t>Neural</t>
  </si>
  <si>
    <t>Full cyberwarfare, backdoor exploitation.</t>
  </si>
  <si>
    <t>Your body stutters. You speak to invisible things. You are a priority target for Corps.</t>
  </si>
  <si>
    <t>Netrunner Suite (Level 2)</t>
  </si>
  <si>
    <t>Quickhacks, control systems.</t>
  </si>
  <si>
    <t>Twitchy eyes, nosebleeds. You flinch at screen flickers.</t>
  </si>
  <si>
    <t>Memory Bank</t>
  </si>
  <si>
    <t>Store perfect audio/visual recall.</t>
  </si>
  <si>
    <t>Experiences brief confusion episodes if overloaded.</t>
  </si>
  <si>
    <t>Impulse Splicer</t>
  </si>
  <si>
    <t>Cuts the delay between thought and action. You do what you think—no second-guessing.</t>
  </si>
  <si>
    <t>Zero filter. No safety net. You might leap into a fire if you think it's a good idea.</t>
  </si>
  <si>
    <t>Neurofilter</t>
  </si>
  <si>
    <t>Suppresses emotions. Perfect in combat, negotiations, torture.</t>
  </si>
  <si>
    <t>Cuts you off emotionally. Others feel you're 'not all there.'</t>
  </si>
  <si>
    <t>Netrunner Suite (Level 1)</t>
  </si>
  <si>
    <t>Basic Net access. Ability to quickhack. Comes with Interface Jack to connect to Terminals/Vechicles/etc.</t>
  </si>
  <si>
    <t>You're always a little distracted--like you're only 95% in the room.</t>
  </si>
  <si>
    <t>SmartEyes</t>
  </si>
  <si>
    <t>Ocular System</t>
  </si>
  <si>
    <t>Zoom, thermal, night vision, facial ID, AR HUD.</t>
  </si>
  <si>
    <t>Eyes glow. You sometimes blink asynchronously.</t>
  </si>
  <si>
    <t>Targeting Optic</t>
  </si>
  <si>
    <t>Motion tracking and target prediction</t>
  </si>
  <si>
    <t>Uncanny gaze. You stare too long and react to subtle movement like a predator.</t>
  </si>
  <si>
    <t>Retinal Projector</t>
  </si>
  <si>
    <t>Project images directly onto surfaces from eyes. (You can place stickers)</t>
  </si>
  <si>
    <t>Eyes glow brightly, drawing attention.</t>
  </si>
  <si>
    <t>FlashVisor</t>
  </si>
  <si>
    <t>Auto-adjusts to sudden flashes, light blasts, laser dazzlers. Lower chance of being blinded.</t>
  </si>
  <si>
    <t>Flickers visibly during brightness shifts—distracting to others.</t>
  </si>
  <si>
    <t>Combat Wired Reflexes</t>
  </si>
  <si>
    <t>Skeleton &amp; Torso Musculature</t>
  </si>
  <si>
    <t>Always-on reflex boost for high-performance combat. Its very hard to sneak up on you, you are fast and react almost instantly</t>
  </si>
  <si>
    <t>Always alert. Hard to relax or stay calm.</t>
  </si>
  <si>
    <t>Dense Marrow</t>
  </si>
  <si>
    <t>Increases body weight and striking power. 20% Heavier.</t>
  </si>
  <si>
    <t>Heavy footsteps and slightly reduced agility.</t>
  </si>
  <si>
    <t>NeoFiber</t>
  </si>
  <si>
    <t>Synthetic muscle fibers for increased strength. 30% strength gain, Can be applied to 2 out of three: Legs, Arms, Tails</t>
  </si>
  <si>
    <t>Occasional muscle stiffness and unnatural posture.</t>
  </si>
  <si>
    <t>Recoil Dampeners</t>
  </si>
  <si>
    <t>Universal Muscular (Arms/Legs/Tail)</t>
  </si>
  <si>
    <t>Absorbs recoil for stable firing. Absolute stability for small arms, less as the caliber increases.</t>
  </si>
  <si>
    <t>Joints audibly click after sustained use.</t>
  </si>
  <si>
    <t>Reactive Muscle Fibers</t>
  </si>
  <si>
    <t>Short bursts of heightened strength. (e.g, a Single punch at +50% power)</t>
  </si>
  <si>
    <t>Muscles spasm after use, visibly twitchy.</t>
  </si>
  <si>
    <t>Total CyberWare Points(CWP)</t>
  </si>
  <si>
    <t>3 or below</t>
  </si>
  <si>
    <t>Quarterly or less RipperDoc Maintenance</t>
  </si>
  <si>
    <t>3-6</t>
  </si>
  <si>
    <t>Monthly or Bi-Monthly RipperDoc Maintenance</t>
  </si>
  <si>
    <t>7-9</t>
  </si>
  <si>
    <t>RipperDoc Maintenance + ImmunoSuppressants + Medium Risk of CyberPsychosis. You swear someone said something. Did something just move in the corner of your eye?</t>
  </si>
  <si>
    <t>10-12</t>
  </si>
  <si>
    <t>RipperDoc Maintenance + ImmunoSuppressants + High Risk of CyberPsychosis. Someone DEFINITELY said something, But you shouldn't do what they said...Right?</t>
  </si>
  <si>
    <t>13-15</t>
  </si>
  <si>
    <t>RipperDoc Maintenance + ImmunoSuppressants + Extreme Risk of CyberPsychosis. The voice is right. That person is a rogue AI, Stab them. Wait... Did the floor and the celing just switch places?</t>
  </si>
  <si>
    <t>Cyberware Cost and Installation price set by ripperdocs.</t>
  </si>
  <si>
    <t>Cyberware can be installed at RipperDocs provided you have the spare CWP and ImplantCost</t>
  </si>
  <si>
    <t>Cyberpsychosis is AOD'd to you. If you have high CWP and went through some kind of stress, you may have an AOD tell you that you're feeling something specific related to Cyberpsychosis. The higher your CWP, the greater the impact of the CyberPsychosis and the greater the likelihood.</t>
  </si>
  <si>
    <t>Aesthetic Cyberware is 0 CWP cost.</t>
  </si>
  <si>
    <t>Custom Cyberware is permitted with approval. CWP cost will be assigned upon approval.</t>
  </si>
  <si>
    <t>One Cyberware per Slot, and one per arm and one per leg except Miscellaneous
 which is uncapped.</t>
  </si>
  <si>
    <t>Slots:</t>
  </si>
  <si>
    <t>Character</t>
  </si>
  <si>
    <t>Player Name</t>
  </si>
  <si>
    <t>CWP Total</t>
  </si>
  <si>
    <t>Implant Name</t>
  </si>
  <si>
    <t>Brand</t>
  </si>
  <si>
    <t>Brand Tier</t>
  </si>
  <si>
    <t>Function</t>
  </si>
  <si>
    <t>Adazae Oreste</t>
  </si>
  <si>
    <t>khepri2992</t>
  </si>
  <si>
    <t>Wolver Claws (Custom)</t>
  </si>
  <si>
    <t>Similar to mantis blades, except the blades are mounted in the wrists. Then dispersed through the knuckles. -Good for slashing targets, and staying discreet. Slashy, slashy-</t>
  </si>
  <si>
    <t>Epimorphic Skeleton (Custom)</t>
  </si>
  <si>
    <t>Regenerative super dense skeleton. Very Durable bones that can heal themselves, and handle extremely heavy impacts. -Nano-weaving skeleton that regenerates (over days), and is extremely robust.-</t>
  </si>
  <si>
    <t>Dragons breath Mk.2 custom</t>
  </si>
  <si>
    <t>Flaming breath attack, lights opponents on fire. Has a three second burst, and 10 second cool down.</t>
  </si>
  <si>
    <t>Chitin (Custom)</t>
  </si>
  <si>
    <t>Extremely durable subcutaneous shell made of genetically modified chitin. -Durable against rifle rounds. Resistant to bladed weaponry, and impacts.</t>
  </si>
  <si>
    <t>Q'tarr "The Wolf" Warrian</t>
  </si>
  <si>
    <t>luv_thewolf</t>
  </si>
  <si>
    <t>SubDermal Plating</t>
  </si>
  <si>
    <t>Kat (Formerly Rachel Moore)</t>
  </si>
  <si>
    <t>nocturnalight</t>
  </si>
  <si>
    <t>Always-on reflex boost for high-performance combat.</t>
  </si>
  <si>
    <t>Integumentary System Expansion</t>
  </si>
  <si>
    <t>Allows the use of an extra Integumentary System</t>
  </si>
  <si>
    <t>Anastasia "Persona" Aran.</t>
  </si>
  <si>
    <t>abendroth1994</t>
  </si>
  <si>
    <t xml:space="preserve"> Automatically seals small wounds. Used to counter tech weapons that puncture small but deep holes into soft tissue. Less effective against powered weapons.</t>
  </si>
  <si>
    <t xml:space="preserve">Your face is automatically blurred in security cameras. </t>
  </si>
  <si>
    <t>Ice Layer</t>
  </si>
  <si>
    <t>Tyson "Ty" Monroe (aka Meltdown)</t>
  </si>
  <si>
    <t>LukaSpice</t>
  </si>
  <si>
    <t>Lily</t>
  </si>
  <si>
    <t>Trashqueenlily</t>
  </si>
  <si>
    <t>Modular Socket Frame (Custom)</t>
  </si>
  <si>
    <t>A subdermal shoulder coupling system that allows for interchangeable cyberarm loadouts. (Allows switching between Poppet Arms and Regular Gorilla Arms)</t>
  </si>
  <si>
    <t>K-TYPE: RBK/7 "Poppet Arms" (Custom)</t>
  </si>
  <si>
    <t>Hyper-Aggressive Gorilla Arms, surges 40% more pressure to the forearms for 3 seconds, causing high-stress recoil through the user’s spine if unmodified. Warning: May dislocate shoulders without reinforcement.</t>
  </si>
  <si>
    <t>Love Suite (Custom)</t>
  </si>
  <si>
    <t>Both mr studd and midnight lady, interchangable to suit clients desire,</t>
  </si>
  <si>
    <t>Jane Doe</t>
  </si>
  <si>
    <t>ghosted_stoner.</t>
  </si>
  <si>
    <t>Baross "Iron Jaw" Mundy</t>
  </si>
  <si>
    <t>waffies</t>
  </si>
  <si>
    <t>Gorilla Arms</t>
  </si>
  <si>
    <t>Lift heavy shit. Overpower people. Physical domination.</t>
  </si>
  <si>
    <t>Jayce Talos</t>
  </si>
  <si>
    <t>.borp</t>
  </si>
  <si>
    <t>Ronan Vance - "Stray"</t>
  </si>
  <si>
    <t>binaryrogue</t>
  </si>
  <si>
    <t>A hyper-thin, retractable filament—stronger than steel, sharper than a scalpel. Often runs from wrist or fingertip. Can slice through flesh, bone, or light armor in a blur. Doubles as a garrote with the right finesse.</t>
  </si>
  <si>
    <t>Eclipse</t>
  </si>
  <si>
    <t>FreeBooze</t>
  </si>
  <si>
    <t>Romero “Butcher” Centanni</t>
  </si>
  <si>
    <t>DajaegerBOMB71</t>
  </si>
  <si>
    <t>Hear whispers through walls, filter sound, pinpoint origin.</t>
  </si>
  <si>
    <t>The Reaper’s Arm (Custom)</t>
  </si>
  <si>
    <t>Monowire, power Knuckles, reinforced nerve mesh.</t>
  </si>
  <si>
    <t>The Gravehand (Custom)</t>
  </si>
  <si>
    <t>EMP, Crash reinforced bones/metal, Hidden compartment, Tactile feedback, illegal as fuck.</t>
  </si>
  <si>
    <t>M.C.</t>
  </si>
  <si>
    <t>MCRanger</t>
  </si>
  <si>
    <t>Integrated Holster (Custom)</t>
  </si>
  <si>
    <t>works by attaching a gun to a retractable holster that conceals said weapon inside the arm and when it is needed, it springs out into the user's hand.</t>
  </si>
  <si>
    <t>Viper Zero</t>
  </si>
  <si>
    <t>valerie_437</t>
  </si>
  <si>
    <t>Saburō Shigeru Ryuu</t>
  </si>
  <si>
    <t xml:space="preserve"> oxarck</t>
  </si>
  <si>
    <t>Jonah Pike</t>
  </si>
  <si>
    <t>Gorilla Arms (Shock Variant)</t>
  </si>
  <si>
    <t>EXTREME Risk for Cyberpsychosis above this line</t>
  </si>
  <si>
    <t>Julian Uchiumi</t>
  </si>
  <si>
    <t>mrclassicmagic</t>
  </si>
  <si>
    <t>Ayami Sakurai</t>
  </si>
  <si>
    <t>dartkobichenko</t>
  </si>
  <si>
    <t>Vanessa "Cinder" Monroe</t>
  </si>
  <si>
    <t>mysticmoony</t>
  </si>
  <si>
    <t>Sub-dermal Display Plating Drako Tech (Custom)</t>
  </si>
  <si>
    <t>Resistant to blades, blunt trauma, Pistol Caliber Project images or text from your body—RP IDs, tattoos. Drawback: Can be hijacked. May flash when you're emotional.</t>
  </si>
  <si>
    <t>Tracks all vital signs. Can auto-alert medtechs or partners when you're in danger.</t>
  </si>
  <si>
    <t>Mars Logan</t>
  </si>
  <si>
    <t>vrchie</t>
  </si>
  <si>
    <t>Rick Kane</t>
  </si>
  <si>
    <t>lorddepressotm</t>
  </si>
  <si>
    <t>Precision tool use. RP lockpicking, surgery, hacking.</t>
  </si>
  <si>
    <t>Vincenzo "Vinny" Russo</t>
  </si>
  <si>
    <t>Vinnybot&lt;3</t>
  </si>
  <si>
    <t>Shotgun fist gorilla arms - 4 gauge (Custom)</t>
  </si>
  <si>
    <t>Kyuu Watson</t>
  </si>
  <si>
    <t>arweendabean</t>
  </si>
  <si>
    <t>Biella Brecken (Retired)</t>
  </si>
  <si>
    <t>yeenageddon</t>
  </si>
  <si>
    <t>Monroe Lockley</t>
  </si>
  <si>
    <t>thecandybar</t>
  </si>
  <si>
    <t>Malcolm 'Diesel' Reyes</t>
  </si>
  <si>
    <t>sircullingham</t>
  </si>
  <si>
    <t>CyberLungs</t>
  </si>
  <si>
    <t>Kayn</t>
  </si>
  <si>
    <t>_kaynw</t>
  </si>
  <si>
    <t>Ender</t>
  </si>
  <si>
    <t>rebskii</t>
  </si>
  <si>
    <t>Frankie “Ar3gus” Miles</t>
  </si>
  <si>
    <t>isogod</t>
  </si>
  <si>
    <t>Vic Jammer</t>
  </si>
  <si>
    <t>Effectively its Ghost tag however Vic Jammers can cover your whole silhouette instead of the head</t>
  </si>
  <si>
    <t>Julia [D3M0N]</t>
  </si>
  <si>
    <t>little_demonic</t>
  </si>
  <si>
    <t>Brad ‘Silverback’ Burke</t>
  </si>
  <si>
    <t>ranulf</t>
  </si>
  <si>
    <t>Ryuko Matoi</t>
  </si>
  <si>
    <t>Raven Zhenari (Dead)</t>
  </si>
  <si>
    <t>wendigo0300</t>
  </si>
  <si>
    <t>Zion Kade</t>
  </si>
  <si>
    <t>zehlolgamer</t>
  </si>
  <si>
    <t>Klumen</t>
  </si>
  <si>
    <t>klumenbranz</t>
  </si>
  <si>
    <t>Dermal &amp; Subdermal Plating (Mix)</t>
  </si>
  <si>
    <t>"SHORYU" Relic Chip (Custom)</t>
  </si>
  <si>
    <t>when you die: they take a subject's brain, replace the consciousness inside with your engram, and place it in an FBC body as a replica body for you to inhabit.</t>
  </si>
  <si>
    <t>Arasaka Subdermal Tracker (Custom)</t>
  </si>
  <si>
    <t>Tracker</t>
  </si>
  <si>
    <t xml:space="preserve">Leon 'Watcher' Draeven </t>
  </si>
  <si>
    <t>_Sliss</t>
  </si>
  <si>
    <t>Ethan Myers</t>
  </si>
  <si>
    <t>theultramight</t>
  </si>
  <si>
    <t>BioDyne Berserk</t>
  </si>
  <si>
    <t>it allows you to shrug off the effects of more serious wounds for a minute, but any mortal wounds that would kill you still affect you - or at the very least take you out of the fight</t>
  </si>
  <si>
    <t>Corpse</t>
  </si>
  <si>
    <t>Medusa_Cascade</t>
  </si>
  <si>
    <t>ChromeBone™ Elite</t>
  </si>
  <si>
    <t>Tier 2</t>
  </si>
  <si>
    <t>Long Canine like teeth</t>
  </si>
  <si>
    <t>Kiroshi Optics 7+</t>
  </si>
  <si>
    <t>Tier 1</t>
  </si>
  <si>
    <t>Dual State Autonomy (Custom)</t>
  </si>
  <si>
    <t>Apex Dynamics</t>
  </si>
  <si>
    <t>Experimental</t>
  </si>
  <si>
    <t>Allows Corpse to switch between Animal and Human, See character sheet for more detail. Repurposed Impulse Splicer aka KillSwitch</t>
  </si>
  <si>
    <t>Zetatech Standard Series</t>
  </si>
  <si>
    <t>Lilith 'Cadaver' Bellatrix</t>
  </si>
  <si>
    <t>washy_56</t>
  </si>
  <si>
    <t>Vampyres (Custom)</t>
  </si>
  <si>
    <t>Can extreact a small amount of blood for DNA sample or inject poison</t>
  </si>
  <si>
    <t>Moose</t>
  </si>
  <si>
    <t>Darius9077</t>
  </si>
  <si>
    <t>Eris</t>
  </si>
  <si>
    <t>PrimeCryptid</t>
  </si>
  <si>
    <t>Sierra</t>
  </si>
  <si>
    <t>.raelyna</t>
  </si>
  <si>
    <t>Celeste Mav'Rose</t>
  </si>
  <si>
    <t>bensubean</t>
  </si>
  <si>
    <t>Trapper</t>
  </si>
  <si>
    <t>Smok3bomb</t>
  </si>
  <si>
    <t>Murphy</t>
  </si>
  <si>
    <t>murphi3s_law</t>
  </si>
  <si>
    <t>Nuva</t>
  </si>
  <si>
    <t>_s1las_</t>
  </si>
  <si>
    <t>Alexis “Lazuli” Cromwell</t>
  </si>
  <si>
    <t>novageddon13</t>
  </si>
  <si>
    <t>(Left Arm) Subdermal Grip</t>
  </si>
  <si>
    <t>Lets you hold objects tighter than human limits—great for weapons or grappling. when grabbing someone's cyberware with this arm she can overload it with electricity</t>
  </si>
  <si>
    <t>(Right Arm) MicroVibration Generator</t>
  </si>
  <si>
    <t>uhhh something</t>
  </si>
  <si>
    <t>Vox Machina</t>
  </si>
  <si>
    <t>Zavara</t>
  </si>
  <si>
    <t>spiked_vrc</t>
  </si>
  <si>
    <t>Kissi</t>
  </si>
  <si>
    <t>ceruleanserpent13</t>
  </si>
  <si>
    <t>Thermal Insulation (Custom)</t>
  </si>
  <si>
    <t>Allows for survival in subzero temperatures, with the drawback that it is easy to overheat in hot environments</t>
  </si>
  <si>
    <t>Jun [Junko]</t>
  </si>
  <si>
    <t>sailor_bun</t>
  </si>
  <si>
    <t>Asha</t>
  </si>
  <si>
    <t>Amida Osika (Hopper)</t>
  </si>
  <si>
    <t>wee_vixen</t>
  </si>
  <si>
    <t>Cupid</t>
  </si>
  <si>
    <t>celestereaper</t>
  </si>
  <si>
    <t>Carl “Stinger” Nemo (Dead)</t>
  </si>
  <si>
    <t>phoolery</t>
  </si>
  <si>
    <t>Auto-adjusts to sudden flashes, light blasts, laser dazzlers.</t>
  </si>
  <si>
    <t>CUSTOM - “Bear-Trap Jaw”</t>
  </si>
  <si>
    <t>Part of the custom head case, Stinger’s mouth isn’t much more than a maw full of sharpened metal blades. His voice is projected by an old repurposed audio system.</t>
  </si>
  <si>
    <t>Kentesu R. Yuno (Callsign "Specter 1-1")</t>
  </si>
  <si>
    <t>ghost_11b</t>
  </si>
  <si>
    <t xml:space="preserve">Manolo Costazuela, aka “Manny,” aka “El Toro de Sangre” </t>
  </si>
  <si>
    <t xml:space="preserve"> phoolery</t>
  </si>
  <si>
    <t>Amelia Hartgreaves</t>
  </si>
  <si>
    <t>minnbicchi</t>
  </si>
  <si>
    <t>Marcus Felix Alarin, M.D.</t>
  </si>
  <si>
    <t>valincastor</t>
  </si>
  <si>
    <t>Zuki</t>
  </si>
  <si>
    <t>shyzuki</t>
  </si>
  <si>
    <t>RAID (Redundant Array of Independent Disks)</t>
  </si>
  <si>
    <t>scottyboiv</t>
  </si>
  <si>
    <t>Laurance "Large Larry" Ying</t>
  </si>
  <si>
    <t>GoodGuyPie</t>
  </si>
  <si>
    <t>Bubbles</t>
  </si>
  <si>
    <t>Sailor_bun</t>
  </si>
  <si>
    <t>Korra Maddox</t>
  </si>
  <si>
    <t>Riven (Torque) Knox</t>
  </si>
  <si>
    <t>vr_rubyrose</t>
  </si>
  <si>
    <t>Subdermal Plating</t>
  </si>
  <si>
    <t>Vianca "Taghmata" Locard</t>
  </si>
  <si>
    <t>toasterbishop</t>
  </si>
  <si>
    <t>Lena Hernandez</t>
  </si>
  <si>
    <t>alysenpai2201</t>
  </si>
  <si>
    <t>Yuna AKA "Trunk Monkey"</t>
  </si>
  <si>
    <t>cosmicdemechi</t>
  </si>
  <si>
    <t>Ronan</t>
  </si>
  <si>
    <t>pink_monstarrr</t>
  </si>
  <si>
    <t>Vito</t>
  </si>
  <si>
    <t>Vitofox</t>
  </si>
  <si>
    <t>Tali</t>
  </si>
  <si>
    <t>aqualiteva</t>
  </si>
  <si>
    <t>Thumper</t>
  </si>
  <si>
    <t>James Russell</t>
  </si>
  <si>
    <t>snope.putorius</t>
  </si>
  <si>
    <t>Alexandria "Chitters" Dubcord</t>
  </si>
  <si>
    <t>Hokucho</t>
  </si>
  <si>
    <t>Husk Ripjaw</t>
  </si>
  <si>
    <t>Michelle Bloodson</t>
  </si>
  <si>
    <t>iconic_a6m</t>
  </si>
  <si>
    <t>Teeth that can inject people with various things that fits in a vial.</t>
  </si>
  <si>
    <t>Quinton “Quaggan” Wells</t>
  </si>
  <si>
    <t>disgruntle</t>
  </si>
  <si>
    <t>Lucio “La Garra” Cortez</t>
  </si>
  <si>
    <t>Rena Moraine</t>
  </si>
  <si>
    <t>star.vr</t>
  </si>
  <si>
    <t>Caesar</t>
  </si>
  <si>
    <t>fire_fox</t>
  </si>
  <si>
    <t>Andrea Raneclear</t>
  </si>
  <si>
    <t>dogemain</t>
  </si>
  <si>
    <t>Eliza Stern</t>
  </si>
  <si>
    <t>thekillingchick</t>
  </si>
  <si>
    <t>Kagen Russer</t>
  </si>
  <si>
    <t>sliss_</t>
  </si>
  <si>
    <t>Roach 'Nail' Morel</t>
  </si>
  <si>
    <t>dragonlegend</t>
  </si>
  <si>
    <t>Felix Dunlap aka “Bogart”</t>
  </si>
  <si>
    <t>Blare</t>
  </si>
  <si>
    <t>Casper</t>
  </si>
  <si>
    <t>White</t>
  </si>
  <si>
    <t>cleozero</t>
  </si>
  <si>
    <t>Ryder</t>
  </si>
  <si>
    <t xml:space="preserve"> rebskii</t>
  </si>
  <si>
    <t>Dante</t>
  </si>
  <si>
    <t>Reven “holo” reed / Hazel Asher (Dead)</t>
  </si>
  <si>
    <t>Benedict O’Ryan Breaker-B0B</t>
  </si>
  <si>
    <t>ELSNightcore</t>
  </si>
  <si>
    <t>SpicyGrip</t>
  </si>
  <si>
    <t>Emit Heat from hands, enough to heat certain surfaces touched or cause burns if applied for too long.</t>
  </si>
  <si>
    <t>Maximilian Avero</t>
  </si>
  <si>
    <t>skulldog_artificer</t>
  </si>
  <si>
    <t>Nikkie Reyes or “Violet”</t>
  </si>
  <si>
    <t>snow_flake2022</t>
  </si>
  <si>
    <t>“Scoundrel” A.K.A Eden Cruz</t>
  </si>
  <si>
    <t>pomkinpatchz</t>
  </si>
  <si>
    <t>High Risk for Cyberpsychosis above this line</t>
  </si>
  <si>
    <t>Nugget</t>
  </si>
  <si>
    <t>idkmouse14</t>
  </si>
  <si>
    <t>Nikki "0v3r410w" Gonzalez</t>
  </si>
  <si>
    <t>dr_st1ngray</t>
  </si>
  <si>
    <t>Camila Cortez</t>
  </si>
  <si>
    <t>gazleon</t>
  </si>
  <si>
    <t>Circe</t>
  </si>
  <si>
    <t>Ghostware Relay Node (Classified)</t>
  </si>
  <si>
    <t>Cameron Ray AKA “Screen”</t>
  </si>
  <si>
    <t>chyver</t>
  </si>
  <si>
    <t>Lucas Shasta Walters</t>
  </si>
  <si>
    <t>Marcus Night</t>
  </si>
  <si>
    <t>Scollar</t>
  </si>
  <si>
    <t>Adrian Gates (Retired)</t>
  </si>
  <si>
    <t>XerasTheFluff</t>
  </si>
  <si>
    <t>Rollo Solnet</t>
  </si>
  <si>
    <t>Flyby</t>
  </si>
  <si>
    <t>Raven "Nightshade" Maverick</t>
  </si>
  <si>
    <t>SpiritFox</t>
  </si>
  <si>
    <t>Jixx "Whisper"</t>
  </si>
  <si>
    <t>J1sper</t>
  </si>
  <si>
    <t>Echo (Custom)</t>
  </si>
  <si>
    <t>Allows him to change between human and exotic (Hologram)</t>
  </si>
  <si>
    <t>Wallie O'Donovan (NPC)</t>
  </si>
  <si>
    <t>Sliss_</t>
  </si>
  <si>
    <t>Donkey Kicks (Gorilla Arms for Legs) (custom)</t>
  </si>
  <si>
    <t>Kick people hard af.</t>
  </si>
  <si>
    <t>Kayce Read</t>
  </si>
  <si>
    <t>Obsessed Demon</t>
  </si>
  <si>
    <t>Right Arm Projectile Launcher</t>
  </si>
  <si>
    <t>Shoot a rocket from his arm. Limited use, Arm is heavy than normal.</t>
  </si>
  <si>
    <t>Freya Orchest</t>
  </si>
  <si>
    <t>finchy1017</t>
  </si>
  <si>
    <t>Combat Chassis</t>
  </si>
  <si>
    <t>Normal Body</t>
  </si>
  <si>
    <t>Yūrei (Shirohane Renzo) (幽霊)</t>
  </si>
  <si>
    <t>ryuuzaki_6107</t>
  </si>
  <si>
    <t>Militech Cyberhand (Cyberarm (Dexterous))</t>
  </si>
  <si>
    <t>Arm-Mounted Cyberdeck (Ghostline) (Custom)</t>
  </si>
  <si>
    <t>Compact Ghostline deck integrated into arm; functionally comparable to a Netrunner Suite, Physical integration for on-the-fly netrunning. Function: A compact, integrated deck (Ghostline model) for netrunning.</t>
  </si>
  <si>
    <t>Memory Lock (Custom)</t>
  </si>
  <si>
    <t>Protects locked memories/data from extraction or unauthorized access. Potential amnesia risk if malfunctioning.</t>
  </si>
  <si>
    <t>Flykra "Snow" Foxx</t>
  </si>
  <si>
    <t>AcetheGodexx</t>
  </si>
  <si>
    <t>Alphonsus "Mr. Marbles" Hennigan</t>
  </si>
  <si>
    <t>the_owlbear_jew</t>
  </si>
  <si>
    <t>Hato</t>
  </si>
  <si>
    <t>motokosusubo</t>
  </si>
  <si>
    <t>Alexi "Northstar" Klar</t>
  </si>
  <si>
    <t>Justine Novák - “Ifrit Pale” (DEAD)</t>
  </si>
  <si>
    <t>blackmetalidiot</t>
  </si>
  <si>
    <t>Alice Evren "White Fox" aka "Athena"</t>
  </si>
  <si>
    <t>smallfox330</t>
  </si>
  <si>
    <t>Ren "Echo/Batto" Makoto</t>
  </si>
  <si>
    <t>reggieastra</t>
  </si>
  <si>
    <t>Enhanced Ears (Custom)</t>
  </si>
  <si>
    <t>Rosy Caggiano “Angel”</t>
  </si>
  <si>
    <t>moon.gothie</t>
  </si>
  <si>
    <t>Angel “Glass” Marinov</t>
  </si>
  <si>
    <t>firecharge1</t>
  </si>
  <si>
    <t>Sera “Seraph” Parse</t>
  </si>
  <si>
    <t>floweringzaeli</t>
  </si>
  <si>
    <t>Reva “Letty” Del’rosa</t>
  </si>
  <si>
    <t>Axe Dussault</t>
  </si>
  <si>
    <t>anuminan</t>
  </si>
  <si>
    <t>Cassian 'Hadal' Knox</t>
  </si>
  <si>
    <t>Gabriel "Gabby" Torenti</t>
  </si>
  <si>
    <t>hokucho</t>
  </si>
  <si>
    <t xml:space="preserve">Leon Álvarez/Ivan “Rev” Revell </t>
  </si>
  <si>
    <t>based_bassist</t>
  </si>
  <si>
    <t>Mesirah "Messy Mes" Lidha</t>
  </si>
  <si>
    <t>mesirah</t>
  </si>
  <si>
    <t>Love Potion - (Custom)</t>
  </si>
  <si>
    <t>Creates a toxin in the uterus that makes juices give a short knockout effect. The toxin has to be used on skin context or oral intake. Drawback: Does not work on Cyberware penis, detoxifier, Supra-Dermal Weave. any detect toxins/chemical ware will detect the uses of the Toxin. Biomonitor will auto-alert their partners.</t>
  </si>
  <si>
    <t>Love Suite - (Custom)</t>
  </si>
  <si>
    <t>Love Suite - (Custom) (1 CWP) Both Mr Studd and Midnight Lady, interchangeable to suit clients desire, Boosted stamina, modular sensations, vibe modules. Drawback: Malfunctions in awkward moments. Buzzes audibly if overused.</t>
  </si>
  <si>
    <t>Reiga</t>
  </si>
  <si>
    <t>nyasix</t>
  </si>
  <si>
    <t>Eve</t>
  </si>
  <si>
    <t>Orso Vex</t>
  </si>
  <si>
    <t>Chyver</t>
  </si>
  <si>
    <t>William "Crow" Rodriguez</t>
  </si>
  <si>
    <t>aliencowboy</t>
  </si>
  <si>
    <t>Adam Willows</t>
  </si>
  <si>
    <t>o0deusvult0o</t>
  </si>
  <si>
    <t>Dr. Logan Ledger "L.E.D.G.E.R."</t>
  </si>
  <si>
    <t>Zevra Yuhilna</t>
  </si>
  <si>
    <t>cade3945</t>
  </si>
  <si>
    <t>Inez Aramov</t>
  </si>
  <si>
    <t>Thecandybar</t>
  </si>
  <si>
    <t xml:space="preserve">Min-jae [min-jeh] "Mikey" Hyun [h-yoon] </t>
  </si>
  <si>
    <t>Luka Von Lucien</t>
  </si>
  <si>
    <t>peacefulsamy</t>
  </si>
  <si>
    <t>Geo Leman</t>
  </si>
  <si>
    <t>pardussteal</t>
  </si>
  <si>
    <t>Kha’var "Trigger" Warrian</t>
  </si>
  <si>
    <t>triggertony3164</t>
  </si>
  <si>
    <t>Harlequin</t>
  </si>
  <si>
    <t>pupsiren</t>
  </si>
  <si>
    <t>Flavia Daleno</t>
  </si>
  <si>
    <t>_redbear_92</t>
  </si>
  <si>
    <t>Geo Leman (Hawthorn)</t>
  </si>
  <si>
    <t>ThunderWolf</t>
  </si>
  <si>
    <t>thunderwolf721</t>
  </si>
  <si>
    <t>Curtis Ashburn</t>
  </si>
  <si>
    <t>knuckson</t>
  </si>
  <si>
    <t>Vale “Tengu” Yamashi</t>
  </si>
  <si>
    <t>SlayaAU</t>
  </si>
  <si>
    <t>Tatum "Wight" McCallops</t>
  </si>
  <si>
    <t>The Boondock Saint</t>
  </si>
  <si>
    <t>JAKL (pronounced "Jackal")</t>
  </si>
  <si>
    <t>zaihex</t>
  </si>
  <si>
    <t>Dr. Tequila Wolf</t>
  </si>
  <si>
    <t>Max Donovan/Ryan Weyland</t>
  </si>
  <si>
    <t>Oboro_</t>
  </si>
  <si>
    <t>Face Changer (Custom)</t>
  </si>
  <si>
    <t>allows a person to use metanthropic cloaking technology to completely change their facial features to disguise them as another person.</t>
  </si>
  <si>
    <t>Melody “Mel” Jackson (dead)</t>
  </si>
  <si>
    <t>_voidchaos</t>
  </si>
  <si>
    <t>Takashi Himura II</t>
  </si>
  <si>
    <t>_sliss</t>
  </si>
  <si>
    <t>Grief “Sündermann” Weber</t>
  </si>
  <si>
    <t>x3z8</t>
  </si>
  <si>
    <t>Riley 'Spider' Watts - Pizzakev</t>
  </si>
  <si>
    <t>Pizzakev</t>
  </si>
  <si>
    <t>Clive "Prick" Rose</t>
  </si>
  <si>
    <t>wolfy_of_the_british</t>
  </si>
  <si>
    <t>The Rippo Man</t>
  </si>
  <si>
    <t>Lux “Deluxe” Deckard</t>
  </si>
  <si>
    <t>Andre "Swift" Ramirez</t>
  </si>
  <si>
    <t>savxge_alpha</t>
  </si>
  <si>
    <t>Giovanni "Bandit" Romero</t>
  </si>
  <si>
    <t>uss.bigman</t>
  </si>
  <si>
    <t>Brian Thompson</t>
  </si>
  <si>
    <t>8ballsystem</t>
  </si>
  <si>
    <t>Ivana “Valkyrie” Kade</t>
  </si>
  <si>
    <t>freebooze</t>
  </si>
  <si>
    <t>Vanessa Belmonte</t>
  </si>
  <si>
    <t>Eye Cameras (Custom)</t>
  </si>
  <si>
    <t>Take pictures with complete and total secrecy. Shown as smart eyes on scans. Has no smart eye capabilities, Can zoom, Video/Audio Stored locally and immediately uploaded. Can livestream.</t>
  </si>
  <si>
    <t>Gears</t>
  </si>
  <si>
    <t>scollar</t>
  </si>
  <si>
    <t>Victor "Gears" Pierce</t>
  </si>
  <si>
    <t>artificerdrachen</t>
  </si>
  <si>
    <t>Gerald Freeman</t>
  </si>
  <si>
    <t>obsessed_demon</t>
  </si>
  <si>
    <t>Gary "Rooster" Mueller</t>
  </si>
  <si>
    <t>Olivia “Jinx” More</t>
  </si>
  <si>
    <t>Juno Kelner (Valkyrie)</t>
  </si>
  <si>
    <t>thegamingfox807</t>
  </si>
  <si>
    <t>Osha karmi</t>
  </si>
  <si>
    <t>lordbarker.</t>
  </si>
  <si>
    <t>Slimon</t>
  </si>
  <si>
    <t>John 'fireball' Uchuu</t>
  </si>
  <si>
    <t>burntlego</t>
  </si>
  <si>
    <t>Luna Bella Consorta</t>
  </si>
  <si>
    <t>Mimi Aoyama (Neko)</t>
  </si>
  <si>
    <t>mrsundeadkitty</t>
  </si>
  <si>
    <t>Katherine "Kay" Morris</t>
  </si>
  <si>
    <t>deedalus</t>
  </si>
  <si>
    <t>Nova “Kit”</t>
  </si>
  <si>
    <t>lunasake</t>
  </si>
  <si>
    <t>Spade McCree</t>
  </si>
  <si>
    <t>bellsheeo</t>
  </si>
  <si>
    <t>Akane Kuroda</t>
  </si>
  <si>
    <t>azureshinigami</t>
  </si>
  <si>
    <t>Aegis-7 Stealth Pressurized Suit.(Custom)</t>
  </si>
  <si>
    <t>RAM-treated thermal and radar dampening, 12-hour independent oxygen supply, Nano-Mend Matrix: Self-repairing liquid polymer reservoir (5-7 uses).</t>
  </si>
  <si>
    <t>Aurora Marie Calloway</t>
  </si>
  <si>
    <t>Morning Helen Sanderson</t>
  </si>
  <si>
    <t>hdmg</t>
  </si>
  <si>
    <t>Parker Pepper</t>
  </si>
  <si>
    <t>Ghosted_stoner</t>
  </si>
  <si>
    <t>Bryce Connory</t>
  </si>
  <si>
    <t>jesmge</t>
  </si>
  <si>
    <t>Aurora Martinez</t>
  </si>
  <si>
    <t>reverie9677</t>
  </si>
  <si>
    <t>Ignis</t>
  </si>
  <si>
    <t>Firefox</t>
  </si>
  <si>
    <t>Damaged Neural Pathways</t>
  </si>
  <si>
    <t>Sirati Feth (Retired)</t>
  </si>
  <si>
    <t>Finlytalikov</t>
  </si>
  <si>
    <t>Shinohara Risa</t>
  </si>
  <si>
    <t>kanakovt</t>
  </si>
  <si>
    <t>Sarah Lawn (retired)</t>
  </si>
  <si>
    <t>mooserenity</t>
  </si>
  <si>
    <t>Karmine</t>
  </si>
  <si>
    <t>kitten_katie</t>
  </si>
  <si>
    <t>In Suit</t>
  </si>
  <si>
    <t>Out of suit</t>
  </si>
  <si>
    <t>Terrance J. Scott</t>
  </si>
  <si>
    <t>itsnolongeraboutcheese</t>
  </si>
  <si>
    <t>Gidgit Stitchwyre “Mama”</t>
  </si>
  <si>
    <t>Volt (Militech Callsign "Storm")</t>
  </si>
  <si>
    <t>rustyspoonz1</t>
  </si>
  <si>
    <t>Hawk</t>
  </si>
  <si>
    <t>DeathHawkDown</t>
  </si>
  <si>
    <t>Sebastian Hook (dead)</t>
  </si>
  <si>
    <t>ObsessedDemon</t>
  </si>
  <si>
    <t>Joshua Woods</t>
  </si>
  <si>
    <t>RainIncarnate</t>
  </si>
  <si>
    <t>LOCK / UNLOCK</t>
  </si>
  <si>
    <t>ninjamag</t>
  </si>
  <si>
    <t>Samael</t>
  </si>
  <si>
    <t>mobstupidity</t>
  </si>
  <si>
    <t>Combat Tail</t>
  </si>
  <si>
    <t>A tail thats pure strength, can grab, and trip but has very little fine motor skills/dexterity.</t>
  </si>
  <si>
    <t>Alice Martinez</t>
  </si>
  <si>
    <t>Homare Nishitani</t>
  </si>
  <si>
    <t>oboro_</t>
  </si>
  <si>
    <t>Reina "Wildcall" Arakawa (Retired)</t>
  </si>
  <si>
    <t>Doctor Lucy Moth</t>
  </si>
  <si>
    <t>Hound</t>
  </si>
  <si>
    <t>sailor_bun aka Arson</t>
  </si>
  <si>
    <t>Michael Tullen</t>
  </si>
  <si>
    <t>ironfatherminarus</t>
  </si>
  <si>
    <t>Ivy “Index” Walker</t>
  </si>
  <si>
    <t>Jack “Ash” Vega</t>
  </si>
  <si>
    <t>Nyx</t>
  </si>
  <si>
    <t>phoenixkitsu.</t>
  </si>
  <si>
    <t>Rougarou Wylde</t>
  </si>
  <si>
    <t>stridertempxa</t>
  </si>
  <si>
    <t>Rich “Dodge” Bekmith</t>
  </si>
  <si>
    <t>leonardofoxtron</t>
  </si>
  <si>
    <t>Bayou</t>
  </si>
  <si>
    <t>dustinn.com</t>
  </si>
  <si>
    <t>Sedna</t>
  </si>
  <si>
    <t>baronvondorf210</t>
  </si>
  <si>
    <t>Alice</t>
  </si>
  <si>
    <t>"Old man" Ragnar</t>
  </si>
  <si>
    <t>viking1987</t>
  </si>
  <si>
    <t>Mellow Ainsley</t>
  </si>
  <si>
    <t>smolredfox</t>
  </si>
  <si>
    <t>Monarch Swarm Micro-Emitter (Custom)</t>
  </si>
  <si>
    <t>Deploys micro-drones disguised as bioluminescent butterflies. Causes temporary instability in unshielded personal cyberware within close proximity. Limited radius and duration.
Tradeoff: Significant neural strain, migraines, nausea, sensory dulling after extended use. Lasts 1 Minute, 5 foot radius</t>
  </si>
  <si>
    <t>Abel "Deimos" Montez</t>
  </si>
  <si>
    <t>deathgripsfanx3</t>
  </si>
  <si>
    <t>Nyx Ardent</t>
  </si>
  <si>
    <t>j3lly.vox</t>
  </si>
  <si>
    <t>Needle</t>
  </si>
  <si>
    <t>buns4193</t>
  </si>
  <si>
    <t>Zuri</t>
  </si>
  <si>
    <t>eli_d</t>
  </si>
  <si>
    <t>Connar juvalie aka Crash</t>
  </si>
  <si>
    <t>issachatter</t>
  </si>
  <si>
    <t>Reinforced Tendons (broken)</t>
  </si>
  <si>
    <t>Nyx Alset</t>
  </si>
  <si>
    <t>stevethemitochondria</t>
  </si>
  <si>
    <t>Unsafe Above this line - Medium Risk</t>
  </si>
  <si>
    <t>Maki “Suit” Junichi</t>
  </si>
  <si>
    <t>TornadoRanger</t>
  </si>
  <si>
    <t>Sasha “Limewire” Graves</t>
  </si>
  <si>
    <t>Gyoubu Oniwa</t>
  </si>
  <si>
    <t>Stella Watson</t>
  </si>
  <si>
    <t>ericvali</t>
  </si>
  <si>
    <t>Ela Myers North (Retired)</t>
  </si>
  <si>
    <t>OrangeTrex</t>
  </si>
  <si>
    <t>DimondSergal (Retired)</t>
  </si>
  <si>
    <t>DimondSergal</t>
  </si>
  <si>
    <t>Vivian "Viv" Reid (Retired)</t>
  </si>
  <si>
    <t>Blitz</t>
  </si>
  <si>
    <t>Ryker | Vex</t>
  </si>
  <si>
    <t>BettaTheFish / vodeldar</t>
  </si>
  <si>
    <t>Dr Fritz Fermi</t>
  </si>
  <si>
    <t>Fenrir Evergreen</t>
  </si>
  <si>
    <t>Second Heart (Custom)</t>
  </si>
  <si>
    <t>If one heart is damaged, the other can take over.</t>
  </si>
  <si>
    <t>Second set of arms (custom)</t>
  </si>
  <si>
    <t>Can hold extra guns</t>
  </si>
  <si>
    <t>Jay</t>
  </si>
  <si>
    <t>dewbertcrunch</t>
  </si>
  <si>
    <t>Bandit</t>
  </si>
  <si>
    <t>Sir Lazarus (Formerly Elias Kessler)</t>
  </si>
  <si>
    <t>vexgate</t>
  </si>
  <si>
    <t>Rynix Mithindax Dexma</t>
  </si>
  <si>
    <t>Rynix Dexma</t>
  </si>
  <si>
    <t>Juniper "junebug" Mcleary (Retired)</t>
  </si>
  <si>
    <t>Akali Zangor</t>
  </si>
  <si>
    <t>itzKrypto</t>
  </si>
  <si>
    <t>Riley Watson / Arlo Watson</t>
  </si>
  <si>
    <t>Mentor_Knight</t>
  </si>
  <si>
    <t>Gradiated Subdermal Plating(Custom)</t>
  </si>
  <si>
    <t>Resistant to blades, blunt trauma, slows small caliber bullets but won't stop them.</t>
  </si>
  <si>
    <t>Full Body Conversion - Gemini &amp; Novabeast</t>
  </si>
  <si>
    <t>Reject Human, become furry</t>
  </si>
  <si>
    <t>Basic Cyberoptics (Custom)</t>
  </si>
  <si>
    <t>Zoom, facial ID, AR HUD.</t>
  </si>
  <si>
    <t>Ashton "Ashy" Stripes</t>
  </si>
  <si>
    <t>Wolfyboi_</t>
  </si>
  <si>
    <t>Musicians ears (Custom)</t>
  </si>
  <si>
    <t>Enhanced Ears + Noise Dampeners</t>
  </si>
  <si>
    <t>Alan 'Owl/Weeping Crow' Autarch Jr (Retired)</t>
  </si>
  <si>
    <t>AustrailianError</t>
  </si>
  <si>
    <t>Astrid Hansen</t>
  </si>
  <si>
    <t>fdetonaded</t>
  </si>
  <si>
    <t>jo</t>
  </si>
  <si>
    <t>Eliza Kusanagi</t>
  </si>
  <si>
    <t>Aki Dan Kojima</t>
  </si>
  <si>
    <t>_oboro</t>
  </si>
  <si>
    <t>Roselyn "Rose"</t>
  </si>
  <si>
    <t>sheepesq</t>
  </si>
  <si>
    <t>Jabbles Katan</t>
  </si>
  <si>
    <t>Jabbles</t>
  </si>
  <si>
    <t>Jimmy "the Snake" Green (NPC)</t>
  </si>
  <si>
    <t>GTTRDS</t>
  </si>
  <si>
    <t>Ethanol Syphon</t>
  </si>
  <si>
    <t xml:space="preserve">Custom built cyberware to help filter out the sheer amount of ethanol that may be generated within the body. Excess amounts are internally stored in a different synthetic organ near the stomach. </t>
  </si>
  <si>
    <t>Iris Calder</t>
  </si>
  <si>
    <t>hyperextra</t>
  </si>
  <si>
    <t>Cyrus "Cyr" Jacobs</t>
  </si>
  <si>
    <t>trinidad_demon</t>
  </si>
  <si>
    <t>"Lior London"</t>
  </si>
  <si>
    <t>heliosstation</t>
  </si>
  <si>
    <t>Sammantha Jackson</t>
  </si>
  <si>
    <t>endevours</t>
  </si>
  <si>
    <t>Johnathan "Rook" Mitchell</t>
  </si>
  <si>
    <t>The Wanderer</t>
  </si>
  <si>
    <t>vinnybot</t>
  </si>
  <si>
    <t>Kai Wren</t>
  </si>
  <si>
    <t>Anya "Dust Fox" Blackhammer</t>
  </si>
  <si>
    <t>larzenic</t>
  </si>
  <si>
    <t>Falconi (The Rabbit)</t>
  </si>
  <si>
    <t>falconirabbit</t>
  </si>
  <si>
    <t>Gwen “Maple”</t>
  </si>
  <si>
    <t>.nemi.</t>
  </si>
  <si>
    <t>"Birdie" Wren</t>
  </si>
  <si>
    <t>Siren</t>
  </si>
  <si>
    <t>auroranova</t>
  </si>
  <si>
    <t>Lycoris Maxim</t>
  </si>
  <si>
    <t>dilandian</t>
  </si>
  <si>
    <t>Mist</t>
  </si>
  <si>
    <t>Jeanne</t>
  </si>
  <si>
    <t>Rachel Brooke</t>
  </si>
  <si>
    <t>armisael_</t>
  </si>
  <si>
    <t>"dead drop" needle (Custom)</t>
  </si>
  <si>
    <t>"dead drop" needle: A black-ceramic needle hidden beneath her inner wrist, below the palm.</t>
  </si>
  <si>
    <t>Aether Van Buren</t>
  </si>
  <si>
    <t>Unilocation Antenna (Custom)</t>
  </si>
  <si>
    <t>Metal Antenna, very sensitive, inuscule to micro-level movements be picked up, echolocation-esque</t>
  </si>
  <si>
    <t>Gina Goldman</t>
  </si>
  <si>
    <t>bearger</t>
  </si>
  <si>
    <t>kamiya</t>
  </si>
  <si>
    <t>luna_paradox</t>
  </si>
  <si>
    <t>Caden “Nemo” Muller</t>
  </si>
  <si>
    <t>zm0bie</t>
  </si>
  <si>
    <t>Sata Miller</t>
  </si>
  <si>
    <t>flamenight</t>
  </si>
  <si>
    <t>Lareina Soto</t>
  </si>
  <si>
    <t>chisanaki</t>
  </si>
  <si>
    <t>Richard Kovac</t>
  </si>
  <si>
    <t>puffymystery</t>
  </si>
  <si>
    <t>Loki Dexa</t>
  </si>
  <si>
    <t>honeybeefox</t>
  </si>
  <si>
    <t>Aurelia Vantress</t>
  </si>
  <si>
    <t>hexexo</t>
  </si>
  <si>
    <t>Lena "Cal" Calder</t>
  </si>
  <si>
    <t>britilly</t>
  </si>
  <si>
    <t>Medical Cyber Spine (Custom)</t>
  </si>
  <si>
    <t>Structural spinal stabilization implant. No enhancement benefits.</t>
  </si>
  <si>
    <t>Felix</t>
  </si>
  <si>
    <t>Seralina</t>
  </si>
  <si>
    <t>Shyzuki</t>
  </si>
  <si>
    <t>Leona</t>
  </si>
  <si>
    <t>scorpionshans</t>
  </si>
  <si>
    <t>Domino Vidal</t>
  </si>
  <si>
    <t>Vesper</t>
  </si>
  <si>
    <t>uneekwolf</t>
  </si>
  <si>
    <t>Icara Gwenyth</t>
  </si>
  <si>
    <t>Sebastian Weaver</t>
  </si>
  <si>
    <t>tabriz</t>
  </si>
  <si>
    <t>Brutus Mars</t>
  </si>
  <si>
    <t>afrosoldier1992</t>
  </si>
  <si>
    <t>Mochi</t>
  </si>
  <si>
    <t>Anne "Paws"</t>
  </si>
  <si>
    <t>Cotton Fox</t>
  </si>
  <si>
    <t>Max Luxford / Max Dollux (alias)</t>
  </si>
  <si>
    <t>mik1705</t>
  </si>
  <si>
    <t>Valmey Ara</t>
  </si>
  <si>
    <t>Joshua "Breaker" Reyes</t>
  </si>
  <si>
    <t>Vora</t>
  </si>
  <si>
    <t>Clutch</t>
  </si>
  <si>
    <t>Selene</t>
  </si>
  <si>
    <t>Robert "Specter" Locket</t>
  </si>
  <si>
    <t>s.p.e.c.t.e.r</t>
  </si>
  <si>
    <t>Ethan Cole</t>
  </si>
  <si>
    <t>Vance Lennon Bouchier A.K.A “Boudgie”</t>
  </si>
  <si>
    <t>pompkinpatchz</t>
  </si>
  <si>
    <t>Nicole Laurin</t>
  </si>
  <si>
    <t>strazis</t>
  </si>
  <si>
    <t>Tussaint Louverture “Shango”</t>
  </si>
  <si>
    <t>Lillian Cardinal</t>
  </si>
  <si>
    <t>lilredpanda</t>
  </si>
  <si>
    <t>Kyatchi "Mirror" Norunobu</t>
  </si>
  <si>
    <t>thereviewsprime</t>
  </si>
  <si>
    <t>Dart Kobichenko</t>
  </si>
  <si>
    <t>Isobel Driften Winters</t>
  </si>
  <si>
    <t>celestyauchuu</t>
  </si>
  <si>
    <t>Rafael “Rafi” Alvarez</t>
  </si>
  <si>
    <t>vinnybot&lt;3</t>
  </si>
  <si>
    <t xml:space="preserve">Artyom "Pryvyd" Raizov </t>
  </si>
  <si>
    <t>palantheir</t>
  </si>
  <si>
    <t>Lixoriah</t>
  </si>
  <si>
    <t>voillah_</t>
  </si>
  <si>
    <t>Nixie</t>
  </si>
  <si>
    <t>shaemlyss</t>
  </si>
  <si>
    <t>Diego Serrano</t>
  </si>
  <si>
    <t>j3llyvox</t>
  </si>
  <si>
    <t>Acier Batallie</t>
  </si>
  <si>
    <t>Damian 'Sentinel' Blackburn</t>
  </si>
  <si>
    <t>theultimawolf</t>
  </si>
  <si>
    <t>Innova</t>
  </si>
  <si>
    <t>Jackson "Penguin" McConnell (Retired)</t>
  </si>
  <si>
    <t>Penguin Boi</t>
  </si>
  <si>
    <t>Ciren Xiangyu</t>
  </si>
  <si>
    <t>VideoTv</t>
  </si>
  <si>
    <t>JohnDeer Deer</t>
  </si>
  <si>
    <t>trainboythedeer</t>
  </si>
  <si>
    <t>Xiao Min</t>
  </si>
  <si>
    <t>siegebastion</t>
  </si>
  <si>
    <t>Carnage</t>
  </si>
  <si>
    <t>Caleb "Spooky" McGregor</t>
  </si>
  <si>
    <t>Astrid Falk</t>
  </si>
  <si>
    <t>Riann (pronounced “Ryan”) “Rook” Myrvang</t>
  </si>
  <si>
    <t xml:space="preserve"> mellojello</t>
  </si>
  <si>
    <t>Ophelia Everhart</t>
  </si>
  <si>
    <t>Noko / M[ira]</t>
  </si>
  <si>
    <t>hot.water.for.oats</t>
  </si>
  <si>
    <t>Mara Vale</t>
  </si>
  <si>
    <t>nerdynightmare</t>
  </si>
  <si>
    <t>Bones</t>
  </si>
  <si>
    <t xml:space="preserve">Travis “Barrage” Dunlap </t>
  </si>
  <si>
    <t>Phoolery</t>
  </si>
  <si>
    <t>Lova</t>
  </si>
  <si>
    <t>Jessica “Quinn” Cortez</t>
  </si>
  <si>
    <t>chromia</t>
  </si>
  <si>
    <t>Yoko Hayashi</t>
  </si>
  <si>
    <t>k118728</t>
  </si>
  <si>
    <t>Astrid Pearce, Alias "Saturn"</t>
  </si>
  <si>
    <t>ratatoskr</t>
  </si>
  <si>
    <t>Lance "Iron" Kiro</t>
  </si>
  <si>
    <t>aresdivision</t>
  </si>
  <si>
    <t>Rosa</t>
  </si>
  <si>
    <t>katiee333ee33</t>
  </si>
  <si>
    <t>Quinn 狼 (wolf)</t>
  </si>
  <si>
    <t>saobleach</t>
  </si>
  <si>
    <t xml:space="preserve"> A Positivity filter left in on accidentally when being fired from the corporation</t>
  </si>
  <si>
    <t>Elias "Delta" Kade</t>
  </si>
  <si>
    <t>mangoesf</t>
  </si>
  <si>
    <t>Babe Corano</t>
  </si>
  <si>
    <t>_pace</t>
  </si>
  <si>
    <t>Mirage (Jasmine Badawi Al-Sayid)</t>
  </si>
  <si>
    <t>bigmommalion</t>
  </si>
  <si>
    <t>Echo</t>
  </si>
  <si>
    <t>newbiebunny</t>
  </si>
  <si>
    <t>M+I-R~I^S</t>
  </si>
  <si>
    <t>Katherine Howitzer</t>
  </si>
  <si>
    <t>Good Boy Dallas</t>
  </si>
  <si>
    <t>Jin Atonic</t>
  </si>
  <si>
    <t>Jack 'Hangman' Chlotna (Retired)</t>
  </si>
  <si>
    <t>austrailianerror</t>
  </si>
  <si>
    <t>Liin</t>
  </si>
  <si>
    <t>Liindy</t>
  </si>
  <si>
    <t>Tia</t>
  </si>
  <si>
    <t>mestiia</t>
  </si>
  <si>
    <t>Velvet Venom</t>
  </si>
  <si>
    <t>nizka</t>
  </si>
  <si>
    <t>Taylor Von Karma</t>
  </si>
  <si>
    <t>BigFluffButt</t>
  </si>
  <si>
    <t>Aya “Ghosttail” Shino</t>
  </si>
  <si>
    <t>Leonardo (Dead)</t>
  </si>
  <si>
    <t>starroxen</t>
  </si>
  <si>
    <t>Kazra Wynter</t>
  </si>
  <si>
    <t>Nyx Calder</t>
  </si>
  <si>
    <t>Vike Stentton</t>
  </si>
  <si>
    <t>jarren</t>
  </si>
  <si>
    <t>Damion (Militech call sign: Deimos) (Dead)</t>
  </si>
  <si>
    <t>gamma148</t>
  </si>
  <si>
    <t>Kina Mazushī</t>
  </si>
  <si>
    <t>vexypu</t>
  </si>
  <si>
    <t>Rhys Hendrix</t>
  </si>
  <si>
    <t>mrbonesvr</t>
  </si>
  <si>
    <t>Cristoff</t>
  </si>
  <si>
    <t>Pholey</t>
  </si>
  <si>
    <t>Dr. Rebecca Hellebore</t>
  </si>
  <si>
    <t>andemix</t>
  </si>
  <si>
    <t>Dilandian Von Wyld</t>
  </si>
  <si>
    <t>Misuna</t>
  </si>
  <si>
    <t>kitsuneari_ttv</t>
  </si>
  <si>
    <t>Cyber Arm (Custom)</t>
  </si>
  <si>
    <t>built-in projectile launcher and flashlight.the projectile launcher fires small Darts.</t>
  </si>
  <si>
    <t>Skie Valentine</t>
  </si>
  <si>
    <t>zyberlynx</t>
  </si>
  <si>
    <t>Khatun</t>
  </si>
  <si>
    <t>stolasplus</t>
  </si>
  <si>
    <t>Jasmin 'Jaz' Mechanica (Retired)</t>
  </si>
  <si>
    <t>Snip06</t>
  </si>
  <si>
    <t>Athleta Jacksawn (Jacks) (Retired)</t>
  </si>
  <si>
    <t>La-Jackie</t>
  </si>
  <si>
    <t>Sarah Richard</t>
  </si>
  <si>
    <t>milliesusilly</t>
  </si>
  <si>
    <t>Lilly Raptor (Dead)</t>
  </si>
  <si>
    <t>goodguypie</t>
  </si>
  <si>
    <t>Kazimierz "Sasko" Barakov</t>
  </si>
  <si>
    <t>DraconusNocturna</t>
  </si>
  <si>
    <t>Thomas "Double T" Tchekov</t>
  </si>
  <si>
    <t>alexykuzneatov</t>
  </si>
  <si>
    <t>Asher Morin</t>
  </si>
  <si>
    <t>Exo Synth</t>
  </si>
  <si>
    <t>link3y</t>
  </si>
  <si>
    <t>Milo Vale</t>
  </si>
  <si>
    <t>landad</t>
  </si>
  <si>
    <t>Miumi Yoko</t>
  </si>
  <si>
    <t>Rosaline Hellner</t>
  </si>
  <si>
    <t>buffsquishy</t>
  </si>
  <si>
    <t>Eugene 'Doc' House</t>
  </si>
  <si>
    <t>seanhoff</t>
  </si>
  <si>
    <t>Kael Mercer</t>
  </si>
  <si>
    <t>Revv</t>
  </si>
  <si>
    <t>Akiza Blackrose</t>
  </si>
  <si>
    <t>reeva_5</t>
  </si>
  <si>
    <t>Glitch | "Madame" (Retired)</t>
  </si>
  <si>
    <t>Bookieson</t>
  </si>
  <si>
    <t>Valeria D. Kirk "Vally K"</t>
  </si>
  <si>
    <t>itsdeadlocks</t>
  </si>
  <si>
    <t>Ivo</t>
  </si>
  <si>
    <t>nauctustheavali</t>
  </si>
  <si>
    <t>Regina Black</t>
  </si>
  <si>
    <t>abyssalreaper</t>
  </si>
  <si>
    <t>Kayla</t>
  </si>
  <si>
    <t>wufski</t>
  </si>
  <si>
    <t>Monoceros Helios Muse</t>
  </si>
  <si>
    <t>tish</t>
  </si>
  <si>
    <t>Melissa “Ember” Hensley</t>
  </si>
  <si>
    <t>Jerome Corrilo</t>
  </si>
  <si>
    <t>jollywolly14</t>
  </si>
  <si>
    <t>Synthia Bennett</t>
  </si>
  <si>
    <t>itisluna</t>
  </si>
  <si>
    <t>Noah Halloway</t>
  </si>
  <si>
    <t>Violet Liebert</t>
  </si>
  <si>
    <t>ShatteredCafe</t>
  </si>
  <si>
    <t>Nova Makron</t>
  </si>
  <si>
    <t>funniguy</t>
  </si>
  <si>
    <t>Kelly “Holly” Richards</t>
  </si>
  <si>
    <t>j4cka55</t>
  </si>
  <si>
    <t>Lorenzo Harper</t>
  </si>
  <si>
    <t>skaleyseto</t>
  </si>
  <si>
    <t>Integrated Hologram Emitter (custom)</t>
  </si>
  <si>
    <t>projects visuals tied to emotions, pricing, or availability</t>
  </si>
  <si>
    <t>Eve starly</t>
  </si>
  <si>
    <t>gooeypancake</t>
  </si>
  <si>
    <t>Luna</t>
  </si>
  <si>
    <t>Kate Velnik</t>
  </si>
  <si>
    <t>nikinta</t>
  </si>
  <si>
    <t>Harry Lunaire</t>
  </si>
  <si>
    <t>leocercops</t>
  </si>
  <si>
    <t>Has basic implants</t>
  </si>
  <si>
    <t>Judith Steele</t>
  </si>
  <si>
    <t>Actuallystoked</t>
  </si>
  <si>
    <t>Sienna Morris</t>
  </si>
  <si>
    <t>anyaroseyt</t>
  </si>
  <si>
    <t>Marcus Halloway</t>
  </si>
  <si>
    <t>sniperm</t>
  </si>
  <si>
    <t>Ayrn Rece</t>
  </si>
  <si>
    <t>Fully Organic (Other than being an exotic)</t>
  </si>
  <si>
    <t>John 'Nobody' Seymour</t>
  </si>
  <si>
    <t>Johnjohn 757</t>
  </si>
  <si>
    <t>Fully Organic</t>
  </si>
  <si>
    <t>Keith M. Murphy | “ECH-0 3”</t>
  </si>
  <si>
    <t>marshmallow8245</t>
  </si>
  <si>
    <t>Yora Camillio | "Jane Hare"</t>
  </si>
  <si>
    <t>Cl0wnzzvr</t>
  </si>
  <si>
    <t>Kiera Hearn</t>
  </si>
  <si>
    <t>John Nolan (NPC)</t>
  </si>
  <si>
    <t>dabutcherbomb71</t>
  </si>
  <si>
    <t>Adam ‘snow’ Donovan.</t>
  </si>
  <si>
    <t>Fully Organic (other than cosmetic tail and ears)</t>
  </si>
  <si>
    <t>Salem Relan</t>
  </si>
  <si>
    <t>mutt._.3</t>
  </si>
  <si>
    <t>Mira Mercer (DEAD)</t>
  </si>
  <si>
    <t>Vamp</t>
  </si>
  <si>
    <t>Lupii</t>
  </si>
  <si>
    <t>Zeke</t>
  </si>
  <si>
    <t>Logan Philip Chlotna - 'Phantom'</t>
  </si>
  <si>
    <t>notarealerror</t>
  </si>
  <si>
    <t>Jackson</t>
  </si>
  <si>
    <t>Crissy</t>
  </si>
  <si>
    <t xml:space="preserve"> lucypinkwolfy</t>
  </si>
  <si>
    <t>Nova Crow</t>
  </si>
  <si>
    <t>sennabloodrose</t>
  </si>
  <si>
    <t>Jesse "Fawn" Snowmoon</t>
  </si>
  <si>
    <t>jessestagdoe</t>
  </si>
  <si>
    <t xml:space="preserve">Bernadette Babinski </t>
  </si>
  <si>
    <t>xaubun</t>
  </si>
  <si>
    <t>Ace Tengamee</t>
  </si>
  <si>
    <t>lucky_ace.</t>
  </si>
  <si>
    <t>Jacob</t>
  </si>
  <si>
    <t>bobbywyatt26</t>
  </si>
  <si>
    <t>Jared Castorian</t>
  </si>
  <si>
    <t>Zuri Helma</t>
  </si>
  <si>
    <t>camcorder1224</t>
  </si>
  <si>
    <t>Dixie Crow</t>
  </si>
  <si>
    <t>miathefloof</t>
  </si>
  <si>
    <t>Sandy</t>
  </si>
  <si>
    <t>rainincarnate_01</t>
  </si>
  <si>
    <t>Slot/Type</t>
  </si>
  <si>
    <t>Pride</t>
  </si>
  <si>
    <t>VinnyBot&lt;3</t>
  </si>
  <si>
    <t>Dermal Plating - Chitin variant</t>
  </si>
  <si>
    <t>Extremely strong, the toughest possible plating you can get your hands on. Can regenerate damage to armor over time.</t>
  </si>
  <si>
    <t>Integrated Palm Concussive Emitters</t>
  </si>
  <si>
    <t>piece of experimental Zetatech chrome which, if Pride so chooses to place his hand upon a humanoid head, he emits a concussive blast through soundwaves which rattle the skull and cause the individual to become disoriented and concussed.</t>
  </si>
  <si>
    <t>Ice Layer -  Zetatech corpo grade</t>
  </si>
  <si>
    <t>Yasuo Hikami</t>
  </si>
  <si>
    <t>Serpent Scales (Custom)</t>
  </si>
  <si>
    <t>custom integumentary implant, Combines the effects of Active Camo with Subermals</t>
  </si>
  <si>
    <t>Hysteria</t>
  </si>
  <si>
    <t>Ghosted_Stoner</t>
  </si>
  <si>
    <t>Semi-Invisible when activated (50%) Lasts for two minutes before requiring a 30 second recharge.  She covers her scars and real appearance using an always on optical camo</t>
  </si>
  <si>
    <t>Mitsuyo</t>
  </si>
  <si>
    <t>Jeremy Schaefer von der Laden</t>
  </si>
  <si>
    <t>ZaiHex</t>
  </si>
  <si>
    <t>ULYSSES</t>
  </si>
  <si>
    <t>Elira "VIRELLE" Kessane</t>
  </si>
  <si>
    <t>.slaya</t>
  </si>
  <si>
    <t>Neurotonix Pulse Emitter</t>
  </si>
  <si>
    <t>Micro-injector arrays hidden in fingertips can deliver custom biotech nerve agents via touch or scratch – coded to disable, not kill, unless desired.</t>
  </si>
  <si>
    <t>Netrunner Suite (Level 4)</t>
  </si>
  <si>
    <t>Cerebral Partition Node</t>
  </si>
  <si>
    <t>Splits the user’s consciousness into two simultaneous processing streams — one can run nettracing and ICE defense while the other handles negotiation, data review, or social interaction.</t>
  </si>
  <si>
    <t>Gene-Linked Neural Firewall</t>
  </si>
  <si>
    <t>ICE system that only operates when matched to the user’s genetic profile — impossible to use or bypass without their living tissue.</t>
  </si>
  <si>
    <t>Sekhmet Luxor</t>
  </si>
  <si>
    <t>khepri2992/medusa_cascade</t>
  </si>
  <si>
    <t>Sekhmet's Armor - Cyborg body</t>
  </si>
  <si>
    <t>Vaccum sealed Body glove. Insane physical strength and speed. Large retractable claws. Durable enough to get hit by a car, and walk it off. Can leap, vault, and run after prey for days on end.</t>
  </si>
  <si>
    <t>Sekhmet's Armor - A.I. Neural network</t>
  </si>
  <si>
    <t>Allows a KH3PR1 Model AI into her body, it can be removed.  KH3PR1-02 is her designated handler. Significant ice layer, players need to deactivate the AI before they can hack her.</t>
  </si>
  <si>
    <t>Sekhmet’s Armor - Cloaking, and jammer system.</t>
  </si>
  <si>
    <t>Mostly Invis, masks temp, disrupts guidance systems, stops most communication in the area, very obvious shes in the area when equipments start acting faulty. Venting will give her away, the steam is far too noticable.</t>
  </si>
  <si>
    <t>Sekhmet’s Armor - Life support, Power plant, and exterior shell</t>
  </si>
  <si>
    <t>A full body suite designed as both life support, and main implant powering everything. It is her body. The suit cannot be removed. She vents often from both the mouth, and back. The armor is highly resistant to incoming fire.</t>
  </si>
  <si>
    <t>WRATH (Alejandro Cortez)</t>
  </si>
  <si>
    <t>Kaito Yasukawa</t>
  </si>
  <si>
    <t>Lust (Alias: Scarlett)</t>
  </si>
  <si>
    <t>Medusa_cascade</t>
  </si>
  <si>
    <t>Subdermal Occult Sigil Emitters  (Custom)</t>
  </si>
  <si>
    <t>Emit glowing sigils beneath skin for psychological intimidation and occult use.</t>
  </si>
  <si>
    <t>Pheromone Synthesizer (Custom)</t>
  </si>
  <si>
    <t>Greatly enhances seductive influence; makes her extremely convincing and influential.</t>
  </si>
  <si>
    <t>Marcus Harker — “The Iron Executor”</t>
  </si>
  <si>
    <t>Right Arm</t>
  </si>
  <si>
    <t>Fully Cybernetic Arm</t>
  </si>
  <si>
    <t>Dominion OS Priority Uplink</t>
  </si>
  <si>
    <t>Custom Root Access</t>
  </si>
  <si>
    <t>Cranial Vault</t>
  </si>
  <si>
    <t>For classified Data Keys</t>
  </si>
  <si>
    <t>Alex Graves (Alias: Rebecca Knight) (NPC)</t>
  </si>
  <si>
    <t>3L00-T00TH</t>
  </si>
  <si>
    <t>Raelyna</t>
  </si>
  <si>
    <t>Spike “Sweet Luci” Morningstar (Formerly Rick Jackson)</t>
  </si>
  <si>
    <t>Zetatech Berserk</t>
  </si>
  <si>
    <t>When health reaches 25% refreshes stamina, punch harder, move faster, for like 30 seconds it returns me to a 25% "on the brink" kinda positon</t>
  </si>
  <si>
    <t>Harper</t>
  </si>
  <si>
    <t>(Custom Hyperion Model):</t>
  </si>
  <si>
    <t>Full cyberwarfare, backdoor exploitation. Black Lotus–series quad-ASIC neural architecture with Dominion signature firmware.</t>
  </si>
  <si>
    <t>Cranial Dominion ports (custom)</t>
  </si>
  <si>
    <t>for secure uplink.</t>
  </si>
  <si>
    <t xml:space="preserve">Encrypted dead-drop implant </t>
  </si>
  <si>
    <t>Internal data cache</t>
  </si>
  <si>
    <t>Dominion biometric locks</t>
  </si>
  <si>
    <t>executive-tier root token access.</t>
  </si>
  <si>
    <t>Alex Graves (Alias: Drew Camden) (NPC)</t>
  </si>
  <si>
    <t>Dr. Seolfor Aurelius “Fracstle” (NPC)</t>
  </si>
  <si>
    <t>(NON COMBAT/MISSION USAGE)</t>
  </si>
  <si>
    <t>Lucien Mercer</t>
  </si>
  <si>
    <t>Nachi Keisuke</t>
  </si>
  <si>
    <t>Camera Shutdown (Custom)</t>
  </si>
  <si>
    <t>In a small radius around her she automatically shut down cameras</t>
  </si>
  <si>
    <t>Dr. Elian Cascade</t>
  </si>
  <si>
    <t>David 'CTRL' Teach</t>
  </si>
  <si>
    <t>Chameleon Fiber Control Implant</t>
  </si>
  <si>
    <t>Cyberwear that allows for direct on the fly control of CTRL’s full suite of Chameleon Fiber enhanced clothing, hair, and skin implants.</t>
  </si>
  <si>
    <t>Léandre Volcy/Papa Lonbraj</t>
  </si>
  <si>
    <t>Casper Jones</t>
  </si>
  <si>
    <t>Leonidas Jefferson Beauregard the Second “Mr. Gold”</t>
  </si>
  <si>
    <t xml:space="preserve"> chyver</t>
  </si>
  <si>
    <t>Hunter Graves</t>
  </si>
  <si>
    <t>Rebskii</t>
  </si>
  <si>
    <t>Hikari Yasukawa</t>
  </si>
  <si>
    <t>Moonshine</t>
  </si>
  <si>
    <t>tornadoranger</t>
  </si>
  <si>
    <t>Roxxi Monroe (NPC)</t>
  </si>
  <si>
    <t>Super Gorilla Arms</t>
  </si>
  <si>
    <t>Lift heavy shit. Overpower people. Physical domination. But Like, More.</t>
  </si>
  <si>
    <t>Millie Harper, Rane “Sparrow”</t>
  </si>
  <si>
    <t>finch1017</t>
  </si>
  <si>
    <t>Blood Pump</t>
  </si>
  <si>
    <t>A blood pump that ensures that blood is forced throughout the body even under extreme G’s. Its in 77 but it just instantly restores health, I think G-Combat makes better sense?</t>
  </si>
  <si>
    <t>Retinal display</t>
  </si>
  <si>
    <t>When jacked into an aircraft, it relays data over the eyes. ONLY in aircraft, no IKEhud</t>
  </si>
  <si>
    <t>Reinforced veins</t>
  </si>
  <si>
    <t>Her veins and arteries are reinforced by nanoweave to withstand the force of the blood pump</t>
  </si>
  <si>
    <t>Sternmeyer</t>
  </si>
  <si>
    <t>abyssalreaper.</t>
  </si>
  <si>
    <t>Takashi Himura</t>
  </si>
  <si>
    <t>Oda Scott Kojima</t>
  </si>
  <si>
    <t>Khepri</t>
  </si>
  <si>
    <t>Luxor</t>
  </si>
  <si>
    <t>Anubian Heart</t>
  </si>
  <si>
    <t>A one of a kind piece of Biochemical genius. Crafted by the world's finest genewrights. The heart is a super organ designed to feed hyper enriched blood, nanites, and is the epicenter for a round the clock healing suite. —A super organ with nanites that rapidly regenerate wounds of any kind, as well as feed the oxygen, and energy demands of a highly specialized body</t>
  </si>
  <si>
    <t>Cindy</t>
  </si>
  <si>
    <t>Johnathan Armstrong</t>
  </si>
  <si>
    <t>7 CWP Build</t>
  </si>
  <si>
    <t>Arm</t>
  </si>
  <si>
    <t>Face (Misc)</t>
  </si>
  <si>
    <t>“Reinforced titanium canines. Bite pressure recorded at 2200 PSI. Capable of puncturing light armor. Subject sometimes growls involuntarily.”</t>
  </si>
  <si>
    <t>Can’t whistle anymore. Intimidating.</t>
  </si>
  <si>
    <t>Eye</t>
  </si>
  <si>
    <t>Ike HUD, wireframe, night vision, xray.</t>
  </si>
  <si>
    <t>Eyes glow. You sometimes blink asynchronously. Footage can be hijacked.</t>
  </si>
  <si>
    <t>Misc</t>
  </si>
  <si>
    <t>Total CWP</t>
  </si>
  <si>
    <t>8 CWP Build</t>
  </si>
  <si>
    <t>Natural weapons; silent, deadly</t>
  </si>
  <si>
    <t>Cyberteeth (Modded Mandibles)</t>
  </si>
  <si>
    <t>Tear through flesh, break bone</t>
  </si>
  <si>
    <t>Night vision, IR, zoom, facial ID</t>
  </si>
  <si>
    <t>Unfiltered instinct—reacts without delay</t>
  </si>
  <si>
    <t>Directional sound tracking, heartbeat detection</t>
  </si>
  <si>
    <t>Hands</t>
  </si>
  <si>
    <t>9 CWP Build</t>
  </si>
  <si>
    <t>Emits weird static. Lights flicker near you. People get headaches.</t>
  </si>
  <si>
    <t>10 CWP Build</t>
  </si>
  <si>
    <t>12 CWP Build</t>
  </si>
  <si>
    <t>15 CWP Build</t>
  </si>
  <si>
    <t>Total 9 CWP build</t>
  </si>
  <si>
    <t>Total 8 CWP build</t>
  </si>
  <si>
    <t>Total 7 CWP</t>
  </si>
  <si>
    <t>ImplantCost</t>
  </si>
  <si>
    <t>Cost unavailable</t>
  </si>
  <si>
    <t>Archetype</t>
  </si>
  <si>
    <t>Mafia Enforcer (6)</t>
  </si>
  <si>
    <t>1.0</t>
  </si>
  <si>
    <t>Mafia Enforcer (10)</t>
  </si>
  <si>
    <t>Mafia Enforcer (15)</t>
  </si>
  <si>
    <t>Exotic Performer (6)</t>
  </si>
  <si>
    <t>Exotic Performer (10)</t>
  </si>
  <si>
    <t>Exotic Performer (15)</t>
  </si>
  <si>
    <t>Corpo (6)</t>
  </si>
  <si>
    <t>Corpo (10)</t>
  </si>
  <si>
    <t>Corpo (15)</t>
  </si>
  <si>
    <t>Nomad (6)</t>
  </si>
  <si>
    <t>Nomad (10)</t>
  </si>
  <si>
    <t>Nomad (15)</t>
  </si>
  <si>
    <t>Netrunner (6)</t>
  </si>
  <si>
    <t>Netrunner (10)</t>
  </si>
  <si>
    <t>Netrunner (15)</t>
  </si>
  <si>
    <t>Assassin (6)</t>
  </si>
  <si>
    <t>Assassin (10)</t>
  </si>
  <si>
    <t>Assassin (15)</t>
  </si>
  <si>
    <t>RipperDoc (6)</t>
  </si>
  <si>
    <t>RipperDoc (10)</t>
  </si>
  <si>
    <t>RipperDoc (15)</t>
  </si>
  <si>
    <t>Back Clinic Doc (6)</t>
  </si>
  <si>
    <t>Back Clinic Doc (10)</t>
  </si>
  <si>
    <t>Back Clinic Doc (15)</t>
  </si>
  <si>
    <t>JoyToy (6)</t>
  </si>
  <si>
    <t>JoyToy (10)</t>
  </si>
  <si>
    <t>JoyToy (15)</t>
  </si>
</sst>
</file>

<file path=xl/styles.xml><?xml version="1.0" encoding="utf-8"?>
<styleSheet xmlns="http://schemas.openxmlformats.org/spreadsheetml/2006/main" xmlns:x14ac="http://schemas.microsoft.com/office/spreadsheetml/2009/9/ac" xmlns:mc="http://schemas.openxmlformats.org/markup-compatibility/2006">
  <fonts count="55">
    <font>
      <sz val="10.0"/>
      <color rgb="FF000000"/>
      <name val="Arial"/>
      <scheme val="minor"/>
    </font>
    <font>
      <color theme="1"/>
      <name val="Arial"/>
    </font>
    <font>
      <color theme="1"/>
      <name val="Arial"/>
      <scheme val="minor"/>
    </font>
    <font>
      <b/>
      <color theme="1"/>
      <name val="Arial"/>
      <scheme val="minor"/>
    </font>
    <font>
      <b/>
      <sz val="14.0"/>
      <color theme="1"/>
      <name val="Arial"/>
      <scheme val="minor"/>
    </font>
    <font/>
    <font>
      <b/>
      <sz val="16.0"/>
      <color theme="1"/>
      <name val="Arial"/>
      <scheme val="minor"/>
    </font>
    <font>
      <b/>
      <i/>
      <sz val="15.0"/>
      <color theme="1"/>
      <name val="Arial"/>
      <scheme val="minor"/>
    </font>
    <font>
      <b/>
      <sz val="11.0"/>
      <color theme="1"/>
      <name val="Arial"/>
      <scheme val="minor"/>
    </font>
    <font>
      <b/>
      <sz val="17.0"/>
      <color theme="1"/>
      <name val="Arial"/>
    </font>
    <font>
      <b/>
      <sz val="22.0"/>
      <color theme="1"/>
      <name val="Arial"/>
    </font>
    <font>
      <b/>
      <sz val="12.0"/>
      <color theme="1"/>
      <name val="Arial"/>
      <scheme val="minor"/>
    </font>
    <font>
      <b/>
      <sz val="17.0"/>
      <color theme="1"/>
      <name val="Arial"/>
      <scheme val="minor"/>
    </font>
    <font>
      <b/>
      <sz val="10.0"/>
      <color theme="1"/>
      <name val="Arial"/>
      <scheme val="minor"/>
    </font>
    <font>
      <b/>
      <sz val="18.0"/>
      <color theme="1"/>
      <name val="Arial"/>
    </font>
    <font>
      <sz val="17.0"/>
      <color theme="1"/>
      <name val="Gg sans"/>
    </font>
    <font>
      <sz val="22.0"/>
      <color theme="1"/>
      <name val="Arial"/>
    </font>
    <font>
      <sz val="12.0"/>
      <color theme="1"/>
      <name val="Arial"/>
    </font>
    <font>
      <sz val="10.0"/>
      <color theme="1"/>
      <name val="Arial"/>
    </font>
    <font>
      <sz val="11.0"/>
      <color theme="1"/>
      <name val="Calibri"/>
    </font>
    <font>
      <sz val="12.0"/>
      <color theme="1"/>
      <name val="Gg sans"/>
    </font>
    <font>
      <sz val="17.0"/>
      <color theme="1"/>
      <name val="Arial"/>
    </font>
    <font>
      <sz val="11.0"/>
      <color theme="1"/>
      <name val="Arial"/>
    </font>
    <font>
      <b/>
      <sz val="17.0"/>
      <color rgb="FFFF9900"/>
      <name val="Arial"/>
    </font>
    <font>
      <u/>
      <sz val="17.0"/>
      <color theme="1"/>
      <name val="Arial"/>
    </font>
    <font>
      <sz val="10.0"/>
      <color theme="1"/>
      <name val="Gg sans"/>
    </font>
    <font>
      <color theme="1"/>
      <name val="Gg sans"/>
    </font>
    <font>
      <sz val="17.0"/>
      <color theme="1"/>
      <name val="Inherit"/>
    </font>
    <font>
      <sz val="17.0"/>
      <color theme="1"/>
      <name val="&quot;gg sans&quot;"/>
    </font>
    <font>
      <sz val="17.0"/>
      <color theme="1"/>
      <name val="Gg mono"/>
    </font>
    <font>
      <u/>
      <sz val="17.0"/>
      <color theme="1"/>
      <name val="Arial"/>
    </font>
    <font>
      <sz val="12.0"/>
      <color theme="1"/>
      <name val="Arial"/>
      <scheme val="minor"/>
    </font>
    <font>
      <b/>
      <sz val="17.0"/>
      <color rgb="FFFF0000"/>
      <name val="Arial"/>
    </font>
    <font>
      <sz val="16.0"/>
      <color theme="1"/>
      <name val="Arial"/>
    </font>
    <font>
      <sz val="18.0"/>
      <color theme="1"/>
      <name val="Arial"/>
    </font>
    <font>
      <sz val="17.0"/>
      <color theme="1"/>
      <name val="Arial"/>
      <scheme val="minor"/>
    </font>
    <font>
      <b/>
      <i/>
      <sz val="17.0"/>
      <color rgb="FFFF0000"/>
      <name val="Arial"/>
    </font>
    <font>
      <sz val="10.0"/>
      <color theme="1"/>
      <name val="&quot;gg sans&quot;"/>
    </font>
    <font>
      <sz val="22.0"/>
      <color theme="1"/>
      <name val="Arial"/>
      <scheme val="minor"/>
    </font>
    <font>
      <sz val="10.0"/>
      <color theme="1"/>
      <name val="Arial"/>
      <scheme val="minor"/>
    </font>
    <font>
      <b/>
      <sz val="18.0"/>
      <color theme="1"/>
      <name val="Arial"/>
      <scheme val="minor"/>
    </font>
    <font>
      <b/>
      <sz val="11.0"/>
      <color theme="1"/>
      <name val="Calibri"/>
    </font>
    <font>
      <sz val="18.0"/>
      <color theme="1"/>
      <name val="Arial"/>
      <scheme val="minor"/>
    </font>
    <font>
      <sz val="12.0"/>
      <color theme="1"/>
      <name val="&quot;gg sans&quot;"/>
    </font>
    <font>
      <sz val="16.0"/>
      <color theme="1"/>
      <name val="&quot;gg sans&quot;"/>
    </font>
    <font>
      <sz val="10.0"/>
      <color theme="1"/>
      <name val="&quot;gg mono&quot;"/>
    </font>
    <font>
      <sz val="17.0"/>
      <color rgb="FF000000"/>
      <name val="Arial"/>
    </font>
    <font>
      <b/>
      <sz val="19.0"/>
      <color rgb="FFFF9900"/>
      <name val="Arial"/>
    </font>
    <font>
      <sz val="10.0"/>
      <color rgb="FFFF9900"/>
      <name val="Arial"/>
    </font>
    <font>
      <sz val="11.0"/>
      <color rgb="FFFF9900"/>
      <name val="Calibri"/>
    </font>
    <font>
      <sz val="17.0"/>
      <color rgb="FF000000"/>
      <name val="Arial"/>
      <scheme val="minor"/>
    </font>
    <font>
      <sz val="10.0"/>
      <color rgb="FF000000"/>
      <name val="Arial"/>
    </font>
    <font>
      <sz val="11.0"/>
      <color rgb="FF000000"/>
      <name val="Arial"/>
    </font>
    <font>
      <b/>
      <sz val="19.0"/>
      <color rgb="FFFF0000"/>
      <name val="Arial"/>
      <scheme val="minor"/>
    </font>
    <font>
      <b/>
      <i/>
      <sz val="24.0"/>
      <color rgb="FFFF0000"/>
      <name val="Arial"/>
    </font>
  </fonts>
  <fills count="40">
    <fill>
      <patternFill patternType="none"/>
    </fill>
    <fill>
      <patternFill patternType="lightGray"/>
    </fill>
    <fill>
      <patternFill patternType="solid">
        <fgColor rgb="FFD0E0E3"/>
        <bgColor rgb="FFD0E0E3"/>
      </patternFill>
    </fill>
    <fill>
      <patternFill patternType="solid">
        <fgColor rgb="FFCFE2F3"/>
        <bgColor rgb="FFCFE2F3"/>
      </patternFill>
    </fill>
    <fill>
      <patternFill patternType="solid">
        <fgColor rgb="FFC9DAF8"/>
        <bgColor rgb="FFC9DAF8"/>
      </patternFill>
    </fill>
    <fill>
      <patternFill patternType="solid">
        <fgColor rgb="FFEAD1DC"/>
        <bgColor rgb="FFEAD1DC"/>
      </patternFill>
    </fill>
    <fill>
      <patternFill patternType="solid">
        <fgColor rgb="FFE6B8AF"/>
        <bgColor rgb="FFE6B8AF"/>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rgb="FFD9D9D9"/>
        <bgColor rgb="FFD9D9D9"/>
      </patternFill>
    </fill>
    <fill>
      <patternFill patternType="solid">
        <fgColor rgb="FFCC0000"/>
        <bgColor rgb="FFCC0000"/>
      </patternFill>
    </fill>
    <fill>
      <patternFill patternType="solid">
        <fgColor rgb="FFF4FFF0"/>
        <bgColor rgb="FFF4FFF0"/>
      </patternFill>
    </fill>
    <fill>
      <patternFill patternType="solid">
        <fgColor rgb="FFE3EFF1"/>
        <bgColor rgb="FFE3EFF1"/>
      </patternFill>
    </fill>
    <fill>
      <patternFill patternType="solid">
        <fgColor rgb="FFE0EBFE"/>
        <bgColor rgb="FFE0EBFE"/>
      </patternFill>
    </fill>
    <fill>
      <patternFill patternType="solid">
        <fgColor rgb="FFFDECDA"/>
        <bgColor rgb="FFFDECDA"/>
      </patternFill>
    </fill>
    <fill>
      <patternFill patternType="solid">
        <fgColor rgb="FFE4F020"/>
        <bgColor rgb="FFE4F020"/>
      </patternFill>
    </fill>
    <fill>
      <patternFill patternType="solid">
        <fgColor rgb="FFFFE0DA"/>
        <bgColor rgb="FFFFE0DA"/>
      </patternFill>
    </fill>
    <fill>
      <patternFill patternType="solid">
        <fgColor rgb="FFF3EEFD"/>
        <bgColor rgb="FFF3EEFD"/>
      </patternFill>
    </fill>
    <fill>
      <patternFill patternType="solid">
        <fgColor rgb="FFF3FDFF"/>
        <bgColor rgb="FFF3FDFF"/>
      </patternFill>
    </fill>
    <fill>
      <patternFill patternType="solid">
        <fgColor rgb="FFFFF2F2"/>
        <bgColor rgb="FFFFF2F2"/>
      </patternFill>
    </fill>
    <fill>
      <patternFill patternType="solid">
        <fgColor rgb="FFD73300"/>
        <bgColor rgb="FFD73300"/>
      </patternFill>
    </fill>
    <fill>
      <patternFill patternType="solid">
        <fgColor rgb="FFF2FEEE"/>
        <bgColor rgb="FFF2FEEE"/>
      </patternFill>
    </fill>
    <fill>
      <patternFill patternType="solid">
        <fgColor rgb="FFF5CD00"/>
        <bgColor rgb="FFF5CD00"/>
      </patternFill>
    </fill>
    <fill>
      <patternFill patternType="solid">
        <fgColor rgb="FFFF9900"/>
        <bgColor rgb="FFFF9900"/>
      </patternFill>
    </fill>
    <fill>
      <patternFill patternType="solid">
        <fgColor rgb="FFE16600"/>
        <bgColor rgb="FFE16600"/>
      </patternFill>
    </fill>
    <fill>
      <patternFill patternType="solid">
        <fgColor rgb="FFF6EBF0"/>
        <bgColor rgb="FFF6EBF0"/>
      </patternFill>
    </fill>
    <fill>
      <patternFill patternType="solid">
        <fgColor rgb="FFDCE5ED"/>
        <bgColor rgb="FFDCE5ED"/>
      </patternFill>
    </fill>
    <fill>
      <patternFill patternType="solid">
        <fgColor rgb="FFFFFF00"/>
        <bgColor rgb="FFFFFF00"/>
      </patternFill>
    </fill>
    <fill>
      <patternFill patternType="solid">
        <fgColor rgb="FFFF0000"/>
        <bgColor rgb="FFFF0000"/>
      </patternFill>
    </fill>
    <fill>
      <patternFill patternType="solid">
        <fgColor rgb="FFEB9A00"/>
        <bgColor rgb="FFEB9A00"/>
      </patternFill>
    </fill>
    <fill>
      <patternFill patternType="solid">
        <fgColor rgb="FF93C47D"/>
        <bgColor rgb="FF93C47D"/>
      </patternFill>
    </fill>
    <fill>
      <patternFill patternType="solid">
        <fgColor rgb="FFAED25E"/>
        <bgColor rgb="FFAED25E"/>
      </patternFill>
    </fill>
    <fill>
      <patternFill patternType="solid">
        <fgColor rgb="FFC9E13F"/>
        <bgColor rgb="FFC9E13F"/>
      </patternFill>
    </fill>
    <fill>
      <patternFill patternType="solid">
        <fgColor rgb="FFE06666"/>
        <bgColor rgb="FFE06666"/>
      </patternFill>
    </fill>
    <fill>
      <patternFill patternType="solid">
        <fgColor rgb="FF00FF00"/>
        <bgColor rgb="FF00FF00"/>
      </patternFill>
    </fill>
    <fill>
      <patternFill patternType="solid">
        <fgColor rgb="FF980000"/>
        <bgColor rgb="FF980000"/>
      </patternFill>
    </fill>
  </fills>
  <borders count="4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ck">
        <color rgb="FF000000"/>
      </top>
    </border>
    <border>
      <right style="medium">
        <color rgb="FF000000"/>
      </right>
      <top style="thick">
        <color rgb="FF000000"/>
      </top>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F1C232"/>
      </left>
      <top style="thick">
        <color rgb="FFF1C232"/>
      </top>
    </border>
    <border>
      <top style="thick">
        <color rgb="FFF1C232"/>
      </top>
    </border>
    <border>
      <right style="thick">
        <color rgb="FFF1C232"/>
      </right>
      <top style="thick">
        <color rgb="FFF1C232"/>
      </top>
    </border>
    <border>
      <left style="thick">
        <color rgb="FFF1C232"/>
      </left>
    </border>
    <border>
      <right style="thick">
        <color rgb="FFF1C232"/>
      </right>
    </border>
    <border>
      <left style="thick">
        <color rgb="FFF1C232"/>
      </left>
      <bottom style="thick">
        <color rgb="FFF1C232"/>
      </bottom>
    </border>
    <border>
      <bottom style="thick">
        <color rgb="FFF1C232"/>
      </bottom>
    </border>
    <border>
      <right style="thick">
        <color rgb="FFF1C232"/>
      </right>
      <bottom style="thick">
        <color rgb="FFF1C232"/>
      </bottom>
    </border>
    <border>
      <left style="thin">
        <color rgb="FF000000"/>
      </left>
      <right style="thin">
        <color rgb="FF000000"/>
      </right>
      <top style="thin">
        <color rgb="FF000000"/>
      </top>
      <bottom style="thin">
        <color rgb="FF000000"/>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double">
        <color rgb="FF000000"/>
      </left>
      <top style="thick">
        <color rgb="FF000000"/>
      </top>
    </border>
    <border>
      <left style="double">
        <color rgb="FF000000"/>
      </left>
    </border>
    <border>
      <left style="double">
        <color rgb="FF000000"/>
      </left>
      <bottom style="double">
        <color rgb="FF000000"/>
      </bottom>
    </border>
    <border>
      <bottom style="double">
        <color rgb="FF000000"/>
      </bottom>
    </border>
    <border>
      <right style="thick">
        <color rgb="FF000000"/>
      </right>
      <bottom style="double">
        <color rgb="FF000000"/>
      </bottom>
    </border>
    <border>
      <left style="thin">
        <color rgb="FF000000"/>
      </left>
      <top style="thin">
        <color rgb="FF000000"/>
      </top>
    </border>
    <border>
      <left style="thin">
        <color rgb="FF000000"/>
      </left>
    </border>
    <border>
      <left style="thin">
        <color rgb="FF000000"/>
      </lef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95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right" readingOrder="0" vertical="bottom"/>
    </xf>
    <xf borderId="0" fillId="0" fontId="2" numFmtId="0" xfId="0" applyAlignment="1" applyFont="1">
      <alignment readingOrder="0"/>
    </xf>
    <xf borderId="1" fillId="2" fontId="1" numFmtId="0" xfId="0" applyAlignment="1" applyBorder="1" applyFill="1" applyFont="1">
      <alignment vertical="bottom"/>
    </xf>
    <xf borderId="2" fillId="2" fontId="1" numFmtId="0" xfId="0" applyAlignment="1" applyBorder="1" applyFont="1">
      <alignment horizontal="center" vertical="bottom"/>
    </xf>
    <xf borderId="2" fillId="2" fontId="2" numFmtId="0" xfId="0" applyAlignment="1" applyBorder="1" applyFont="1">
      <alignment readingOrder="0"/>
    </xf>
    <xf borderId="2" fillId="2" fontId="1" numFmtId="0" xfId="0" applyAlignment="1" applyBorder="1" applyFont="1">
      <alignment vertical="bottom"/>
    </xf>
    <xf borderId="3" fillId="2" fontId="2" numFmtId="0" xfId="0" applyBorder="1" applyFont="1"/>
    <xf borderId="4" fillId="2" fontId="1" numFmtId="0" xfId="0" applyAlignment="1" applyBorder="1" applyFont="1">
      <alignment vertical="bottom"/>
    </xf>
    <xf borderId="0" fillId="2" fontId="1" numFmtId="0" xfId="0" applyAlignment="1" applyFont="1">
      <alignment horizontal="center" vertical="bottom"/>
    </xf>
    <xf borderId="0" fillId="2" fontId="2" numFmtId="0" xfId="0" applyAlignment="1" applyFont="1">
      <alignment readingOrder="0"/>
    </xf>
    <xf borderId="0" fillId="2" fontId="1" numFmtId="0" xfId="0" applyAlignment="1" applyFont="1">
      <alignment readingOrder="0" vertical="bottom"/>
    </xf>
    <xf borderId="5" fillId="2" fontId="2" numFmtId="0" xfId="0" applyBorder="1" applyFont="1"/>
    <xf borderId="0" fillId="2" fontId="1" numFmtId="0" xfId="0" applyAlignment="1" applyFont="1">
      <alignment vertical="bottom"/>
    </xf>
    <xf borderId="1" fillId="3" fontId="1" numFmtId="0" xfId="0" applyAlignment="1" applyBorder="1" applyFill="1" applyFont="1">
      <alignment vertical="bottom"/>
    </xf>
    <xf borderId="2" fillId="3" fontId="1" numFmtId="0" xfId="0" applyAlignment="1" applyBorder="1" applyFont="1">
      <alignment horizontal="center" readingOrder="0" vertical="bottom"/>
    </xf>
    <xf borderId="2" fillId="3" fontId="2" numFmtId="0" xfId="0" applyAlignment="1" applyBorder="1" applyFont="1">
      <alignment readingOrder="0"/>
    </xf>
    <xf borderId="2" fillId="3" fontId="1" numFmtId="0" xfId="0" applyAlignment="1" applyBorder="1" applyFont="1">
      <alignment vertical="bottom"/>
    </xf>
    <xf borderId="2" fillId="4" fontId="2" numFmtId="0" xfId="0" applyAlignment="1" applyBorder="1" applyFill="1" applyFont="1">
      <alignment readingOrder="0"/>
    </xf>
    <xf borderId="3" fillId="4" fontId="2" numFmtId="0" xfId="0" applyBorder="1" applyFont="1"/>
    <xf borderId="6" fillId="3" fontId="1" numFmtId="0" xfId="0" applyAlignment="1" applyBorder="1" applyFont="1">
      <alignment vertical="bottom"/>
    </xf>
    <xf borderId="7" fillId="3" fontId="1" numFmtId="0" xfId="0" applyAlignment="1" applyBorder="1" applyFont="1">
      <alignment horizontal="center" vertical="bottom"/>
    </xf>
    <xf borderId="7" fillId="3" fontId="2" numFmtId="0" xfId="0" applyAlignment="1" applyBorder="1" applyFont="1">
      <alignment readingOrder="0"/>
    </xf>
    <xf borderId="7" fillId="3" fontId="1" numFmtId="0" xfId="0" applyAlignment="1" applyBorder="1" applyFont="1">
      <alignment vertical="bottom"/>
    </xf>
    <xf borderId="7" fillId="4" fontId="2" numFmtId="0" xfId="0" applyAlignment="1" applyBorder="1" applyFont="1">
      <alignment readingOrder="0"/>
    </xf>
    <xf borderId="8" fillId="4" fontId="2" numFmtId="0" xfId="0" applyBorder="1" applyFont="1"/>
    <xf borderId="1" fillId="5" fontId="1" numFmtId="0" xfId="0" applyAlignment="1" applyBorder="1" applyFill="1" applyFont="1">
      <alignment vertical="bottom"/>
    </xf>
    <xf borderId="2" fillId="5" fontId="1" numFmtId="0" xfId="0" applyAlignment="1" applyBorder="1" applyFont="1">
      <alignment horizontal="center" vertical="bottom"/>
    </xf>
    <xf borderId="2" fillId="5" fontId="2" numFmtId="0" xfId="0" applyAlignment="1" applyBorder="1" applyFont="1">
      <alignment readingOrder="0"/>
    </xf>
    <xf borderId="2" fillId="5" fontId="1" numFmtId="0" xfId="0" applyAlignment="1" applyBorder="1" applyFont="1">
      <alignment vertical="bottom"/>
    </xf>
    <xf borderId="3" fillId="5" fontId="2" numFmtId="0" xfId="0" applyBorder="1" applyFont="1"/>
    <xf borderId="4" fillId="5" fontId="1" numFmtId="0" xfId="0" applyAlignment="1" applyBorder="1" applyFont="1">
      <alignment vertical="bottom"/>
    </xf>
    <xf borderId="0" fillId="5" fontId="1" numFmtId="0" xfId="0" applyAlignment="1" applyFont="1">
      <alignment horizontal="center" vertical="bottom"/>
    </xf>
    <xf borderId="0" fillId="5" fontId="2" numFmtId="0" xfId="0" applyAlignment="1" applyFont="1">
      <alignment readingOrder="0"/>
    </xf>
    <xf borderId="0" fillId="5" fontId="1" numFmtId="0" xfId="0" applyAlignment="1" applyFont="1">
      <alignment readingOrder="0" vertical="bottom"/>
    </xf>
    <xf borderId="0" fillId="5" fontId="1" numFmtId="0" xfId="0" applyAlignment="1" applyFont="1">
      <alignment vertical="bottom"/>
    </xf>
    <xf borderId="5" fillId="5" fontId="2" numFmtId="0" xfId="0" applyBorder="1" applyFont="1"/>
    <xf borderId="0" fillId="0" fontId="3" numFmtId="0" xfId="0" applyAlignment="1" applyFont="1">
      <alignment horizontal="center" readingOrder="0"/>
    </xf>
    <xf borderId="1" fillId="6" fontId="1" numFmtId="0" xfId="0" applyAlignment="1" applyBorder="1" applyFill="1" applyFont="1">
      <alignment vertical="bottom"/>
    </xf>
    <xf borderId="2" fillId="6" fontId="1" numFmtId="0" xfId="0" applyAlignment="1" applyBorder="1" applyFont="1">
      <alignment horizontal="center" vertical="bottom"/>
    </xf>
    <xf borderId="2" fillId="6" fontId="2" numFmtId="0" xfId="0" applyAlignment="1" applyBorder="1" applyFont="1">
      <alignment readingOrder="0"/>
    </xf>
    <xf borderId="2" fillId="6" fontId="1" numFmtId="0" xfId="0" applyAlignment="1" applyBorder="1" applyFont="1">
      <alignment vertical="bottom"/>
    </xf>
    <xf borderId="3" fillId="6" fontId="2" numFmtId="0" xfId="0" applyBorder="1" applyFont="1"/>
    <xf borderId="4" fillId="6" fontId="1" numFmtId="0" xfId="0" applyAlignment="1" applyBorder="1" applyFont="1">
      <alignment vertical="bottom"/>
    </xf>
    <xf borderId="0" fillId="6" fontId="1" numFmtId="0" xfId="0" applyAlignment="1" applyFont="1">
      <alignment horizontal="center" vertical="bottom"/>
    </xf>
    <xf borderId="0" fillId="6" fontId="2" numFmtId="0" xfId="0" applyAlignment="1" applyFont="1">
      <alignment readingOrder="0"/>
    </xf>
    <xf borderId="0" fillId="6" fontId="1" numFmtId="0" xfId="0" applyAlignment="1" applyFont="1">
      <alignment vertical="bottom"/>
    </xf>
    <xf borderId="5" fillId="6" fontId="2" numFmtId="0" xfId="0" applyBorder="1" applyFont="1"/>
    <xf borderId="4" fillId="6" fontId="1" numFmtId="0" xfId="0" applyAlignment="1" applyBorder="1" applyFont="1">
      <alignment vertical="bottom"/>
    </xf>
    <xf borderId="0" fillId="6" fontId="1" numFmtId="0" xfId="0" applyAlignment="1" applyFont="1">
      <alignment horizontal="center" vertical="bottom"/>
    </xf>
    <xf borderId="0" fillId="6" fontId="1" numFmtId="0" xfId="0" applyAlignment="1" applyFont="1">
      <alignment vertical="bottom"/>
    </xf>
    <xf borderId="6" fillId="6" fontId="1" numFmtId="0" xfId="0" applyAlignment="1" applyBorder="1" applyFont="1">
      <alignment vertical="bottom"/>
    </xf>
    <xf borderId="0" fillId="6" fontId="2" numFmtId="0" xfId="0" applyFont="1"/>
    <xf borderId="1" fillId="7" fontId="1" numFmtId="0" xfId="0" applyAlignment="1" applyBorder="1" applyFill="1" applyFont="1">
      <alignment vertical="bottom"/>
    </xf>
    <xf borderId="9" fillId="7" fontId="1" numFmtId="0" xfId="0" applyAlignment="1" applyBorder="1" applyFont="1">
      <alignment horizontal="center" vertical="bottom"/>
    </xf>
    <xf borderId="9" fillId="7" fontId="2" numFmtId="0" xfId="0" applyAlignment="1" applyBorder="1" applyFont="1">
      <alignment readingOrder="0"/>
    </xf>
    <xf borderId="9" fillId="7" fontId="1" numFmtId="0" xfId="0" applyAlignment="1" applyBorder="1" applyFont="1">
      <alignment readingOrder="0" vertical="bottom"/>
    </xf>
    <xf borderId="9" fillId="7" fontId="1" numFmtId="0" xfId="0" applyAlignment="1" applyBorder="1" applyFont="1">
      <alignment vertical="bottom"/>
    </xf>
    <xf borderId="10" fillId="7" fontId="2" numFmtId="0" xfId="0" applyBorder="1" applyFont="1"/>
    <xf borderId="4" fillId="7" fontId="1" numFmtId="0" xfId="0" applyAlignment="1" applyBorder="1" applyFont="1">
      <alignment readingOrder="0" vertical="bottom"/>
    </xf>
    <xf borderId="0" fillId="7" fontId="1" numFmtId="0" xfId="0" applyAlignment="1" applyFont="1">
      <alignment horizontal="center" readingOrder="0" vertical="bottom"/>
    </xf>
    <xf borderId="0" fillId="7" fontId="2" numFmtId="0" xfId="0" applyAlignment="1" applyFont="1">
      <alignment readingOrder="0"/>
    </xf>
    <xf borderId="0" fillId="7" fontId="1" numFmtId="0" xfId="0" applyAlignment="1" applyFont="1">
      <alignment readingOrder="0" vertical="bottom"/>
    </xf>
    <xf borderId="0" fillId="7" fontId="1" numFmtId="0" xfId="0" applyAlignment="1" applyFont="1">
      <alignment vertical="bottom"/>
    </xf>
    <xf borderId="5" fillId="7" fontId="2" numFmtId="0" xfId="0" applyBorder="1" applyFont="1"/>
    <xf borderId="4" fillId="7" fontId="1" numFmtId="0" xfId="0" applyAlignment="1" applyBorder="1" applyFont="1">
      <alignment vertical="bottom"/>
    </xf>
    <xf borderId="0" fillId="7" fontId="1" numFmtId="0" xfId="0" applyAlignment="1" applyFont="1">
      <alignment horizontal="center" vertical="bottom"/>
    </xf>
    <xf borderId="4" fillId="7" fontId="1" numFmtId="0" xfId="0" applyAlignment="1" applyBorder="1" applyFont="1">
      <alignment vertical="bottom"/>
    </xf>
    <xf borderId="0" fillId="7" fontId="1" numFmtId="0" xfId="0" applyAlignment="1" applyFont="1">
      <alignment horizontal="center" vertical="bottom"/>
    </xf>
    <xf borderId="0" fillId="7" fontId="1" numFmtId="0" xfId="0" applyAlignment="1" applyFont="1">
      <alignment vertical="bottom"/>
    </xf>
    <xf borderId="6" fillId="7" fontId="1" numFmtId="0" xfId="0" applyAlignment="1" applyBorder="1" applyFont="1">
      <alignment vertical="bottom"/>
    </xf>
    <xf borderId="7" fillId="7" fontId="1" numFmtId="0" xfId="0" applyAlignment="1" applyBorder="1" applyFont="1">
      <alignment horizontal="center" readingOrder="0" vertical="bottom"/>
    </xf>
    <xf borderId="7" fillId="7" fontId="2" numFmtId="0" xfId="0" applyAlignment="1" applyBorder="1" applyFont="1">
      <alignment readingOrder="0"/>
    </xf>
    <xf borderId="7" fillId="7" fontId="1" numFmtId="0" xfId="0" applyAlignment="1" applyBorder="1" applyFont="1">
      <alignment vertical="bottom"/>
    </xf>
    <xf borderId="8" fillId="7" fontId="2" numFmtId="0" xfId="0" applyBorder="1" applyFont="1"/>
    <xf borderId="1" fillId="8" fontId="1" numFmtId="0" xfId="0" applyAlignment="1" applyBorder="1" applyFill="1" applyFont="1">
      <alignment vertical="bottom"/>
    </xf>
    <xf borderId="2" fillId="8" fontId="1" numFmtId="0" xfId="0" applyAlignment="1" applyBorder="1" applyFont="1">
      <alignment horizontal="center" vertical="bottom"/>
    </xf>
    <xf borderId="2" fillId="8" fontId="2" numFmtId="0" xfId="0" applyAlignment="1" applyBorder="1" applyFont="1">
      <alignment readingOrder="0"/>
    </xf>
    <xf borderId="2" fillId="8" fontId="1" numFmtId="0" xfId="0" applyAlignment="1" applyBorder="1" applyFont="1">
      <alignment vertical="bottom"/>
    </xf>
    <xf borderId="3" fillId="8" fontId="2" numFmtId="0" xfId="0" applyBorder="1" applyFont="1"/>
    <xf borderId="6" fillId="8" fontId="1" numFmtId="0" xfId="0" applyAlignment="1" applyBorder="1" applyFont="1">
      <alignment vertical="bottom"/>
    </xf>
    <xf borderId="7" fillId="8" fontId="1" numFmtId="0" xfId="0" applyAlignment="1" applyBorder="1" applyFont="1">
      <alignment horizontal="center" vertical="bottom"/>
    </xf>
    <xf borderId="7" fillId="8" fontId="2" numFmtId="0" xfId="0" applyAlignment="1" applyBorder="1" applyFont="1">
      <alignment readingOrder="0"/>
    </xf>
    <xf borderId="7" fillId="8" fontId="1" numFmtId="0" xfId="0" applyAlignment="1" applyBorder="1" applyFont="1">
      <alignment vertical="bottom"/>
    </xf>
    <xf borderId="7" fillId="8" fontId="2" numFmtId="0" xfId="0" applyBorder="1" applyFont="1"/>
    <xf borderId="8" fillId="8" fontId="2" numFmtId="0" xfId="0" applyBorder="1" applyFont="1"/>
    <xf borderId="1" fillId="4" fontId="1" numFmtId="0" xfId="0" applyAlignment="1" applyBorder="1" applyFont="1">
      <alignment vertical="bottom"/>
    </xf>
    <xf borderId="2" fillId="4" fontId="1" numFmtId="0" xfId="0" applyAlignment="1" applyBorder="1" applyFont="1">
      <alignment horizontal="center" vertical="bottom"/>
    </xf>
    <xf borderId="2" fillId="4" fontId="1" numFmtId="0" xfId="0" applyAlignment="1" applyBorder="1" applyFont="1">
      <alignment vertical="bottom"/>
    </xf>
    <xf borderId="2" fillId="4" fontId="2" numFmtId="0" xfId="0" applyBorder="1" applyFont="1"/>
    <xf borderId="0" fillId="4" fontId="1" numFmtId="0" xfId="0" applyAlignment="1" applyFont="1">
      <alignment vertical="bottom"/>
    </xf>
    <xf borderId="0" fillId="4" fontId="1" numFmtId="0" xfId="0" applyAlignment="1" applyFont="1">
      <alignment horizontal="center" vertical="bottom"/>
    </xf>
    <xf borderId="0" fillId="4" fontId="2" numFmtId="0" xfId="0" applyAlignment="1" applyFont="1">
      <alignment readingOrder="0"/>
    </xf>
    <xf borderId="0" fillId="4" fontId="1" numFmtId="0" xfId="0" applyAlignment="1" applyFont="1">
      <alignment readingOrder="0" vertical="bottom"/>
    </xf>
    <xf borderId="0" fillId="4" fontId="2" numFmtId="0" xfId="0" applyFont="1"/>
    <xf borderId="4" fillId="4" fontId="1" numFmtId="0" xfId="0" applyAlignment="1" applyBorder="1" applyFont="1">
      <alignment vertical="bottom"/>
    </xf>
    <xf borderId="5" fillId="4" fontId="2" numFmtId="0" xfId="0" applyBorder="1" applyFont="1"/>
    <xf borderId="0" fillId="4" fontId="1" numFmtId="0" xfId="0" applyAlignment="1" applyFont="1">
      <alignment horizontal="center" readingOrder="0" vertical="bottom"/>
    </xf>
    <xf borderId="4" fillId="4" fontId="1" numFmtId="0" xfId="0" applyAlignment="1" applyBorder="1" applyFont="1">
      <alignment vertical="bottom"/>
    </xf>
    <xf borderId="0" fillId="4" fontId="1" numFmtId="0" xfId="0" applyAlignment="1" applyFont="1">
      <alignment horizontal="center" vertical="bottom"/>
    </xf>
    <xf borderId="0" fillId="4" fontId="1" numFmtId="0" xfId="0" applyAlignment="1" applyFont="1">
      <alignment vertical="bottom"/>
    </xf>
    <xf borderId="4" fillId="4" fontId="1" numFmtId="0" xfId="0" applyAlignment="1" applyBorder="1" applyFont="1">
      <alignment readingOrder="0" vertical="bottom"/>
    </xf>
    <xf borderId="6" fillId="4" fontId="1" numFmtId="0" xfId="0" applyAlignment="1" applyBorder="1" applyFont="1">
      <alignment vertical="bottom"/>
    </xf>
    <xf borderId="7" fillId="4" fontId="1" numFmtId="0" xfId="0" applyAlignment="1" applyBorder="1" applyFont="1">
      <alignment horizontal="center" vertical="bottom"/>
    </xf>
    <xf borderId="7" fillId="4" fontId="1" numFmtId="0" xfId="0" applyAlignment="1" applyBorder="1" applyFont="1">
      <alignment vertical="bottom"/>
    </xf>
    <xf borderId="7" fillId="4" fontId="2" numFmtId="0" xfId="0" applyBorder="1" applyFont="1"/>
    <xf borderId="1" fillId="9" fontId="1" numFmtId="0" xfId="0" applyAlignment="1" applyBorder="1" applyFill="1" applyFont="1">
      <alignment vertical="bottom"/>
    </xf>
    <xf borderId="2" fillId="9" fontId="1" numFmtId="0" xfId="0" applyAlignment="1" applyBorder="1" applyFont="1">
      <alignment horizontal="center" vertical="bottom"/>
    </xf>
    <xf borderId="2" fillId="9" fontId="2" numFmtId="0" xfId="0" applyAlignment="1" applyBorder="1" applyFont="1">
      <alignment readingOrder="0"/>
    </xf>
    <xf borderId="2" fillId="9" fontId="1" numFmtId="0" xfId="0" applyAlignment="1" applyBorder="1" applyFont="1">
      <alignment vertical="bottom"/>
    </xf>
    <xf borderId="2" fillId="9" fontId="2" numFmtId="0" xfId="0" applyBorder="1" applyFont="1"/>
    <xf borderId="3" fillId="9" fontId="2" numFmtId="0" xfId="0" applyBorder="1" applyFont="1"/>
    <xf borderId="4" fillId="9" fontId="1" numFmtId="0" xfId="0" applyAlignment="1" applyBorder="1" applyFont="1">
      <alignment vertical="bottom"/>
    </xf>
    <xf borderId="0" fillId="9" fontId="1" numFmtId="0" xfId="0" applyAlignment="1" applyFont="1">
      <alignment horizontal="center" vertical="bottom"/>
    </xf>
    <xf borderId="0" fillId="9" fontId="2" numFmtId="0" xfId="0" applyAlignment="1" applyFont="1">
      <alignment readingOrder="0"/>
    </xf>
    <xf borderId="0" fillId="9" fontId="1" numFmtId="0" xfId="0" applyAlignment="1" applyFont="1">
      <alignment vertical="bottom"/>
    </xf>
    <xf borderId="0" fillId="9" fontId="2" numFmtId="0" xfId="0" applyFont="1"/>
    <xf borderId="5" fillId="9" fontId="2" numFmtId="0" xfId="0" applyBorder="1" applyFont="1"/>
    <xf borderId="6" fillId="9" fontId="1" numFmtId="0" xfId="0" applyAlignment="1" applyBorder="1" applyFont="1">
      <alignment vertical="bottom"/>
    </xf>
    <xf borderId="7" fillId="9" fontId="1" numFmtId="0" xfId="0" applyAlignment="1" applyBorder="1" applyFont="1">
      <alignment horizontal="center" vertical="bottom"/>
    </xf>
    <xf borderId="7" fillId="9" fontId="2" numFmtId="0" xfId="0" applyAlignment="1" applyBorder="1" applyFont="1">
      <alignment readingOrder="0"/>
    </xf>
    <xf borderId="7" fillId="9" fontId="1" numFmtId="0" xfId="0" applyAlignment="1" applyBorder="1" applyFont="1">
      <alignment vertical="bottom"/>
    </xf>
    <xf borderId="7" fillId="9" fontId="2" numFmtId="0" xfId="0" applyBorder="1" applyFont="1"/>
    <xf borderId="8" fillId="9" fontId="2" numFmtId="0" xfId="0" applyBorder="1" applyFont="1"/>
    <xf borderId="1" fillId="10" fontId="1" numFmtId="0" xfId="0" applyAlignment="1" applyBorder="1" applyFill="1" applyFont="1">
      <alignment vertical="bottom"/>
    </xf>
    <xf borderId="2" fillId="10" fontId="1" numFmtId="0" xfId="0" applyAlignment="1" applyBorder="1" applyFont="1">
      <alignment horizontal="center" vertical="bottom"/>
    </xf>
    <xf borderId="2" fillId="10" fontId="2" numFmtId="0" xfId="0" applyAlignment="1" applyBorder="1" applyFont="1">
      <alignment readingOrder="0"/>
    </xf>
    <xf borderId="2" fillId="10" fontId="1" numFmtId="0" xfId="0" applyAlignment="1" applyBorder="1" applyFont="1">
      <alignment vertical="bottom"/>
    </xf>
    <xf borderId="2" fillId="10" fontId="2" numFmtId="0" xfId="0" applyBorder="1" applyFont="1"/>
    <xf borderId="3" fillId="10" fontId="2" numFmtId="0" xfId="0" applyBorder="1" applyFont="1"/>
    <xf borderId="4" fillId="10" fontId="1" numFmtId="0" xfId="0" applyAlignment="1" applyBorder="1" applyFont="1">
      <alignment vertical="bottom"/>
    </xf>
    <xf borderId="0" fillId="10" fontId="1" numFmtId="0" xfId="0" applyAlignment="1" applyFont="1">
      <alignment horizontal="center" vertical="bottom"/>
    </xf>
    <xf borderId="0" fillId="10" fontId="2" numFmtId="0" xfId="0" applyAlignment="1" applyFont="1">
      <alignment readingOrder="0"/>
    </xf>
    <xf borderId="0" fillId="10" fontId="1" numFmtId="0" xfId="0" applyAlignment="1" applyFont="1">
      <alignment vertical="bottom"/>
    </xf>
    <xf borderId="0" fillId="10" fontId="2" numFmtId="0" xfId="0" applyFont="1"/>
    <xf borderId="5" fillId="10" fontId="2" numFmtId="0" xfId="0" applyBorder="1" applyFont="1"/>
    <xf borderId="6" fillId="10" fontId="1" numFmtId="0" xfId="0" applyAlignment="1" applyBorder="1" applyFont="1">
      <alignment vertical="bottom"/>
    </xf>
    <xf borderId="7" fillId="10" fontId="1" numFmtId="0" xfId="0" applyAlignment="1" applyBorder="1" applyFont="1">
      <alignment horizontal="center" vertical="bottom"/>
    </xf>
    <xf borderId="7" fillId="10" fontId="2" numFmtId="0" xfId="0" applyAlignment="1" applyBorder="1" applyFont="1">
      <alignment readingOrder="0"/>
    </xf>
    <xf borderId="7" fillId="10" fontId="1" numFmtId="0" xfId="0" applyAlignment="1" applyBorder="1" applyFont="1">
      <alignment vertical="bottom"/>
    </xf>
    <xf borderId="7" fillId="10" fontId="2" numFmtId="0" xfId="0" applyBorder="1" applyFont="1"/>
    <xf borderId="8" fillId="10" fontId="2" numFmtId="0" xfId="0" applyBorder="1" applyFont="1"/>
    <xf borderId="1" fillId="11" fontId="1" numFmtId="0" xfId="0" applyAlignment="1" applyBorder="1" applyFill="1" applyFont="1">
      <alignment vertical="bottom"/>
    </xf>
    <xf borderId="2" fillId="11" fontId="1" numFmtId="0" xfId="0" applyAlignment="1" applyBorder="1" applyFont="1">
      <alignment horizontal="center" vertical="bottom"/>
    </xf>
    <xf borderId="2" fillId="11" fontId="2" numFmtId="0" xfId="0" applyAlignment="1" applyBorder="1" applyFont="1">
      <alignment readingOrder="0"/>
    </xf>
    <xf borderId="2" fillId="11" fontId="1" numFmtId="0" xfId="0" applyAlignment="1" applyBorder="1" applyFont="1">
      <alignment vertical="bottom"/>
    </xf>
    <xf borderId="2" fillId="11" fontId="2" numFmtId="0" xfId="0" applyBorder="1" applyFont="1"/>
    <xf borderId="3" fillId="11" fontId="2" numFmtId="0" xfId="0" applyBorder="1" applyFont="1"/>
    <xf borderId="4" fillId="11" fontId="1" numFmtId="0" xfId="0" applyAlignment="1" applyBorder="1" applyFont="1">
      <alignment vertical="bottom"/>
    </xf>
    <xf borderId="0" fillId="11" fontId="1" numFmtId="0" xfId="0" applyAlignment="1" applyFont="1">
      <alignment horizontal="center" vertical="bottom"/>
    </xf>
    <xf borderId="0" fillId="11" fontId="2" numFmtId="0" xfId="0" applyAlignment="1" applyFont="1">
      <alignment readingOrder="0"/>
    </xf>
    <xf borderId="0" fillId="11" fontId="1" numFmtId="0" xfId="0" applyAlignment="1" applyFont="1">
      <alignment vertical="bottom"/>
    </xf>
    <xf borderId="0" fillId="11" fontId="2" numFmtId="0" xfId="0" applyFont="1"/>
    <xf borderId="5" fillId="11" fontId="2" numFmtId="0" xfId="0" applyBorder="1" applyFont="1"/>
    <xf borderId="6" fillId="11" fontId="1" numFmtId="0" xfId="0" applyAlignment="1" applyBorder="1" applyFont="1">
      <alignment vertical="bottom"/>
    </xf>
    <xf borderId="7" fillId="11" fontId="1" numFmtId="0" xfId="0" applyAlignment="1" applyBorder="1" applyFont="1">
      <alignment horizontal="center" vertical="bottom"/>
    </xf>
    <xf borderId="7" fillId="11" fontId="2" numFmtId="0" xfId="0" applyAlignment="1" applyBorder="1" applyFont="1">
      <alignment readingOrder="0"/>
    </xf>
    <xf borderId="7" fillId="11" fontId="1" numFmtId="0" xfId="0" applyAlignment="1" applyBorder="1" applyFont="1">
      <alignment vertical="bottom"/>
    </xf>
    <xf borderId="7" fillId="11" fontId="2" numFmtId="0" xfId="0" applyBorder="1" applyFont="1"/>
    <xf borderId="8" fillId="11" fontId="2" numFmtId="0" xfId="0" applyBorder="1" applyFont="1"/>
    <xf borderId="1" fillId="2" fontId="1" numFmtId="0" xfId="0" applyAlignment="1" applyBorder="1" applyFont="1">
      <alignment readingOrder="0" vertical="bottom"/>
    </xf>
    <xf borderId="2" fillId="2" fontId="2" numFmtId="0" xfId="0" applyBorder="1" applyFont="1"/>
    <xf borderId="6" fillId="2" fontId="1" numFmtId="0" xfId="0" applyAlignment="1" applyBorder="1" applyFont="1">
      <alignment vertical="bottom"/>
    </xf>
    <xf borderId="7" fillId="2" fontId="1" numFmtId="0" xfId="0" applyAlignment="1" applyBorder="1" applyFont="1">
      <alignment horizontal="center" vertical="bottom"/>
    </xf>
    <xf borderId="7" fillId="2" fontId="2" numFmtId="0" xfId="0" applyAlignment="1" applyBorder="1" applyFont="1">
      <alignment readingOrder="0"/>
    </xf>
    <xf borderId="7" fillId="2" fontId="1" numFmtId="0" xfId="0" applyAlignment="1" applyBorder="1" applyFont="1">
      <alignment vertical="bottom"/>
    </xf>
    <xf borderId="7" fillId="2" fontId="2" numFmtId="0" xfId="0" applyBorder="1" applyFont="1"/>
    <xf borderId="8" fillId="2" fontId="2" numFmtId="0" xfId="0" applyBorder="1" applyFont="1"/>
    <xf borderId="11" fillId="0" fontId="4" numFmtId="0" xfId="0" applyAlignment="1" applyBorder="1" applyFont="1">
      <alignment horizontal="center" readingOrder="0"/>
    </xf>
    <xf borderId="12" fillId="0" fontId="5" numFmtId="0" xfId="0" applyBorder="1" applyFont="1"/>
    <xf borderId="12" fillId="0" fontId="4" numFmtId="0" xfId="0" applyAlignment="1" applyBorder="1" applyFont="1">
      <alignment horizontal="center" readingOrder="0"/>
    </xf>
    <xf borderId="13" fillId="0" fontId="4" numFmtId="0" xfId="0" applyAlignment="1" applyBorder="1" applyFont="1">
      <alignment horizontal="center" readingOrder="0"/>
    </xf>
    <xf borderId="14" fillId="0" fontId="2" numFmtId="0" xfId="0" applyBorder="1" applyFont="1"/>
    <xf borderId="15" fillId="0" fontId="2" numFmtId="0" xfId="0" applyBorder="1" applyFont="1"/>
    <xf borderId="14" fillId="0" fontId="4" numFmtId="49" xfId="0" applyAlignment="1" applyBorder="1" applyFont="1" applyNumberFormat="1">
      <alignment horizontal="center" readingOrder="0"/>
    </xf>
    <xf borderId="0" fillId="0" fontId="1" numFmtId="0" xfId="0" applyAlignment="1" applyFont="1">
      <alignment horizontal="center" readingOrder="0" vertical="bottom"/>
    </xf>
    <xf borderId="15" fillId="0" fontId="2" numFmtId="0" xfId="0" applyAlignment="1" applyBorder="1" applyFont="1">
      <alignment readingOrder="0"/>
    </xf>
    <xf borderId="0" fillId="0" fontId="1" numFmtId="0" xfId="0" applyAlignment="1" applyFont="1">
      <alignment horizontal="left" readingOrder="0" vertical="bottom"/>
    </xf>
    <xf borderId="16" fillId="0" fontId="4" numFmtId="49" xfId="0" applyAlignment="1" applyBorder="1" applyFont="1" applyNumberFormat="1">
      <alignment horizontal="center" readingOrder="0"/>
    </xf>
    <xf borderId="17" fillId="0" fontId="5" numFmtId="0" xfId="0" applyBorder="1" applyFont="1"/>
    <xf borderId="17" fillId="0" fontId="1" numFmtId="0" xfId="0" applyAlignment="1" applyBorder="1" applyFont="1">
      <alignment horizontal="left" readingOrder="0" vertical="bottom"/>
    </xf>
    <xf borderId="18" fillId="0" fontId="2" numFmtId="0" xfId="0" applyAlignment="1" applyBorder="1" applyFont="1">
      <alignment readingOrder="0"/>
    </xf>
    <xf borderId="19" fillId="12" fontId="6" numFmtId="0" xfId="0" applyAlignment="1" applyBorder="1" applyFill="1" applyFont="1">
      <alignment horizontal="center" readingOrder="0"/>
    </xf>
    <xf borderId="20" fillId="12" fontId="6" numFmtId="0" xfId="0" applyAlignment="1" applyBorder="1" applyFont="1">
      <alignment horizontal="center" readingOrder="0"/>
    </xf>
    <xf borderId="20" fillId="12" fontId="2" numFmtId="0" xfId="0" applyBorder="1" applyFont="1"/>
    <xf borderId="21" fillId="12" fontId="2" numFmtId="0" xfId="0" applyBorder="1" applyFont="1"/>
    <xf borderId="22" fillId="12" fontId="2" numFmtId="0" xfId="0" applyAlignment="1" applyBorder="1" applyFont="1">
      <alignment readingOrder="0"/>
    </xf>
    <xf borderId="0" fillId="12" fontId="2" numFmtId="0" xfId="0" applyFont="1"/>
    <xf borderId="23" fillId="12" fontId="2" numFmtId="0" xfId="0" applyBorder="1" applyFont="1"/>
    <xf borderId="22" fillId="12" fontId="7" numFmtId="0" xfId="0" applyAlignment="1" applyBorder="1" applyFont="1">
      <alignment readingOrder="0"/>
    </xf>
    <xf borderId="0" fillId="12" fontId="2" numFmtId="0" xfId="0" applyAlignment="1" applyFont="1">
      <alignment readingOrder="0"/>
    </xf>
    <xf borderId="22" fillId="13" fontId="8" numFmtId="0" xfId="0" applyAlignment="1" applyBorder="1" applyFill="1" applyFont="1">
      <alignment horizontal="center" readingOrder="0" shrinkToFit="0" vertical="center" wrapText="1"/>
    </xf>
    <xf borderId="0" fillId="13" fontId="3" numFmtId="0" xfId="0" applyAlignment="1" applyFont="1">
      <alignment horizontal="center" readingOrder="0"/>
    </xf>
    <xf borderId="0" fillId="13" fontId="2" numFmtId="0" xfId="0" applyFont="1"/>
    <xf borderId="23" fillId="13" fontId="2" numFmtId="0" xfId="0" applyBorder="1" applyFont="1"/>
    <xf borderId="22" fillId="0" fontId="5" numFmtId="0" xfId="0" applyBorder="1" applyFont="1"/>
    <xf borderId="0" fillId="2" fontId="2" numFmtId="0" xfId="0" applyFont="1"/>
    <xf borderId="0" fillId="3" fontId="2" numFmtId="0" xfId="0" applyFont="1"/>
    <xf borderId="0" fillId="5" fontId="2" numFmtId="0" xfId="0" applyFont="1"/>
    <xf borderId="0" fillId="7" fontId="2" numFmtId="0" xfId="0" applyFont="1"/>
    <xf borderId="0" fillId="8" fontId="2" numFmtId="0" xfId="0" applyFont="1"/>
    <xf borderId="24" fillId="0" fontId="5" numFmtId="0" xfId="0" applyBorder="1" applyFont="1"/>
    <xf borderId="25" fillId="0" fontId="5" numFmtId="0" xfId="0" applyBorder="1" applyFont="1"/>
    <xf borderId="25" fillId="8" fontId="2" numFmtId="0" xfId="0" applyBorder="1" applyFont="1"/>
    <xf borderId="25" fillId="13" fontId="2" numFmtId="0" xfId="0" applyBorder="1" applyFont="1"/>
    <xf borderId="26" fillId="13" fontId="2" numFmtId="0" xfId="0" applyBorder="1" applyFont="1"/>
    <xf borderId="0" fillId="0" fontId="9" numFmtId="0" xfId="0" applyAlignment="1" applyFont="1">
      <alignment horizontal="center" vertical="center"/>
    </xf>
    <xf borderId="0" fillId="0" fontId="10" numFmtId="0" xfId="0" applyAlignment="1" applyFont="1">
      <alignment horizontal="center" vertical="center"/>
    </xf>
    <xf borderId="0" fillId="0" fontId="11" numFmtId="0" xfId="0" applyAlignment="1" applyFont="1">
      <alignment horizontal="center" vertical="center"/>
    </xf>
    <xf borderId="0" fillId="0" fontId="12" numFmtId="0" xfId="0" applyAlignment="1" applyFont="1">
      <alignment horizontal="center" vertical="center"/>
    </xf>
    <xf borderId="0" fillId="0" fontId="13" numFmtId="0" xfId="0" applyAlignment="1" applyFont="1">
      <alignment horizontal="center" vertical="center"/>
    </xf>
    <xf borderId="0" fillId="0" fontId="14" numFmtId="0" xfId="0" applyAlignment="1" applyFont="1">
      <alignment horizontal="center" vertical="bottom"/>
    </xf>
    <xf borderId="27" fillId="0" fontId="1" numFmtId="0" xfId="0" applyAlignment="1" applyBorder="1" applyFont="1">
      <alignment vertical="top"/>
    </xf>
    <xf borderId="0" fillId="0" fontId="1" numFmtId="0" xfId="0" applyAlignment="1" applyFont="1">
      <alignment vertical="bottom"/>
    </xf>
    <xf borderId="28" fillId="0" fontId="15" numFmtId="0" xfId="0" applyAlignment="1" applyBorder="1" applyFont="1">
      <alignment horizontal="center" vertical="center"/>
    </xf>
    <xf borderId="9" fillId="0" fontId="15" numFmtId="0" xfId="0" applyAlignment="1" applyBorder="1" applyFont="1">
      <alignment horizontal="center" vertical="center"/>
    </xf>
    <xf borderId="9" fillId="14" fontId="16" numFmtId="0" xfId="0" applyAlignment="1" applyBorder="1" applyFill="1" applyFont="1">
      <alignment horizontal="center" vertical="center"/>
    </xf>
    <xf borderId="9" fillId="15" fontId="17" numFmtId="0" xfId="0" applyAlignment="1" applyBorder="1" applyFill="1" applyFont="1">
      <alignment horizontal="center" vertical="center"/>
    </xf>
    <xf borderId="9" fillId="15" fontId="1" numFmtId="0" xfId="0" applyAlignment="1" applyBorder="1" applyFont="1">
      <alignment vertical="center"/>
    </xf>
    <xf borderId="9" fillId="15" fontId="18" numFmtId="0" xfId="0" applyAlignment="1" applyBorder="1" applyFont="1">
      <alignment horizontal="left" vertical="center"/>
    </xf>
    <xf borderId="29" fillId="15" fontId="19" numFmtId="0" xfId="0" applyAlignment="1" applyBorder="1" applyFont="1">
      <alignment horizontal="left" vertical="center"/>
    </xf>
    <xf borderId="30" fillId="0" fontId="5" numFmtId="0" xfId="0" applyBorder="1" applyFont="1"/>
    <xf borderId="0" fillId="15" fontId="17" numFmtId="0" xfId="0" applyAlignment="1" applyFont="1">
      <alignment horizontal="center" vertical="center"/>
    </xf>
    <xf borderId="0" fillId="15" fontId="1" numFmtId="0" xfId="0" applyAlignment="1" applyFont="1">
      <alignment vertical="center"/>
    </xf>
    <xf borderId="0" fillId="15" fontId="18" numFmtId="0" xfId="0" applyAlignment="1" applyFont="1">
      <alignment horizontal="left" vertical="center"/>
    </xf>
    <xf borderId="31" fillId="15" fontId="19" numFmtId="0" xfId="0" applyAlignment="1" applyBorder="1" applyFont="1">
      <alignment horizontal="left" vertical="center"/>
    </xf>
    <xf borderId="0" fillId="16" fontId="17" numFmtId="0" xfId="0" applyAlignment="1" applyFill="1" applyFont="1">
      <alignment horizontal="center" vertical="center"/>
    </xf>
    <xf borderId="0" fillId="16" fontId="1" numFmtId="0" xfId="0" applyAlignment="1" applyFont="1">
      <alignment vertical="center"/>
    </xf>
    <xf borderId="0" fillId="16" fontId="18" numFmtId="0" xfId="0" applyAlignment="1" applyFont="1">
      <alignment horizontal="left" vertical="center"/>
    </xf>
    <xf borderId="31" fillId="16" fontId="19" numFmtId="0" xfId="0" applyAlignment="1" applyBorder="1" applyFont="1">
      <alignment horizontal="left" vertical="center"/>
    </xf>
    <xf borderId="0" fillId="17" fontId="20" numFmtId="0" xfId="0" applyAlignment="1" applyFill="1" applyFont="1">
      <alignment horizontal="center" vertical="center"/>
    </xf>
    <xf borderId="0" fillId="17" fontId="17" numFmtId="0" xfId="0" applyAlignment="1" applyFont="1">
      <alignment horizontal="center" vertical="center"/>
    </xf>
    <xf borderId="0" fillId="17" fontId="1" numFmtId="0" xfId="0" applyAlignment="1" applyFont="1">
      <alignment vertical="center"/>
    </xf>
    <xf borderId="0" fillId="17" fontId="18" numFmtId="0" xfId="0" applyAlignment="1" applyFont="1">
      <alignment horizontal="left" vertical="center"/>
    </xf>
    <xf borderId="31" fillId="17" fontId="19" numFmtId="0" xfId="0" applyAlignment="1" applyBorder="1" applyFont="1">
      <alignment horizontal="left" vertical="center"/>
    </xf>
    <xf borderId="32" fillId="0" fontId="5" numFmtId="0" xfId="0" applyBorder="1" applyFont="1"/>
    <xf borderId="33" fillId="0" fontId="5" numFmtId="0" xfId="0" applyBorder="1" applyFont="1"/>
    <xf borderId="33" fillId="18" fontId="17" numFmtId="0" xfId="0" applyAlignment="1" applyBorder="1" applyFill="1" applyFont="1">
      <alignment horizontal="center" vertical="center"/>
    </xf>
    <xf borderId="33" fillId="18" fontId="1" numFmtId="0" xfId="0" applyAlignment="1" applyBorder="1" applyFont="1">
      <alignment vertical="center"/>
    </xf>
    <xf borderId="33" fillId="18" fontId="18" numFmtId="0" xfId="0" applyAlignment="1" applyBorder="1" applyFont="1">
      <alignment horizontal="left" vertical="center"/>
    </xf>
    <xf borderId="34" fillId="18" fontId="19" numFmtId="0" xfId="0" applyAlignment="1" applyBorder="1" applyFont="1">
      <alignment horizontal="left" vertical="center"/>
    </xf>
    <xf borderId="28" fillId="0" fontId="21" numFmtId="0" xfId="0" applyAlignment="1" applyBorder="1" applyFont="1">
      <alignment horizontal="center" vertical="center"/>
    </xf>
    <xf borderId="9" fillId="0" fontId="21" numFmtId="0" xfId="0" applyAlignment="1" applyBorder="1" applyFont="1">
      <alignment horizontal="center" vertical="center"/>
    </xf>
    <xf borderId="9" fillId="19" fontId="16" numFmtId="0" xfId="0" applyAlignment="1" applyBorder="1" applyFill="1" applyFont="1">
      <alignment horizontal="center" vertical="center"/>
    </xf>
    <xf borderId="9" fillId="20" fontId="17" numFmtId="0" xfId="0" applyAlignment="1" applyBorder="1" applyFill="1" applyFont="1">
      <alignment horizontal="center" vertical="center"/>
    </xf>
    <xf borderId="9" fillId="20" fontId="1" numFmtId="0" xfId="0" applyAlignment="1" applyBorder="1" applyFont="1">
      <alignment vertical="center"/>
    </xf>
    <xf borderId="9" fillId="20" fontId="18" numFmtId="0" xfId="0" applyAlignment="1" applyBorder="1" applyFont="1">
      <alignment horizontal="left" vertical="center"/>
    </xf>
    <xf borderId="29" fillId="20" fontId="19" numFmtId="0" xfId="0" applyAlignment="1" applyBorder="1" applyFont="1">
      <alignment horizontal="left" vertical="center"/>
    </xf>
    <xf borderId="0" fillId="21" fontId="17" numFmtId="0" xfId="0" applyAlignment="1" applyFill="1" applyFont="1">
      <alignment horizontal="center" vertical="center"/>
    </xf>
    <xf borderId="0" fillId="21" fontId="1" numFmtId="0" xfId="0" applyAlignment="1" applyFont="1">
      <alignment vertical="center"/>
    </xf>
    <xf borderId="0" fillId="21" fontId="1" numFmtId="0" xfId="0" applyAlignment="1" applyFont="1">
      <alignment vertical="center"/>
    </xf>
    <xf borderId="0" fillId="21" fontId="18" numFmtId="0" xfId="0" applyAlignment="1" applyFont="1">
      <alignment horizontal="left" vertical="center"/>
    </xf>
    <xf borderId="31" fillId="21" fontId="19" numFmtId="0" xfId="0" applyAlignment="1" applyBorder="1" applyFont="1">
      <alignment horizontal="left" vertical="center"/>
    </xf>
    <xf borderId="0" fillId="17" fontId="1" numFmtId="0" xfId="0" applyAlignment="1" applyFont="1">
      <alignment vertical="center"/>
    </xf>
    <xf borderId="31" fillId="17" fontId="22" numFmtId="0" xfId="0" applyAlignment="1" applyBorder="1" applyFont="1">
      <alignment horizontal="left" vertical="center"/>
    </xf>
    <xf borderId="0" fillId="22" fontId="17" numFmtId="0" xfId="0" applyAlignment="1" applyFill="1" applyFont="1">
      <alignment horizontal="center" vertical="center"/>
    </xf>
    <xf borderId="0" fillId="22" fontId="1" numFmtId="0" xfId="0" applyAlignment="1" applyFont="1">
      <alignment vertical="center"/>
    </xf>
    <xf borderId="0" fillId="22" fontId="18" numFmtId="0" xfId="0" applyAlignment="1" applyFont="1">
      <alignment horizontal="left" vertical="center"/>
    </xf>
    <xf borderId="31" fillId="22" fontId="19" numFmtId="0" xfId="0" applyAlignment="1" applyBorder="1" applyFont="1">
      <alignment horizontal="left" vertical="center"/>
    </xf>
    <xf borderId="0" fillId="18" fontId="17" numFmtId="0" xfId="0" applyAlignment="1" applyFont="1">
      <alignment horizontal="center" vertical="center"/>
    </xf>
    <xf borderId="0" fillId="18" fontId="1" numFmtId="0" xfId="0" applyAlignment="1" applyFont="1">
      <alignment vertical="center"/>
    </xf>
    <xf borderId="0" fillId="18" fontId="18" numFmtId="0" xfId="0" applyAlignment="1" applyFont="1">
      <alignment horizontal="left" readingOrder="0" vertical="center"/>
    </xf>
    <xf borderId="31" fillId="18" fontId="19" numFmtId="0" xfId="0" applyAlignment="1" applyBorder="1" applyFont="1">
      <alignment horizontal="left" vertical="center"/>
    </xf>
    <xf borderId="33" fillId="23" fontId="17" numFmtId="0" xfId="0" applyAlignment="1" applyBorder="1" applyFill="1" applyFont="1">
      <alignment horizontal="center" vertical="center"/>
    </xf>
    <xf borderId="33" fillId="23" fontId="1" numFmtId="0" xfId="0" applyAlignment="1" applyBorder="1" applyFont="1">
      <alignment vertical="center"/>
    </xf>
    <xf borderId="33" fillId="23" fontId="18" numFmtId="0" xfId="0" applyAlignment="1" applyBorder="1" applyFont="1">
      <alignment horizontal="left" vertical="center"/>
    </xf>
    <xf borderId="34" fillId="23" fontId="19" numFmtId="0" xfId="0" applyAlignment="1" applyBorder="1" applyFont="1">
      <alignment horizontal="left" vertical="center"/>
    </xf>
    <xf borderId="9" fillId="24" fontId="16" numFmtId="0" xfId="0" applyAlignment="1" applyBorder="1" applyFill="1" applyFont="1">
      <alignment horizontal="center" vertical="center"/>
    </xf>
    <xf borderId="9" fillId="15" fontId="17" numFmtId="0" xfId="0" applyAlignment="1" applyBorder="1" applyFont="1">
      <alignment horizontal="center" readingOrder="0" vertical="center"/>
    </xf>
    <xf borderId="9" fillId="15" fontId="1" numFmtId="0" xfId="0" applyAlignment="1" applyBorder="1" applyFont="1">
      <alignment vertical="center"/>
    </xf>
    <xf borderId="0" fillId="23" fontId="17" numFmtId="0" xfId="0" applyAlignment="1" applyFont="1">
      <alignment horizontal="center" vertical="center"/>
    </xf>
    <xf borderId="0" fillId="23" fontId="1" numFmtId="0" xfId="0" applyAlignment="1" applyFont="1">
      <alignment vertical="center"/>
    </xf>
    <xf borderId="0" fillId="23" fontId="18" numFmtId="0" xfId="0" applyAlignment="1" applyFont="1">
      <alignment horizontal="left" vertical="center"/>
    </xf>
    <xf borderId="31" fillId="23" fontId="19" numFmtId="0" xfId="0" applyAlignment="1" applyBorder="1" applyFont="1">
      <alignment horizontal="left" vertical="center"/>
    </xf>
    <xf borderId="0" fillId="25" fontId="17" numFmtId="0" xfId="0" applyAlignment="1" applyFill="1" applyFont="1">
      <alignment horizontal="center" vertical="center"/>
    </xf>
    <xf borderId="0" fillId="25" fontId="1" numFmtId="0" xfId="0" applyAlignment="1" applyFont="1">
      <alignment vertical="center"/>
    </xf>
    <xf borderId="0" fillId="25" fontId="18" numFmtId="0" xfId="0" applyAlignment="1" applyFont="1">
      <alignment horizontal="left" vertical="center"/>
    </xf>
    <xf borderId="31" fillId="25" fontId="19" numFmtId="0" xfId="0" applyAlignment="1" applyBorder="1" applyFont="1">
      <alignment horizontal="left" vertical="center"/>
    </xf>
    <xf borderId="0" fillId="20" fontId="17" numFmtId="0" xfId="0" applyAlignment="1" applyFont="1">
      <alignment horizontal="center" vertical="center"/>
    </xf>
    <xf borderId="0" fillId="20" fontId="1" numFmtId="0" xfId="0" applyAlignment="1" applyFont="1">
      <alignment vertical="center"/>
    </xf>
    <xf borderId="0" fillId="20" fontId="18" numFmtId="0" xfId="0" applyAlignment="1" applyFont="1">
      <alignment horizontal="left" vertical="center"/>
    </xf>
    <xf borderId="31" fillId="20" fontId="19" numFmtId="0" xfId="0" applyAlignment="1" applyBorder="1" applyFont="1">
      <alignment horizontal="left" vertical="center"/>
    </xf>
    <xf borderId="0" fillId="7" fontId="17" numFmtId="0" xfId="0" applyAlignment="1" applyFont="1">
      <alignment horizontal="center" vertical="center"/>
    </xf>
    <xf borderId="0" fillId="7" fontId="1" numFmtId="0" xfId="0" applyAlignment="1" applyFont="1">
      <alignment vertical="center"/>
    </xf>
    <xf borderId="31" fillId="18" fontId="22" numFmtId="0" xfId="0" applyAlignment="1" applyBorder="1" applyFont="1">
      <alignment horizontal="left" vertical="center"/>
    </xf>
    <xf borderId="0" fillId="18" fontId="17" numFmtId="0" xfId="0" applyAlignment="1" applyFont="1">
      <alignment horizontal="center" vertical="center"/>
    </xf>
    <xf borderId="33" fillId="17" fontId="17" numFmtId="0" xfId="0" applyAlignment="1" applyBorder="1" applyFont="1">
      <alignment horizontal="center" vertical="center"/>
    </xf>
    <xf borderId="33" fillId="17" fontId="1" numFmtId="0" xfId="0" applyAlignment="1" applyBorder="1" applyFont="1">
      <alignment vertical="center"/>
    </xf>
    <xf borderId="33" fillId="17" fontId="18" numFmtId="0" xfId="0" applyAlignment="1" applyBorder="1" applyFont="1">
      <alignment horizontal="left" vertical="center"/>
    </xf>
    <xf borderId="34" fillId="17" fontId="19" numFmtId="0" xfId="0" applyAlignment="1" applyBorder="1" applyFont="1">
      <alignment horizontal="left" vertical="center"/>
    </xf>
    <xf borderId="9" fillId="26" fontId="16" numFmtId="0" xfId="0" applyAlignment="1" applyBorder="1" applyFill="1" applyFont="1">
      <alignment horizontal="center" vertical="center"/>
    </xf>
    <xf borderId="9" fillId="18" fontId="17" numFmtId="0" xfId="0" applyAlignment="1" applyBorder="1" applyFont="1">
      <alignment horizontal="center" vertical="center"/>
    </xf>
    <xf borderId="9" fillId="18" fontId="1" numFmtId="0" xfId="0" applyAlignment="1" applyBorder="1" applyFont="1">
      <alignment vertical="center"/>
    </xf>
    <xf borderId="9" fillId="18" fontId="18" numFmtId="0" xfId="0" applyAlignment="1" applyBorder="1" applyFont="1">
      <alignment horizontal="left" readingOrder="0" vertical="center"/>
    </xf>
    <xf borderId="29" fillId="18" fontId="19" numFmtId="0" xfId="0" applyAlignment="1" applyBorder="1" applyFont="1">
      <alignment horizontal="left" vertical="center"/>
    </xf>
    <xf borderId="0" fillId="25" fontId="1" numFmtId="0" xfId="0" applyAlignment="1" applyFont="1">
      <alignment vertical="center"/>
    </xf>
    <xf borderId="31" fillId="25" fontId="19" numFmtId="0" xfId="0" applyAlignment="1" applyBorder="1" applyFont="1">
      <alignment horizontal="left" vertical="center"/>
    </xf>
    <xf borderId="31" fillId="17" fontId="19" numFmtId="0" xfId="0" applyAlignment="1" applyBorder="1" applyFont="1">
      <alignment horizontal="left" vertical="center"/>
    </xf>
    <xf borderId="0" fillId="21" fontId="17" numFmtId="0" xfId="0" applyAlignment="1" applyFont="1">
      <alignment horizontal="center" vertical="center"/>
    </xf>
    <xf borderId="31" fillId="21" fontId="19" numFmtId="0" xfId="0" applyAlignment="1" applyBorder="1" applyFont="1">
      <alignment horizontal="left" vertical="center"/>
    </xf>
    <xf borderId="0" fillId="22" fontId="1" numFmtId="0" xfId="0" applyAlignment="1" applyFont="1">
      <alignment vertical="center"/>
    </xf>
    <xf borderId="33" fillId="20" fontId="17" numFmtId="0" xfId="0" applyAlignment="1" applyBorder="1" applyFont="1">
      <alignment horizontal="center" vertical="center"/>
    </xf>
    <xf borderId="33" fillId="20" fontId="1" numFmtId="0" xfId="0" applyAlignment="1" applyBorder="1" applyFont="1">
      <alignment vertical="center"/>
    </xf>
    <xf borderId="33" fillId="20" fontId="18" numFmtId="0" xfId="0" applyAlignment="1" applyBorder="1" applyFont="1">
      <alignment horizontal="left" vertical="center"/>
    </xf>
    <xf borderId="34" fillId="20" fontId="22" numFmtId="0" xfId="0" applyAlignment="1" applyBorder="1" applyFont="1">
      <alignment horizontal="left" vertical="center"/>
    </xf>
    <xf borderId="28" fillId="27" fontId="21" numFmtId="0" xfId="0" applyAlignment="1" applyBorder="1" applyFill="1" applyFont="1">
      <alignment horizontal="center" vertical="center"/>
    </xf>
    <xf borderId="9" fillId="27" fontId="21" numFmtId="0" xfId="0" applyAlignment="1" applyBorder="1" applyFont="1">
      <alignment horizontal="center" vertical="center"/>
    </xf>
    <xf borderId="9" fillId="17" fontId="17" numFmtId="0" xfId="0" applyAlignment="1" applyBorder="1" applyFont="1">
      <alignment horizontal="center" vertical="center"/>
    </xf>
    <xf borderId="9" fillId="17" fontId="1" numFmtId="0" xfId="0" applyAlignment="1" applyBorder="1" applyFont="1">
      <alignment vertical="center"/>
    </xf>
    <xf borderId="9" fillId="17" fontId="18" numFmtId="0" xfId="0" applyAlignment="1" applyBorder="1" applyFont="1">
      <alignment horizontal="left" vertical="center"/>
    </xf>
    <xf borderId="29" fillId="17" fontId="19" numFmtId="0" xfId="0" applyAlignment="1" applyBorder="1" applyFont="1">
      <alignment horizontal="left" vertical="center"/>
    </xf>
    <xf borderId="0" fillId="21" fontId="18" numFmtId="0" xfId="0" applyAlignment="1" applyFont="1">
      <alignment horizontal="left" vertical="center"/>
    </xf>
    <xf borderId="0" fillId="22" fontId="17" numFmtId="0" xfId="0" applyAlignment="1" applyFont="1">
      <alignment horizontal="center" vertical="center"/>
    </xf>
    <xf borderId="0" fillId="22" fontId="18" numFmtId="0" xfId="0" applyAlignment="1" applyFont="1">
      <alignment horizontal="left" vertical="center"/>
    </xf>
    <xf borderId="31" fillId="22" fontId="19" numFmtId="0" xfId="0" applyAlignment="1" applyBorder="1" applyFont="1">
      <alignment horizontal="left" vertical="center"/>
    </xf>
    <xf borderId="0" fillId="20" fontId="1" numFmtId="0" xfId="0" applyAlignment="1" applyFont="1">
      <alignment vertical="center"/>
    </xf>
    <xf borderId="0" fillId="23" fontId="1" numFmtId="0" xfId="0" applyAlignment="1" applyFont="1">
      <alignment vertical="center"/>
    </xf>
    <xf borderId="0" fillId="18" fontId="1" numFmtId="0" xfId="0" applyAlignment="1" applyFont="1">
      <alignment vertical="center"/>
    </xf>
    <xf borderId="31" fillId="18" fontId="19" numFmtId="0" xfId="0" applyAlignment="1" applyBorder="1" applyFont="1">
      <alignment horizontal="left" vertical="center"/>
    </xf>
    <xf borderId="33" fillId="21" fontId="17" numFmtId="0" xfId="0" applyAlignment="1" applyBorder="1" applyFont="1">
      <alignment horizontal="center" vertical="center"/>
    </xf>
    <xf borderId="33" fillId="21" fontId="1" numFmtId="0" xfId="0" applyAlignment="1" applyBorder="1" applyFont="1">
      <alignment vertical="center"/>
    </xf>
    <xf borderId="33" fillId="21" fontId="18" numFmtId="0" xfId="0" applyAlignment="1" applyBorder="1" applyFont="1">
      <alignment horizontal="left" vertical="center"/>
    </xf>
    <xf borderId="34" fillId="21" fontId="19" numFmtId="0" xfId="0" applyAlignment="1" applyBorder="1" applyFont="1">
      <alignment horizontal="left" vertical="center"/>
    </xf>
    <xf borderId="9" fillId="18" fontId="1" numFmtId="0" xfId="0" applyAlignment="1" applyBorder="1" applyFont="1">
      <alignment vertical="center"/>
    </xf>
    <xf borderId="9" fillId="18" fontId="19" numFmtId="0" xfId="0" applyAlignment="1" applyBorder="1" applyFont="1">
      <alignment horizontal="left" vertical="center"/>
    </xf>
    <xf borderId="30" fillId="0" fontId="1" numFmtId="0" xfId="0" applyAlignment="1" applyBorder="1" applyFont="1">
      <alignment vertical="bottom"/>
    </xf>
    <xf borderId="0" fillId="16" fontId="1" numFmtId="0" xfId="0" applyAlignment="1" applyFont="1">
      <alignment vertical="center"/>
    </xf>
    <xf borderId="0" fillId="23" fontId="19" numFmtId="0" xfId="0" applyAlignment="1" applyFont="1">
      <alignment horizontal="left" vertical="center"/>
    </xf>
    <xf borderId="0" fillId="15" fontId="19" numFmtId="0" xfId="0" applyAlignment="1" applyFont="1">
      <alignment horizontal="left" vertical="center"/>
    </xf>
    <xf borderId="0" fillId="22" fontId="19" numFmtId="0" xfId="0" applyAlignment="1" applyFont="1">
      <alignment horizontal="left" vertical="center"/>
    </xf>
    <xf borderId="33" fillId="17" fontId="19" numFmtId="0" xfId="0" applyAlignment="1" applyBorder="1" applyFont="1">
      <alignment horizontal="left" vertical="center"/>
    </xf>
    <xf borderId="29" fillId="18" fontId="22" numFmtId="0" xfId="0" applyAlignment="1" applyBorder="1" applyFont="1">
      <alignment horizontal="left" vertical="center"/>
    </xf>
    <xf borderId="0" fillId="25" fontId="17" numFmtId="0" xfId="0" applyAlignment="1" applyFont="1">
      <alignment horizontal="center" vertical="center"/>
    </xf>
    <xf borderId="0" fillId="25" fontId="18" numFmtId="0" xfId="0" applyAlignment="1" applyFont="1">
      <alignment horizontal="left" vertical="center"/>
    </xf>
    <xf borderId="9" fillId="23" fontId="17" numFmtId="0" xfId="0" applyAlignment="1" applyBorder="1" applyFont="1">
      <alignment horizontal="center" vertical="center"/>
    </xf>
    <xf borderId="9" fillId="23" fontId="1" numFmtId="0" xfId="0" applyAlignment="1" applyBorder="1" applyFont="1">
      <alignment vertical="center"/>
    </xf>
    <xf borderId="9" fillId="23" fontId="18" numFmtId="0" xfId="0" applyAlignment="1" applyBorder="1" applyFont="1">
      <alignment horizontal="left" vertical="center"/>
    </xf>
    <xf borderId="29" fillId="23" fontId="19" numFmtId="0" xfId="0" applyAlignment="1" applyBorder="1" applyFont="1">
      <alignment horizontal="left" vertical="center"/>
    </xf>
    <xf borderId="0" fillId="17" fontId="17" numFmtId="0" xfId="0" applyAlignment="1" applyFont="1">
      <alignment horizontal="center" vertical="center"/>
    </xf>
    <xf borderId="0" fillId="17" fontId="18" numFmtId="0" xfId="0" applyAlignment="1" applyFont="1">
      <alignment horizontal="left" vertical="center"/>
    </xf>
    <xf borderId="0" fillId="15" fontId="17" numFmtId="0" xfId="0" applyAlignment="1" applyFont="1">
      <alignment horizontal="center" vertical="center"/>
    </xf>
    <xf borderId="0" fillId="15" fontId="1" numFmtId="0" xfId="0" applyAlignment="1" applyFont="1">
      <alignment vertical="center"/>
    </xf>
    <xf borderId="0" fillId="15" fontId="18" numFmtId="0" xfId="0" applyAlignment="1" applyFont="1">
      <alignment horizontal="left" vertical="center"/>
    </xf>
    <xf borderId="31" fillId="15" fontId="19" numFmtId="0" xfId="0" applyAlignment="1" applyBorder="1" applyFont="1">
      <alignment horizontal="left" vertical="center"/>
    </xf>
    <xf borderId="33" fillId="15" fontId="17" numFmtId="0" xfId="0" applyAlignment="1" applyBorder="1" applyFont="1">
      <alignment horizontal="center" vertical="center"/>
    </xf>
    <xf borderId="33" fillId="15" fontId="1" numFmtId="0" xfId="0" applyAlignment="1" applyBorder="1" applyFont="1">
      <alignment vertical="center"/>
    </xf>
    <xf borderId="33" fillId="15" fontId="18" numFmtId="0" xfId="0" applyAlignment="1" applyBorder="1" applyFont="1">
      <alignment horizontal="left" vertical="center"/>
    </xf>
    <xf borderId="34" fillId="15" fontId="19" numFmtId="0" xfId="0" applyAlignment="1" applyBorder="1" applyFont="1">
      <alignment horizontal="left" vertical="center"/>
    </xf>
    <xf borderId="28" fillId="0" fontId="21" numFmtId="0" xfId="0" applyAlignment="1" applyBorder="1" applyFont="1">
      <alignment horizontal="center" readingOrder="0" vertical="center"/>
    </xf>
    <xf borderId="9" fillId="28" fontId="16" numFmtId="0" xfId="0" applyAlignment="1" applyBorder="1" applyFill="1" applyFont="1">
      <alignment horizontal="center" vertical="center"/>
    </xf>
    <xf borderId="33" fillId="21" fontId="17" numFmtId="0" xfId="0" applyAlignment="1" applyBorder="1" applyFont="1">
      <alignment horizontal="center" vertical="center"/>
    </xf>
    <xf borderId="33" fillId="21" fontId="18" numFmtId="0" xfId="0" applyAlignment="1" applyBorder="1" applyFont="1">
      <alignment horizontal="left" vertical="center"/>
    </xf>
    <xf borderId="34" fillId="21" fontId="22" numFmtId="0" xfId="0" applyAlignment="1" applyBorder="1" applyFont="1">
      <alignment horizontal="left" vertical="center"/>
    </xf>
    <xf borderId="9" fillId="23" fontId="1" numFmtId="0" xfId="0" applyAlignment="1" applyBorder="1" applyFont="1">
      <alignment vertical="center"/>
    </xf>
    <xf borderId="29" fillId="23" fontId="19" numFmtId="0" xfId="0" applyAlignment="1" applyBorder="1" applyFont="1">
      <alignment horizontal="left" vertical="center"/>
    </xf>
    <xf borderId="9" fillId="16" fontId="17" numFmtId="0" xfId="0" applyAlignment="1" applyBorder="1" applyFont="1">
      <alignment horizontal="center" vertical="center"/>
    </xf>
    <xf borderId="9" fillId="16" fontId="1" numFmtId="0" xfId="0" applyAlignment="1" applyBorder="1" applyFont="1">
      <alignment vertical="center"/>
    </xf>
    <xf borderId="9" fillId="16" fontId="18" numFmtId="0" xfId="0" applyAlignment="1" applyBorder="1" applyFont="1">
      <alignment horizontal="left" shrinkToFit="0" vertical="center" wrapText="0"/>
    </xf>
    <xf borderId="29" fillId="16" fontId="19" numFmtId="0" xfId="0" applyAlignment="1" applyBorder="1" applyFont="1">
      <alignment horizontal="left" vertical="center"/>
    </xf>
    <xf borderId="33" fillId="29" fontId="17" numFmtId="0" xfId="0" applyAlignment="1" applyBorder="1" applyFill="1" applyFont="1">
      <alignment horizontal="center" vertical="center"/>
    </xf>
    <xf borderId="33" fillId="29" fontId="1" numFmtId="0" xfId="0" applyAlignment="1" applyBorder="1" applyFont="1">
      <alignment vertical="center"/>
    </xf>
    <xf borderId="33" fillId="29" fontId="18" numFmtId="0" xfId="0" applyAlignment="1" applyBorder="1" applyFont="1">
      <alignment horizontal="left" vertical="center"/>
    </xf>
    <xf borderId="34" fillId="29" fontId="19" numFmtId="0" xfId="0" applyAlignment="1" applyBorder="1" applyFont="1">
      <alignment horizontal="left" vertical="center"/>
    </xf>
    <xf borderId="30" fillId="27" fontId="21" numFmtId="0" xfId="0" applyAlignment="1" applyBorder="1" applyFont="1">
      <alignment horizontal="center" vertical="center"/>
    </xf>
    <xf borderId="0" fillId="27" fontId="21" numFmtId="0" xfId="0" applyAlignment="1" applyFont="1">
      <alignment horizontal="center" vertical="center"/>
    </xf>
    <xf borderId="0" fillId="28" fontId="16" numFmtId="0" xfId="0" applyAlignment="1" applyFont="1">
      <alignment horizontal="center" vertical="center"/>
    </xf>
    <xf borderId="28" fillId="27" fontId="15" numFmtId="0" xfId="0" applyAlignment="1" applyBorder="1" applyFont="1">
      <alignment horizontal="center" vertical="center"/>
    </xf>
    <xf borderId="31" fillId="0" fontId="5" numFmtId="0" xfId="0" applyBorder="1" applyFont="1"/>
    <xf borderId="0" fillId="30" fontId="17" numFmtId="0" xfId="0" applyAlignment="1" applyFill="1" applyFont="1">
      <alignment horizontal="center" vertical="center"/>
    </xf>
    <xf borderId="0" fillId="30" fontId="1" numFmtId="0" xfId="0" applyAlignment="1" applyFont="1">
      <alignment vertical="center"/>
    </xf>
    <xf borderId="0" fillId="30" fontId="1" numFmtId="0" xfId="0" applyAlignment="1" applyFont="1">
      <alignment vertical="center"/>
    </xf>
    <xf borderId="0" fillId="30" fontId="18" numFmtId="0" xfId="0" applyAlignment="1" applyFont="1">
      <alignment horizontal="left" vertical="center"/>
    </xf>
    <xf borderId="31" fillId="30" fontId="19" numFmtId="0" xfId="0" applyAlignment="1" applyBorder="1" applyFont="1">
      <alignment horizontal="left" vertical="center"/>
    </xf>
    <xf borderId="33" fillId="16" fontId="17" numFmtId="0" xfId="0" applyAlignment="1" applyBorder="1" applyFont="1">
      <alignment horizontal="center" vertical="center"/>
    </xf>
    <xf borderId="33" fillId="16" fontId="1" numFmtId="0" xfId="0" applyAlignment="1" applyBorder="1" applyFont="1">
      <alignment vertical="center"/>
    </xf>
    <xf borderId="33" fillId="16" fontId="18" numFmtId="0" xfId="0" applyAlignment="1" applyBorder="1" applyFont="1">
      <alignment horizontal="left" vertical="center"/>
    </xf>
    <xf borderId="34" fillId="16" fontId="19" numFmtId="0" xfId="0" applyAlignment="1" applyBorder="1" applyFont="1">
      <alignment horizontal="left" vertical="center"/>
    </xf>
    <xf borderId="9" fillId="25" fontId="17" numFmtId="0" xfId="0" applyAlignment="1" applyBorder="1" applyFont="1">
      <alignment horizontal="center" vertical="center"/>
    </xf>
    <xf borderId="9" fillId="25" fontId="1" numFmtId="0" xfId="0" applyAlignment="1" applyBorder="1" applyFont="1">
      <alignment vertical="center"/>
    </xf>
    <xf borderId="9" fillId="25" fontId="18" numFmtId="0" xfId="0" applyAlignment="1" applyBorder="1" applyFont="1">
      <alignment horizontal="left" vertical="center"/>
    </xf>
    <xf borderId="29" fillId="25" fontId="19" numFmtId="0" xfId="0" applyAlignment="1" applyBorder="1" applyFont="1">
      <alignment horizontal="left" vertical="center"/>
    </xf>
    <xf borderId="0" fillId="29" fontId="17" numFmtId="0" xfId="0" applyAlignment="1" applyFont="1">
      <alignment horizontal="center" vertical="center"/>
    </xf>
    <xf borderId="0" fillId="29" fontId="1" numFmtId="0" xfId="0" applyAlignment="1" applyFont="1">
      <alignment vertical="center"/>
    </xf>
    <xf borderId="0" fillId="29" fontId="1" numFmtId="0" xfId="0" applyAlignment="1" applyFont="1">
      <alignment vertical="center"/>
    </xf>
    <xf borderId="0" fillId="29" fontId="18" numFmtId="0" xfId="0" applyAlignment="1" applyFont="1">
      <alignment horizontal="left" vertical="center"/>
    </xf>
    <xf borderId="31" fillId="29" fontId="19" numFmtId="0" xfId="0" applyAlignment="1" applyBorder="1" applyFont="1">
      <alignment horizontal="left" vertical="center"/>
    </xf>
    <xf borderId="0" fillId="20" fontId="17" numFmtId="0" xfId="0" applyAlignment="1" applyFont="1">
      <alignment horizontal="center" vertical="center"/>
    </xf>
    <xf borderId="0" fillId="20" fontId="18" numFmtId="0" xfId="0" applyAlignment="1" applyFont="1">
      <alignment horizontal="left" vertical="center"/>
    </xf>
    <xf borderId="0" fillId="16" fontId="17" numFmtId="0" xfId="0" applyAlignment="1" applyFont="1">
      <alignment horizontal="center" vertical="center"/>
    </xf>
    <xf borderId="9" fillId="20" fontId="17" numFmtId="0" xfId="0" applyAlignment="1" applyBorder="1" applyFont="1">
      <alignment horizontal="center" vertical="center"/>
    </xf>
    <xf borderId="9" fillId="20" fontId="18" numFmtId="0" xfId="0" applyAlignment="1" applyBorder="1" applyFont="1">
      <alignment horizontal="left" vertical="center"/>
    </xf>
    <xf borderId="31" fillId="16" fontId="19" numFmtId="0" xfId="0" applyAlignment="1" applyBorder="1" applyFont="1">
      <alignment horizontal="left" vertical="center"/>
    </xf>
    <xf borderId="31" fillId="23" fontId="19" numFmtId="0" xfId="0" applyAlignment="1" applyBorder="1" applyFont="1">
      <alignment horizontal="left" vertical="center"/>
    </xf>
    <xf borderId="9" fillId="31" fontId="16" numFmtId="0" xfId="0" applyAlignment="1" applyBorder="1" applyFill="1" applyFont="1">
      <alignment horizontal="center" vertical="center"/>
    </xf>
    <xf borderId="9" fillId="30" fontId="17" numFmtId="0" xfId="0" applyAlignment="1" applyBorder="1" applyFont="1">
      <alignment horizontal="center" vertical="center"/>
    </xf>
    <xf borderId="9" fillId="30" fontId="1" numFmtId="0" xfId="0" applyAlignment="1" applyBorder="1" applyFont="1">
      <alignment vertical="center"/>
    </xf>
    <xf borderId="9" fillId="30" fontId="1" numFmtId="0" xfId="0" applyAlignment="1" applyBorder="1" applyFont="1">
      <alignment vertical="center"/>
    </xf>
    <xf borderId="9" fillId="30" fontId="18" numFmtId="0" xfId="0" applyAlignment="1" applyBorder="1" applyFont="1">
      <alignment horizontal="left" vertical="center"/>
    </xf>
    <xf borderId="29" fillId="30" fontId="19" numFmtId="0" xfId="0" applyAlignment="1" applyBorder="1" applyFont="1">
      <alignment horizontal="left" vertical="center"/>
    </xf>
    <xf borderId="33" fillId="15" fontId="17" numFmtId="0" xfId="0" applyAlignment="1" applyBorder="1" applyFont="1">
      <alignment horizontal="center" readingOrder="0" vertical="center"/>
    </xf>
    <xf borderId="33" fillId="15" fontId="1" numFmtId="0" xfId="0" applyAlignment="1" applyBorder="1" applyFont="1">
      <alignment vertical="center"/>
    </xf>
    <xf borderId="0" fillId="23" fontId="17" numFmtId="0" xfId="0" applyAlignment="1" applyFont="1">
      <alignment horizontal="center" vertical="center"/>
    </xf>
    <xf borderId="0" fillId="23" fontId="18" numFmtId="0" xfId="0" applyAlignment="1" applyFont="1">
      <alignment horizontal="left" vertical="center"/>
    </xf>
    <xf borderId="33" fillId="17" fontId="1" numFmtId="0" xfId="0" applyAlignment="1" applyBorder="1" applyFont="1">
      <alignment vertical="center"/>
    </xf>
    <xf borderId="32" fillId="32" fontId="23" numFmtId="0" xfId="0" applyAlignment="1" applyBorder="1" applyFill="1" applyFont="1">
      <alignment horizontal="center" vertical="center"/>
    </xf>
    <xf borderId="33" fillId="32" fontId="18" numFmtId="0" xfId="0" applyAlignment="1" applyBorder="1" applyFont="1">
      <alignment horizontal="left" vertical="center"/>
    </xf>
    <xf borderId="34" fillId="32" fontId="1" numFmtId="0" xfId="0" applyAlignment="1" applyBorder="1" applyFont="1">
      <alignment horizontal="left" vertical="center"/>
    </xf>
    <xf borderId="30" fillId="0" fontId="21" numFmtId="0" xfId="0" applyAlignment="1" applyBorder="1" applyFont="1">
      <alignment horizontal="center" vertical="center"/>
    </xf>
    <xf borderId="0" fillId="0" fontId="21" numFmtId="0" xfId="0" applyAlignment="1" applyFont="1">
      <alignment horizontal="center" vertical="center"/>
    </xf>
    <xf borderId="0" fillId="14" fontId="16" numFmtId="0" xfId="0" applyAlignment="1" applyFont="1">
      <alignment horizontal="center" vertical="center"/>
    </xf>
    <xf borderId="9" fillId="33" fontId="16" numFmtId="0" xfId="0" applyAlignment="1" applyBorder="1" applyFill="1" applyFont="1">
      <alignment horizontal="center" vertical="center"/>
    </xf>
    <xf borderId="9" fillId="20" fontId="1" numFmtId="0" xfId="0" applyAlignment="1" applyBorder="1" applyFont="1">
      <alignment vertical="center"/>
    </xf>
    <xf borderId="0" fillId="18" fontId="20" numFmtId="0" xfId="0" applyAlignment="1" applyFont="1">
      <alignment horizontal="center" vertical="center"/>
    </xf>
    <xf borderId="0" fillId="18" fontId="18" numFmtId="0" xfId="0" applyAlignment="1" applyFont="1">
      <alignment horizontal="left" vertical="center"/>
    </xf>
    <xf borderId="31" fillId="21" fontId="22" numFmtId="0" xfId="0" applyAlignment="1" applyBorder="1" applyFont="1">
      <alignment horizontal="left" vertical="center"/>
    </xf>
    <xf borderId="9" fillId="34" fontId="16" numFmtId="0" xfId="0" applyAlignment="1" applyBorder="1" applyFill="1" applyFont="1">
      <alignment horizontal="center" vertical="center"/>
    </xf>
    <xf borderId="29" fillId="20" fontId="19" numFmtId="0" xfId="0" applyAlignment="1" applyBorder="1" applyFont="1">
      <alignment horizontal="left" vertical="center"/>
    </xf>
    <xf borderId="33" fillId="30" fontId="17" numFmtId="0" xfId="0" applyAlignment="1" applyBorder="1" applyFont="1">
      <alignment horizontal="center" vertical="center"/>
    </xf>
    <xf borderId="33" fillId="30" fontId="1" numFmtId="0" xfId="0" applyAlignment="1" applyBorder="1" applyFont="1">
      <alignment vertical="center"/>
    </xf>
    <xf borderId="33" fillId="30" fontId="18" numFmtId="0" xfId="0" applyAlignment="1" applyBorder="1" applyFont="1">
      <alignment horizontal="left" vertical="center"/>
    </xf>
    <xf borderId="34" fillId="30" fontId="19" numFmtId="0" xfId="0" applyAlignment="1" applyBorder="1" applyFont="1">
      <alignment horizontal="left" vertical="center"/>
    </xf>
    <xf borderId="0" fillId="0" fontId="15" numFmtId="0" xfId="0" applyAlignment="1" applyFont="1">
      <alignment horizontal="center" vertical="center"/>
    </xf>
    <xf borderId="0" fillId="26" fontId="16" numFmtId="0" xfId="0" applyAlignment="1" applyFont="1">
      <alignment horizontal="center" vertical="center"/>
    </xf>
    <xf borderId="31" fillId="30" fontId="19" numFmtId="0" xfId="0" applyAlignment="1" applyBorder="1" applyFont="1">
      <alignment horizontal="left" vertical="center"/>
    </xf>
    <xf borderId="0" fillId="15" fontId="17" numFmtId="0" xfId="0" applyAlignment="1" applyFont="1">
      <alignment horizontal="center" readingOrder="0" vertical="center"/>
    </xf>
    <xf borderId="9" fillId="30" fontId="17" numFmtId="0" xfId="0" applyAlignment="1" applyBorder="1" applyFont="1">
      <alignment horizontal="center" vertical="center"/>
    </xf>
    <xf borderId="9" fillId="30" fontId="18" numFmtId="0" xfId="0" applyAlignment="1" applyBorder="1" applyFont="1">
      <alignment horizontal="left" vertical="center"/>
    </xf>
    <xf borderId="29" fillId="30" fontId="19" numFmtId="0" xfId="0" applyAlignment="1" applyBorder="1" applyFont="1">
      <alignment horizontal="left" vertical="center"/>
    </xf>
    <xf borderId="31" fillId="29" fontId="19" numFmtId="0" xfId="0" applyAlignment="1" applyBorder="1" applyFont="1">
      <alignment horizontal="left" vertical="center"/>
    </xf>
    <xf borderId="33" fillId="25" fontId="17" numFmtId="0" xfId="0" applyAlignment="1" applyBorder="1" applyFont="1">
      <alignment horizontal="center" vertical="center"/>
    </xf>
    <xf borderId="33" fillId="25" fontId="1" numFmtId="0" xfId="0" applyAlignment="1" applyBorder="1" applyFont="1">
      <alignment vertical="center"/>
    </xf>
    <xf borderId="33" fillId="25" fontId="18" numFmtId="0" xfId="0" applyAlignment="1" applyBorder="1" applyFont="1">
      <alignment horizontal="left" vertical="center"/>
    </xf>
    <xf borderId="34" fillId="25" fontId="19" numFmtId="0" xfId="0" applyAlignment="1" applyBorder="1" applyFont="1">
      <alignment horizontal="left" vertical="center"/>
    </xf>
    <xf borderId="0" fillId="29" fontId="17" numFmtId="0" xfId="0" applyAlignment="1" applyFont="1">
      <alignment horizontal="center" vertical="center"/>
    </xf>
    <xf borderId="0" fillId="29" fontId="18" numFmtId="0" xfId="0" applyAlignment="1" applyFont="1">
      <alignment horizontal="left" vertical="center"/>
    </xf>
    <xf borderId="33" fillId="21" fontId="1" numFmtId="0" xfId="0" applyAlignment="1" applyBorder="1" applyFont="1">
      <alignment vertical="center"/>
    </xf>
    <xf borderId="34" fillId="21" fontId="19" numFmtId="0" xfId="0" applyAlignment="1" applyBorder="1" applyFont="1">
      <alignment horizontal="left" vertical="center"/>
    </xf>
    <xf borderId="29" fillId="17" fontId="19" numFmtId="0" xfId="0" applyAlignment="1" applyBorder="1" applyFont="1">
      <alignment horizontal="left" vertical="center"/>
    </xf>
    <xf borderId="9" fillId="0" fontId="21" numFmtId="0" xfId="0" applyAlignment="1" applyBorder="1" applyFont="1">
      <alignment horizontal="center" vertical="center"/>
    </xf>
    <xf borderId="9" fillId="22" fontId="17" numFmtId="0" xfId="0" applyAlignment="1" applyBorder="1" applyFont="1">
      <alignment horizontal="center" vertical="center"/>
    </xf>
    <xf borderId="9" fillId="22" fontId="1" numFmtId="0" xfId="0" applyAlignment="1" applyBorder="1" applyFont="1">
      <alignment vertical="center"/>
    </xf>
    <xf borderId="9" fillId="22" fontId="18" numFmtId="0" xfId="0" applyAlignment="1" applyBorder="1" applyFont="1">
      <alignment horizontal="left" vertical="center"/>
    </xf>
    <xf borderId="29" fillId="22" fontId="19" numFmtId="0" xfId="0" applyAlignment="1" applyBorder="1" applyFont="1">
      <alignment horizontal="left" vertical="center"/>
    </xf>
    <xf borderId="9" fillId="0" fontId="24" numFmtId="0" xfId="0" applyAlignment="1" applyBorder="1" applyFont="1">
      <alignment horizontal="center" vertical="center"/>
    </xf>
    <xf borderId="0" fillId="16" fontId="18" numFmtId="0" xfId="0" applyAlignment="1" applyFont="1">
      <alignment horizontal="left" shrinkToFit="0" vertical="center" wrapText="0"/>
    </xf>
    <xf borderId="33" fillId="18" fontId="18" numFmtId="0" xfId="0" applyAlignment="1" applyBorder="1" applyFont="1">
      <alignment horizontal="left" readingOrder="0" vertical="center"/>
    </xf>
    <xf borderId="9" fillId="16" fontId="18" numFmtId="0" xfId="0" applyAlignment="1" applyBorder="1" applyFont="1">
      <alignment horizontal="left" vertical="center"/>
    </xf>
    <xf borderId="31" fillId="20" fontId="19" numFmtId="0" xfId="0" applyAlignment="1" applyBorder="1" applyFont="1">
      <alignment horizontal="left" vertical="center"/>
    </xf>
    <xf borderId="33" fillId="25" fontId="17" numFmtId="0" xfId="0" applyAlignment="1" applyBorder="1" applyFont="1">
      <alignment horizontal="center" vertical="center"/>
    </xf>
    <xf borderId="33" fillId="25" fontId="1" numFmtId="0" xfId="0" applyAlignment="1" applyBorder="1" applyFont="1">
      <alignment vertical="center"/>
    </xf>
    <xf borderId="33" fillId="25" fontId="18" numFmtId="0" xfId="0" applyAlignment="1" applyBorder="1" applyFont="1">
      <alignment horizontal="left" vertical="center"/>
    </xf>
    <xf borderId="34" fillId="25" fontId="19" numFmtId="0" xfId="0" applyAlignment="1" applyBorder="1" applyFont="1">
      <alignment horizontal="left" vertical="center"/>
    </xf>
    <xf borderId="30" fillId="0" fontId="15" numFmtId="0" xfId="0" applyAlignment="1" applyBorder="1" applyFont="1">
      <alignment horizontal="center" vertical="center"/>
    </xf>
    <xf borderId="0" fillId="31" fontId="16" numFmtId="0" xfId="0" applyAlignment="1" applyFont="1">
      <alignment horizontal="center" vertical="center"/>
    </xf>
    <xf borderId="28" fillId="32" fontId="21" numFmtId="0" xfId="0" applyAlignment="1" applyBorder="1" applyFont="1">
      <alignment horizontal="center" vertical="center"/>
    </xf>
    <xf borderId="9" fillId="32" fontId="15" numFmtId="0" xfId="0" applyAlignment="1" applyBorder="1" applyFont="1">
      <alignment horizontal="center" vertical="center"/>
    </xf>
    <xf borderId="29" fillId="18" fontId="19" numFmtId="0" xfId="0" applyAlignment="1" applyBorder="1" applyFont="1">
      <alignment horizontal="left" vertical="center"/>
    </xf>
    <xf borderId="33" fillId="16" fontId="18" numFmtId="0" xfId="0" applyAlignment="1" applyBorder="1" applyFont="1">
      <alignment horizontal="left" shrinkToFit="0" vertical="center" wrapText="0"/>
    </xf>
    <xf borderId="33" fillId="17" fontId="17" numFmtId="0" xfId="0" applyAlignment="1" applyBorder="1" applyFont="1">
      <alignment horizontal="center" vertical="center"/>
    </xf>
    <xf borderId="33" fillId="17" fontId="18" numFmtId="0" xfId="0" applyAlignment="1" applyBorder="1" applyFont="1">
      <alignment horizontal="left" vertical="center"/>
    </xf>
    <xf borderId="34" fillId="17" fontId="19" numFmtId="0" xfId="0" applyAlignment="1" applyBorder="1" applyFont="1">
      <alignment horizontal="left" vertical="center"/>
    </xf>
    <xf borderId="0" fillId="21" fontId="25" numFmtId="0" xfId="0" applyAlignment="1" applyFont="1">
      <alignment horizontal="left" vertical="center"/>
    </xf>
    <xf borderId="0" fillId="18" fontId="18" numFmtId="0" xfId="0" applyAlignment="1" applyFont="1">
      <alignment horizontal="left" vertical="center"/>
    </xf>
    <xf borderId="0" fillId="18" fontId="19" numFmtId="0" xfId="0" applyAlignment="1" applyFont="1">
      <alignment horizontal="left" vertical="center"/>
    </xf>
    <xf borderId="9" fillId="20" fontId="1" numFmtId="0" xfId="0" applyAlignment="1" applyBorder="1" applyFont="1">
      <alignment horizontal="center" vertical="center"/>
    </xf>
    <xf borderId="0" fillId="17" fontId="1" numFmtId="0" xfId="0" applyAlignment="1" applyFont="1">
      <alignment horizontal="center" vertical="center"/>
    </xf>
    <xf borderId="0" fillId="23" fontId="26" numFmtId="0" xfId="0" applyAlignment="1" applyFont="1">
      <alignment horizontal="center" vertical="center"/>
    </xf>
    <xf borderId="0" fillId="23" fontId="1" numFmtId="0" xfId="0" applyAlignment="1" applyFont="1">
      <alignment horizontal="center" vertical="center"/>
    </xf>
    <xf borderId="0" fillId="21" fontId="1" numFmtId="0" xfId="0" applyAlignment="1" applyFont="1">
      <alignment horizontal="center" vertical="center"/>
    </xf>
    <xf borderId="33" fillId="30" fontId="26" numFmtId="0" xfId="0" applyAlignment="1" applyBorder="1" applyFont="1">
      <alignment horizontal="center" vertical="center"/>
    </xf>
    <xf borderId="33" fillId="30" fontId="1" numFmtId="0" xfId="0" applyAlignment="1" applyBorder="1" applyFont="1">
      <alignment horizontal="center" vertical="center"/>
    </xf>
    <xf borderId="9" fillId="17" fontId="17" numFmtId="0" xfId="0" applyAlignment="1" applyBorder="1" applyFont="1">
      <alignment horizontal="center" vertical="center"/>
    </xf>
    <xf borderId="9" fillId="17" fontId="1" numFmtId="0" xfId="0" applyAlignment="1" applyBorder="1" applyFont="1">
      <alignment vertical="center"/>
    </xf>
    <xf borderId="9" fillId="17" fontId="18" numFmtId="0" xfId="0" applyAlignment="1" applyBorder="1" applyFont="1">
      <alignment horizontal="left" vertical="center"/>
    </xf>
    <xf borderId="9" fillId="25" fontId="17" numFmtId="0" xfId="0" applyAlignment="1" applyBorder="1" applyFont="1">
      <alignment horizontal="center" vertical="center"/>
    </xf>
    <xf borderId="9" fillId="25" fontId="18" numFmtId="0" xfId="0" applyAlignment="1" applyBorder="1" applyFont="1">
      <alignment horizontal="left" vertical="center"/>
    </xf>
    <xf borderId="33" fillId="18" fontId="1" numFmtId="0" xfId="0" applyAlignment="1" applyBorder="1" applyFont="1">
      <alignment vertical="center"/>
    </xf>
    <xf borderId="0" fillId="0" fontId="1" numFmtId="0" xfId="0" applyAlignment="1" applyFont="1">
      <alignment vertical="bottom"/>
    </xf>
    <xf borderId="33" fillId="23" fontId="1" numFmtId="0" xfId="0" applyAlignment="1" applyBorder="1" applyFont="1">
      <alignment vertical="center"/>
    </xf>
    <xf borderId="34" fillId="23" fontId="19" numFmtId="0" xfId="0" applyAlignment="1" applyBorder="1" applyFont="1">
      <alignment horizontal="left" vertical="center"/>
    </xf>
    <xf borderId="9" fillId="25" fontId="1" numFmtId="0" xfId="0" applyAlignment="1" applyBorder="1" applyFont="1">
      <alignment vertical="center"/>
    </xf>
    <xf borderId="29" fillId="16" fontId="19" numFmtId="0" xfId="0" applyAlignment="1" applyBorder="1" applyFont="1">
      <alignment horizontal="left" vertical="center"/>
    </xf>
    <xf borderId="33" fillId="20" fontId="17" numFmtId="0" xfId="0" applyAlignment="1" applyBorder="1" applyFont="1">
      <alignment horizontal="center" vertical="center"/>
    </xf>
    <xf borderId="33" fillId="20" fontId="18" numFmtId="0" xfId="0" applyAlignment="1" applyBorder="1" applyFont="1">
      <alignment horizontal="left" vertical="center"/>
    </xf>
    <xf borderId="34" fillId="20" fontId="19" numFmtId="0" xfId="0" applyAlignment="1" applyBorder="1" applyFont="1">
      <alignment horizontal="left" vertical="center"/>
    </xf>
    <xf borderId="9" fillId="18" fontId="18" numFmtId="0" xfId="0" applyAlignment="1" applyBorder="1" applyFont="1">
      <alignment horizontal="left" vertical="center"/>
    </xf>
    <xf borderId="9" fillId="29" fontId="17" numFmtId="0" xfId="0" applyAlignment="1" applyBorder="1" applyFont="1">
      <alignment horizontal="center" vertical="center"/>
    </xf>
    <xf borderId="9" fillId="29" fontId="1" numFmtId="0" xfId="0" applyAlignment="1" applyBorder="1" applyFont="1">
      <alignment vertical="center"/>
    </xf>
    <xf borderId="9" fillId="29" fontId="1" numFmtId="0" xfId="0" applyAlignment="1" applyBorder="1" applyFont="1">
      <alignment vertical="center"/>
    </xf>
    <xf borderId="9" fillId="29" fontId="18" numFmtId="0" xfId="0" applyAlignment="1" applyBorder="1" applyFont="1">
      <alignment horizontal="left" vertical="center"/>
    </xf>
    <xf borderId="29" fillId="29" fontId="19" numFmtId="0" xfId="0" applyAlignment="1" applyBorder="1" applyFont="1">
      <alignment horizontal="left" vertical="center"/>
    </xf>
    <xf borderId="9" fillId="32" fontId="21" numFmtId="0" xfId="0" applyAlignment="1" applyBorder="1" applyFont="1">
      <alignment horizontal="center" vertical="center"/>
    </xf>
    <xf borderId="29" fillId="25" fontId="19" numFmtId="0" xfId="0" applyAlignment="1" applyBorder="1" applyFont="1">
      <alignment horizontal="left" vertical="center"/>
    </xf>
    <xf borderId="33" fillId="18" fontId="17" numFmtId="0" xfId="0" applyAlignment="1" applyBorder="1" applyFont="1">
      <alignment horizontal="center" vertical="center"/>
    </xf>
    <xf borderId="33" fillId="22" fontId="17" numFmtId="0" xfId="0" applyAlignment="1" applyBorder="1" applyFont="1">
      <alignment horizontal="center" vertical="center"/>
    </xf>
    <xf borderId="33" fillId="22" fontId="1" numFmtId="0" xfId="0" applyAlignment="1" applyBorder="1" applyFont="1">
      <alignment vertical="center"/>
    </xf>
    <xf borderId="33" fillId="22" fontId="18" numFmtId="0" xfId="0" applyAlignment="1" applyBorder="1" applyFont="1">
      <alignment horizontal="left" vertical="center"/>
    </xf>
    <xf borderId="34" fillId="22" fontId="19" numFmtId="0" xfId="0" applyAlignment="1" applyBorder="1" applyFont="1">
      <alignment horizontal="left" vertical="center"/>
    </xf>
    <xf borderId="9" fillId="16" fontId="1" numFmtId="0" xfId="0" applyAlignment="1" applyBorder="1" applyFont="1">
      <alignment vertical="center"/>
    </xf>
    <xf borderId="33" fillId="22" fontId="1" numFmtId="0" xfId="0" applyAlignment="1" applyBorder="1" applyFont="1">
      <alignment vertical="center"/>
    </xf>
    <xf borderId="34" fillId="22" fontId="19" numFmtId="0" xfId="0" applyAlignment="1" applyBorder="1" applyFont="1">
      <alignment horizontal="left" vertical="center"/>
    </xf>
    <xf borderId="33" fillId="22" fontId="17" numFmtId="0" xfId="0" applyAlignment="1" applyBorder="1" applyFont="1">
      <alignment horizontal="center" vertical="center"/>
    </xf>
    <xf borderId="33" fillId="22" fontId="18" numFmtId="0" xfId="0" applyAlignment="1" applyBorder="1" applyFont="1">
      <alignment horizontal="left" vertical="center"/>
    </xf>
    <xf borderId="33" fillId="16" fontId="1" numFmtId="0" xfId="0" applyAlignment="1" applyBorder="1" applyFont="1">
      <alignment vertical="center"/>
    </xf>
    <xf borderId="34" fillId="16" fontId="19" numFmtId="0" xfId="0" applyAlignment="1" applyBorder="1" applyFont="1">
      <alignment horizontal="left" vertical="center"/>
    </xf>
    <xf borderId="0" fillId="30" fontId="17" numFmtId="0" xfId="0" applyAlignment="1" applyFont="1">
      <alignment horizontal="center" vertical="center"/>
    </xf>
    <xf borderId="0" fillId="30" fontId="18" numFmtId="0" xfId="0" applyAlignment="1" applyFont="1">
      <alignment horizontal="left" vertical="center"/>
    </xf>
    <xf borderId="33" fillId="15" fontId="17" numFmtId="0" xfId="0" applyAlignment="1" applyBorder="1" applyFont="1">
      <alignment horizontal="center" vertical="center"/>
    </xf>
    <xf borderId="33" fillId="15" fontId="18" numFmtId="0" xfId="0" applyAlignment="1" applyBorder="1" applyFont="1">
      <alignment horizontal="left" vertical="center"/>
    </xf>
    <xf borderId="31" fillId="16" fontId="22" numFmtId="0" xfId="0" applyAlignment="1" applyBorder="1" applyFont="1">
      <alignment horizontal="left" vertical="center"/>
    </xf>
    <xf borderId="34" fillId="23" fontId="22" numFmtId="0" xfId="0" applyAlignment="1" applyBorder="1" applyFont="1">
      <alignment horizontal="left" vertical="center"/>
    </xf>
    <xf borderId="9" fillId="29" fontId="17" numFmtId="0" xfId="0" applyAlignment="1" applyBorder="1" applyFont="1">
      <alignment horizontal="center" vertical="center"/>
    </xf>
    <xf borderId="9" fillId="29" fontId="18" numFmtId="0" xfId="0" applyAlignment="1" applyBorder="1" applyFont="1">
      <alignment horizontal="left" vertical="center"/>
    </xf>
    <xf borderId="29" fillId="29" fontId="19" numFmtId="0" xfId="0" applyAlignment="1" applyBorder="1" applyFont="1">
      <alignment horizontal="left" vertical="center"/>
    </xf>
    <xf borderId="9" fillId="18" fontId="17" numFmtId="0" xfId="0" applyAlignment="1" applyBorder="1" applyFont="1">
      <alignment horizontal="center" vertical="center"/>
    </xf>
    <xf borderId="31" fillId="17" fontId="22" numFmtId="0" xfId="0" applyAlignment="1" applyBorder="1" applyFont="1">
      <alignment horizontal="left" vertical="center"/>
    </xf>
    <xf borderId="33" fillId="29" fontId="1" numFmtId="0" xfId="0" applyAlignment="1" applyBorder="1" applyFont="1">
      <alignment vertical="center"/>
    </xf>
    <xf borderId="34" fillId="29" fontId="19" numFmtId="0" xfId="0" applyAlignment="1" applyBorder="1" applyFont="1">
      <alignment horizontal="left" vertical="center"/>
    </xf>
    <xf borderId="29" fillId="16" fontId="22" numFmtId="0" xfId="0" applyAlignment="1" applyBorder="1" applyFont="1">
      <alignment horizontal="left" vertical="center"/>
    </xf>
    <xf borderId="29" fillId="17" fontId="22" numFmtId="0" xfId="0" applyAlignment="1" applyBorder="1" applyFont="1">
      <alignment horizontal="left" vertical="center"/>
    </xf>
    <xf borderId="9" fillId="21" fontId="17" numFmtId="0" xfId="0" applyAlignment="1" applyBorder="1" applyFont="1">
      <alignment horizontal="center" vertical="center"/>
    </xf>
    <xf borderId="9" fillId="21" fontId="1" numFmtId="0" xfId="0" applyAlignment="1" applyBorder="1" applyFont="1">
      <alignment vertical="center"/>
    </xf>
    <xf borderId="9" fillId="21" fontId="18" numFmtId="0" xfId="0" applyAlignment="1" applyBorder="1" applyFont="1">
      <alignment horizontal="left" vertical="center"/>
    </xf>
    <xf borderId="29" fillId="21" fontId="19" numFmtId="0" xfId="0" applyAlignment="1" applyBorder="1" applyFont="1">
      <alignment horizontal="left" vertical="center"/>
    </xf>
    <xf borderId="9" fillId="21" fontId="1" numFmtId="0" xfId="0" applyAlignment="1" applyBorder="1" applyFont="1">
      <alignment vertical="center"/>
    </xf>
    <xf borderId="31" fillId="18" fontId="22" numFmtId="0" xfId="0" applyAlignment="1" applyBorder="1" applyFont="1">
      <alignment horizontal="left" vertical="center"/>
    </xf>
    <xf borderId="0" fillId="0" fontId="1" numFmtId="0" xfId="0" applyFont="1"/>
    <xf borderId="31" fillId="20" fontId="22" numFmtId="0" xfId="0" applyAlignment="1" applyBorder="1" applyFont="1">
      <alignment horizontal="left" vertical="center"/>
    </xf>
    <xf borderId="9" fillId="0" fontId="27" numFmtId="0" xfId="0" applyAlignment="1" applyBorder="1" applyFont="1">
      <alignment horizontal="center" readingOrder="0" vertical="center"/>
    </xf>
    <xf borderId="30" fillId="0" fontId="21" numFmtId="0" xfId="0" applyAlignment="1" applyBorder="1" applyFont="1">
      <alignment horizontal="center" readingOrder="0" vertical="center"/>
    </xf>
    <xf borderId="0" fillId="0" fontId="27" numFmtId="0" xfId="0" applyAlignment="1" applyFont="1">
      <alignment horizontal="center" readingOrder="0" vertical="center"/>
    </xf>
    <xf borderId="0" fillId="34" fontId="16" numFmtId="0" xfId="0" applyAlignment="1" applyFont="1">
      <alignment horizontal="center" vertical="center"/>
    </xf>
    <xf borderId="34" fillId="15" fontId="19" numFmtId="0" xfId="0" applyAlignment="1" applyBorder="1" applyFont="1">
      <alignment horizontal="left" vertical="center"/>
    </xf>
    <xf borderId="28" fillId="0" fontId="28" numFmtId="0" xfId="0" applyAlignment="1" applyBorder="1" applyFont="1">
      <alignment horizontal="center" readingOrder="0" vertical="center"/>
    </xf>
    <xf borderId="9" fillId="21" fontId="17" numFmtId="0" xfId="0" applyAlignment="1" applyBorder="1" applyFont="1">
      <alignment horizontal="center" vertical="center"/>
    </xf>
    <xf borderId="9" fillId="21" fontId="18" numFmtId="0" xfId="0" applyAlignment="1" applyBorder="1" applyFont="1">
      <alignment horizontal="left" vertical="center"/>
    </xf>
    <xf borderId="34" fillId="17" fontId="22" numFmtId="0" xfId="0" applyAlignment="1" applyBorder="1" applyFont="1">
      <alignment horizontal="left" vertical="center"/>
    </xf>
    <xf borderId="29" fillId="21" fontId="19" numFmtId="0" xfId="0" applyAlignment="1" applyBorder="1" applyFont="1">
      <alignment horizontal="left" vertical="center"/>
    </xf>
    <xf borderId="33" fillId="30" fontId="1" numFmtId="0" xfId="0" applyAlignment="1" applyBorder="1" applyFont="1">
      <alignment vertical="center"/>
    </xf>
    <xf borderId="28" fillId="0" fontId="29" numFmtId="0" xfId="0" applyAlignment="1" applyBorder="1" applyFont="1">
      <alignment horizontal="center" vertical="center"/>
    </xf>
    <xf borderId="9" fillId="32" fontId="30" numFmtId="0" xfId="0" applyAlignment="1" applyBorder="1" applyFont="1">
      <alignment horizontal="center" vertical="center"/>
    </xf>
    <xf borderId="0" fillId="0" fontId="16" numFmtId="0" xfId="0" applyAlignment="1" applyFont="1">
      <alignment horizontal="center" vertical="center"/>
    </xf>
    <xf borderId="33" fillId="6" fontId="31" numFmtId="0" xfId="0" applyAlignment="1" applyBorder="1" applyFont="1">
      <alignment horizontal="center" readingOrder="0" vertical="center"/>
    </xf>
    <xf borderId="33" fillId="6" fontId="31" numFmtId="0" xfId="0" applyAlignment="1" applyBorder="1" applyFont="1">
      <alignment horizontal="center" vertical="bottom"/>
    </xf>
    <xf borderId="33" fillId="6" fontId="2" numFmtId="0" xfId="0" applyAlignment="1" applyBorder="1" applyFont="1">
      <alignment readingOrder="0"/>
    </xf>
    <xf borderId="33" fillId="6" fontId="1" numFmtId="0" xfId="0" applyAlignment="1" applyBorder="1" applyFont="1">
      <alignment vertical="bottom"/>
    </xf>
    <xf borderId="33" fillId="6" fontId="18" numFmtId="0" xfId="0" applyAlignment="1" applyBorder="1" applyFont="1">
      <alignment readingOrder="0" vertical="bottom"/>
    </xf>
    <xf borderId="34" fillId="6" fontId="19" numFmtId="0" xfId="0" applyAlignment="1" applyBorder="1" applyFont="1">
      <alignment horizontal="left" readingOrder="0"/>
    </xf>
    <xf borderId="34" fillId="30" fontId="19" numFmtId="0" xfId="0" applyAlignment="1" applyBorder="1" applyFont="1">
      <alignment horizontal="left" vertical="center"/>
    </xf>
    <xf borderId="9" fillId="35" fontId="16" numFmtId="0" xfId="0" applyAlignment="1" applyBorder="1" applyFill="1" applyFont="1">
      <alignment horizontal="center" vertical="center"/>
    </xf>
    <xf borderId="29" fillId="20" fontId="22" numFmtId="0" xfId="0" applyAlignment="1" applyBorder="1" applyFont="1">
      <alignment horizontal="left" vertical="center"/>
    </xf>
    <xf borderId="9" fillId="0" fontId="28" numFmtId="0" xfId="0" applyAlignment="1" applyBorder="1" applyFont="1">
      <alignment horizontal="center" readingOrder="0" vertical="center"/>
    </xf>
    <xf borderId="0" fillId="15" fontId="17" numFmtId="0" xfId="0" applyAlignment="1" applyFont="1">
      <alignment horizontal="center"/>
    </xf>
    <xf borderId="0" fillId="15" fontId="1" numFmtId="0" xfId="0" applyFont="1"/>
    <xf borderId="0" fillId="15" fontId="18" numFmtId="0" xfId="0" applyFont="1"/>
    <xf borderId="31" fillId="15" fontId="19" numFmtId="0" xfId="0" applyBorder="1" applyFont="1"/>
    <xf borderId="32" fillId="27" fontId="32" numFmtId="0" xfId="0" applyAlignment="1" applyBorder="1" applyFont="1">
      <alignment horizontal="center" vertical="center"/>
    </xf>
    <xf borderId="0" fillId="27" fontId="18" numFmtId="0" xfId="0" applyAlignment="1" applyFont="1">
      <alignment horizontal="left" vertical="center"/>
    </xf>
    <xf borderId="31" fillId="27" fontId="1" numFmtId="0" xfId="0" applyAlignment="1" applyBorder="1" applyFont="1">
      <alignment horizontal="left" vertical="center"/>
    </xf>
    <xf borderId="33" fillId="0" fontId="17" numFmtId="0" xfId="0" applyAlignment="1" applyBorder="1" applyFont="1">
      <alignment horizontal="center" vertical="center"/>
    </xf>
    <xf borderId="33" fillId="0" fontId="1" numFmtId="0" xfId="0" applyAlignment="1" applyBorder="1" applyFont="1">
      <alignment vertical="center"/>
    </xf>
    <xf borderId="33" fillId="0" fontId="18" numFmtId="0" xfId="0" applyAlignment="1" applyBorder="1" applyFont="1">
      <alignment horizontal="left" vertical="center"/>
    </xf>
    <xf borderId="34" fillId="0" fontId="1" numFmtId="0" xfId="0" applyAlignment="1" applyBorder="1" applyFont="1">
      <alignment horizontal="left" vertical="center"/>
    </xf>
    <xf borderId="33" fillId="20" fontId="1" numFmtId="0" xfId="0" applyAlignment="1" applyBorder="1" applyFont="1">
      <alignment vertical="center"/>
    </xf>
    <xf borderId="9" fillId="16" fontId="17" numFmtId="0" xfId="0" applyAlignment="1" applyBorder="1" applyFont="1">
      <alignment horizontal="center" vertical="center"/>
    </xf>
    <xf borderId="9" fillId="16" fontId="18" numFmtId="0" xfId="0" applyAlignment="1" applyBorder="1" applyFont="1">
      <alignment horizontal="left" vertical="center"/>
    </xf>
    <xf borderId="0" fillId="19" fontId="16" numFmtId="0" xfId="0" applyAlignment="1" applyFont="1">
      <alignment horizontal="center" vertical="center"/>
    </xf>
    <xf borderId="35" fillId="18" fontId="17" numFmtId="0" xfId="0" applyAlignment="1" applyBorder="1" applyFont="1">
      <alignment horizontal="center" vertical="center"/>
    </xf>
    <xf borderId="9" fillId="18" fontId="33" numFmtId="0" xfId="0" applyAlignment="1" applyBorder="1" applyFont="1">
      <alignment horizontal="center" vertical="center"/>
    </xf>
    <xf borderId="9" fillId="0" fontId="5" numFmtId="0" xfId="0" applyBorder="1" applyFont="1"/>
    <xf borderId="36" fillId="20" fontId="17" numFmtId="0" xfId="0" applyAlignment="1" applyBorder="1" applyFont="1">
      <alignment horizontal="center" vertical="center"/>
    </xf>
    <xf borderId="37" fillId="23" fontId="17" numFmtId="0" xfId="0" applyAlignment="1" applyBorder="1" applyFont="1">
      <alignment horizontal="center" vertical="center"/>
    </xf>
    <xf borderId="38" fillId="23" fontId="17" numFmtId="0" xfId="0" applyAlignment="1" applyBorder="1" applyFont="1">
      <alignment horizontal="center" vertical="center"/>
    </xf>
    <xf borderId="38" fillId="0" fontId="5" numFmtId="0" xfId="0" applyBorder="1" applyFont="1"/>
    <xf borderId="38" fillId="23" fontId="18" numFmtId="0" xfId="0" applyAlignment="1" applyBorder="1" applyFont="1">
      <alignment horizontal="left" vertical="center"/>
    </xf>
    <xf borderId="39" fillId="23" fontId="19" numFmtId="0" xfId="0" applyAlignment="1" applyBorder="1" applyFont="1">
      <alignment horizontal="left" vertical="center"/>
    </xf>
    <xf borderId="0" fillId="17" fontId="33" numFmtId="0" xfId="0" applyAlignment="1" applyFont="1">
      <alignment horizontal="center" vertical="center"/>
    </xf>
    <xf borderId="0" fillId="16" fontId="18" numFmtId="0" xfId="0" applyAlignment="1" applyFont="1">
      <alignment horizontal="left" vertical="center"/>
    </xf>
    <xf borderId="0" fillId="16" fontId="19" numFmtId="0" xfId="0" applyAlignment="1" applyFont="1">
      <alignment horizontal="left" vertical="center"/>
    </xf>
    <xf borderId="0" fillId="25" fontId="19" numFmtId="0" xfId="0" applyAlignment="1" applyFont="1">
      <alignment horizontal="left" vertical="center"/>
    </xf>
    <xf borderId="34" fillId="0" fontId="5" numFmtId="0" xfId="0" applyBorder="1" applyFont="1"/>
    <xf borderId="33" fillId="29" fontId="17" numFmtId="0" xfId="0" applyAlignment="1" applyBorder="1" applyFont="1">
      <alignment horizontal="center" vertical="center"/>
    </xf>
    <xf borderId="33" fillId="29" fontId="18" numFmtId="0" xfId="0" applyAlignment="1" applyBorder="1" applyFont="1">
      <alignment horizontal="left" vertical="center"/>
    </xf>
    <xf borderId="9" fillId="18" fontId="18" numFmtId="0" xfId="0" applyAlignment="1" applyBorder="1" applyFont="1">
      <alignment horizontal="left" vertical="center"/>
    </xf>
    <xf borderId="29" fillId="18" fontId="22" numFmtId="0" xfId="0" applyAlignment="1" applyBorder="1" applyFont="1">
      <alignment horizontal="left" vertical="center"/>
    </xf>
    <xf borderId="33" fillId="30" fontId="17" numFmtId="0" xfId="0" applyAlignment="1" applyBorder="1" applyFont="1">
      <alignment horizontal="center" vertical="center"/>
    </xf>
    <xf borderId="33" fillId="30" fontId="18" numFmtId="0" xfId="0" applyAlignment="1" applyBorder="1" applyFont="1">
      <alignment horizontal="left" vertical="center"/>
    </xf>
    <xf borderId="31" fillId="23" fontId="22" numFmtId="0" xfId="0" applyAlignment="1" applyBorder="1" applyFont="1">
      <alignment horizontal="left" vertical="center"/>
    </xf>
    <xf borderId="9" fillId="36" fontId="16" numFmtId="0" xfId="0" applyAlignment="1" applyBorder="1" applyFill="1" applyFont="1">
      <alignment horizontal="center" vertical="center"/>
    </xf>
    <xf borderId="9" fillId="23" fontId="17" numFmtId="0" xfId="0" applyAlignment="1" applyBorder="1" applyFont="1">
      <alignment horizontal="center" vertical="center"/>
    </xf>
    <xf borderId="9" fillId="23" fontId="18" numFmtId="0" xfId="0" applyAlignment="1" applyBorder="1" applyFont="1">
      <alignment horizontal="left" vertical="center"/>
    </xf>
    <xf borderId="31" fillId="20" fontId="22" numFmtId="0" xfId="0" applyAlignment="1" applyBorder="1" applyFont="1">
      <alignment horizontal="left" vertical="center"/>
    </xf>
    <xf borderId="31" fillId="18" fontId="19" numFmtId="0" xfId="0" applyAlignment="1" applyBorder="1" applyFont="1">
      <alignment vertical="center"/>
    </xf>
    <xf borderId="34" fillId="20" fontId="19" numFmtId="0" xfId="0" applyAlignment="1" applyBorder="1" applyFont="1">
      <alignment horizontal="left" vertical="center"/>
    </xf>
    <xf borderId="0" fillId="36" fontId="16" numFmtId="0" xfId="0" applyAlignment="1" applyFont="1">
      <alignment horizontal="center" vertical="center"/>
    </xf>
    <xf borderId="40" fillId="0" fontId="21" numFmtId="0" xfId="0" applyAlignment="1" applyBorder="1" applyFont="1">
      <alignment horizontal="center" vertical="center"/>
    </xf>
    <xf borderId="41" fillId="0" fontId="5" numFmtId="0" xfId="0" applyBorder="1" applyFont="1"/>
    <xf borderId="42" fillId="0" fontId="5" numFmtId="0" xfId="0" applyBorder="1" applyFont="1"/>
    <xf borderId="28" fillId="14" fontId="21" numFmtId="0" xfId="0" applyAlignment="1" applyBorder="1" applyFont="1">
      <alignment horizontal="center" vertical="center"/>
    </xf>
    <xf borderId="9" fillId="14" fontId="21" numFmtId="0" xfId="0" applyAlignment="1" applyBorder="1" applyFont="1">
      <alignment horizontal="center" vertical="center"/>
    </xf>
    <xf borderId="28" fillId="0" fontId="21" numFmtId="0" xfId="0" applyAlignment="1" applyBorder="1" applyFont="1">
      <alignment horizontal="center" vertical="center"/>
    </xf>
    <xf borderId="0" fillId="17" fontId="19" numFmtId="0" xfId="0" applyAlignment="1" applyFont="1">
      <alignment horizontal="left" vertical="center"/>
    </xf>
    <xf borderId="9" fillId="30" fontId="20" numFmtId="0" xfId="0" applyAlignment="1" applyBorder="1" applyFont="1">
      <alignment horizontal="center" vertical="center"/>
    </xf>
    <xf borderId="31" fillId="21" fontId="22" numFmtId="0" xfId="0" applyAlignment="1" applyBorder="1" applyFont="1">
      <alignment horizontal="left" vertical="center"/>
    </xf>
    <xf borderId="34" fillId="17" fontId="22" numFmtId="0" xfId="0" applyAlignment="1" applyBorder="1" applyFont="1">
      <alignment horizontal="left" vertical="center"/>
    </xf>
    <xf borderId="34" fillId="16" fontId="22" numFmtId="0" xfId="0" applyAlignment="1" applyBorder="1" applyFont="1">
      <alignment horizontal="left" vertical="center"/>
    </xf>
    <xf borderId="34" fillId="21" fontId="22" numFmtId="0" xfId="0" applyAlignment="1" applyBorder="1" applyFont="1">
      <alignment horizontal="left" vertical="center"/>
    </xf>
    <xf borderId="31" fillId="29" fontId="22" numFmtId="0" xfId="0" applyAlignment="1" applyBorder="1" applyFont="1">
      <alignment horizontal="left" vertical="center"/>
    </xf>
    <xf borderId="43" fillId="0" fontId="15" numFmtId="0" xfId="0" applyAlignment="1" applyBorder="1" applyFont="1">
      <alignment horizontal="center" vertical="center"/>
    </xf>
    <xf borderId="44" fillId="0" fontId="15" numFmtId="0" xfId="0" applyAlignment="1" applyBorder="1" applyFont="1">
      <alignment horizontal="center" vertical="center"/>
    </xf>
    <xf borderId="44" fillId="36" fontId="16" numFmtId="0" xfId="0" applyAlignment="1" applyBorder="1" applyFont="1">
      <alignment horizontal="center" vertical="center"/>
    </xf>
    <xf borderId="44" fillId="17" fontId="17" numFmtId="0" xfId="0" applyAlignment="1" applyBorder="1" applyFont="1">
      <alignment horizontal="center" vertical="center"/>
    </xf>
    <xf borderId="44" fillId="17" fontId="1" numFmtId="0" xfId="0" applyAlignment="1" applyBorder="1" applyFont="1">
      <alignment vertical="center"/>
    </xf>
    <xf borderId="44" fillId="17" fontId="18" numFmtId="0" xfId="0" applyAlignment="1" applyBorder="1" applyFont="1">
      <alignment horizontal="left" vertical="center"/>
    </xf>
    <xf borderId="45" fillId="17" fontId="19" numFmtId="0" xfId="0" applyAlignment="1" applyBorder="1" applyFont="1">
      <alignment horizontal="left" vertical="center"/>
    </xf>
    <xf borderId="31" fillId="29" fontId="22" numFmtId="0" xfId="0" applyAlignment="1" applyBorder="1" applyFont="1">
      <alignment horizontal="left" vertical="center"/>
    </xf>
    <xf borderId="0" fillId="0" fontId="17" numFmtId="0" xfId="0" applyAlignment="1" applyFont="1">
      <alignment horizontal="center" readingOrder="0"/>
    </xf>
    <xf borderId="0" fillId="29" fontId="17" numFmtId="0" xfId="0" applyAlignment="1" applyFont="1">
      <alignment horizontal="center" readingOrder="0" vertical="center"/>
    </xf>
    <xf borderId="0" fillId="35" fontId="16" numFmtId="0" xfId="0" applyAlignment="1" applyFont="1">
      <alignment horizontal="center" vertical="center"/>
    </xf>
    <xf borderId="9" fillId="18" fontId="34" numFmtId="0" xfId="0" applyAlignment="1" applyBorder="1" applyFont="1">
      <alignment horizontal="center" vertical="center"/>
    </xf>
    <xf borderId="33" fillId="23" fontId="17" numFmtId="0" xfId="0" applyAlignment="1" applyBorder="1" applyFont="1">
      <alignment horizontal="center" vertical="center"/>
    </xf>
    <xf borderId="33" fillId="23" fontId="18" numFmtId="0" xfId="0" applyAlignment="1" applyBorder="1" applyFont="1">
      <alignment horizontal="left" vertical="center"/>
    </xf>
    <xf borderId="9" fillId="17" fontId="34" numFmtId="0" xfId="0" applyAlignment="1" applyBorder="1" applyFont="1">
      <alignment horizontal="center" vertical="center"/>
    </xf>
    <xf borderId="30" fillId="37" fontId="21" numFmtId="0" xfId="0" applyAlignment="1" applyBorder="1" applyFill="1" applyFont="1">
      <alignment horizontal="center" vertical="center"/>
    </xf>
    <xf borderId="0" fillId="37" fontId="21" numFmtId="0" xfId="0" applyAlignment="1" applyFont="1">
      <alignment horizontal="center" vertical="center"/>
    </xf>
    <xf borderId="34" fillId="18" fontId="19" numFmtId="0" xfId="0" applyAlignment="1" applyBorder="1" applyFont="1">
      <alignment horizontal="left" vertical="center"/>
    </xf>
    <xf borderId="9" fillId="22" fontId="1" numFmtId="0" xfId="0" applyAlignment="1" applyBorder="1" applyFont="1">
      <alignment vertical="center"/>
    </xf>
    <xf borderId="29" fillId="22" fontId="19" numFmtId="0" xfId="0" applyAlignment="1" applyBorder="1" applyFont="1">
      <alignment horizontal="left" vertical="center"/>
    </xf>
    <xf borderId="9" fillId="20" fontId="19" numFmtId="0" xfId="0" applyAlignment="1" applyBorder="1" applyFont="1">
      <alignment horizontal="left" vertical="center"/>
    </xf>
    <xf borderId="0" fillId="15" fontId="19" numFmtId="0" xfId="0" applyAlignment="1" applyFont="1">
      <alignment horizontal="left" vertical="center"/>
    </xf>
    <xf borderId="28" fillId="0" fontId="21" numFmtId="0" xfId="0" applyAlignment="1" applyBorder="1" applyFont="1">
      <alignment horizontal="center" shrinkToFit="0" vertical="center" wrapText="1"/>
    </xf>
    <xf borderId="9" fillId="0" fontId="21" numFmtId="0" xfId="0" applyAlignment="1" applyBorder="1" applyFont="1">
      <alignment horizontal="center" shrinkToFit="0" vertical="center" wrapText="1"/>
    </xf>
    <xf borderId="33" fillId="16" fontId="17" numFmtId="0" xfId="0" applyAlignment="1" applyBorder="1" applyFont="1">
      <alignment horizontal="center" vertical="center"/>
    </xf>
    <xf borderId="33" fillId="16" fontId="18" numFmtId="0" xfId="0" applyAlignment="1" applyBorder="1" applyFont="1">
      <alignment horizontal="left" vertical="center"/>
    </xf>
    <xf borderId="9" fillId="0" fontId="21" numFmtId="0" xfId="0" applyAlignment="1" applyBorder="1" applyFont="1">
      <alignment horizontal="center" readingOrder="0" vertical="center"/>
    </xf>
    <xf borderId="28" fillId="0" fontId="35" numFmtId="0" xfId="0" applyAlignment="1" applyBorder="1" applyFont="1">
      <alignment horizontal="center" readingOrder="0" vertical="center"/>
    </xf>
    <xf borderId="9" fillId="25" fontId="17" numFmtId="0" xfId="0" applyAlignment="1" applyBorder="1" applyFont="1">
      <alignment horizontal="center" readingOrder="0" vertical="center"/>
    </xf>
    <xf borderId="32" fillId="31" fontId="36" numFmtId="0" xfId="0" applyAlignment="1" applyBorder="1" applyFont="1">
      <alignment horizontal="center" vertical="center"/>
    </xf>
    <xf borderId="33" fillId="31" fontId="18" numFmtId="0" xfId="0" applyAlignment="1" applyBorder="1" applyFont="1">
      <alignment horizontal="left" vertical="center"/>
    </xf>
    <xf borderId="34" fillId="31" fontId="1" numFmtId="0" xfId="0" applyAlignment="1" applyBorder="1" applyFont="1">
      <alignment horizontal="left" vertical="center"/>
    </xf>
    <xf borderId="0" fillId="16" fontId="18" numFmtId="0" xfId="0" applyAlignment="1" applyFont="1">
      <alignment horizontal="left" shrinkToFit="0" vertical="center" wrapText="0"/>
    </xf>
    <xf borderId="30" fillId="27" fontId="21" numFmtId="0" xfId="0" applyAlignment="1" applyBorder="1" applyFont="1">
      <alignment horizontal="center" vertical="center"/>
    </xf>
    <xf borderId="0" fillId="0" fontId="21" numFmtId="0" xfId="0" applyAlignment="1" applyFont="1">
      <alignment horizontal="center" vertical="center"/>
    </xf>
    <xf borderId="9" fillId="15" fontId="17" numFmtId="0" xfId="0" applyAlignment="1" applyBorder="1" applyFont="1">
      <alignment horizontal="center" vertical="center"/>
    </xf>
    <xf borderId="9" fillId="15" fontId="18" numFmtId="0" xfId="0" applyAlignment="1" applyBorder="1" applyFont="1">
      <alignment horizontal="left" vertical="center"/>
    </xf>
    <xf borderId="29" fillId="15" fontId="19" numFmtId="0" xfId="0" applyAlignment="1" applyBorder="1" applyFont="1">
      <alignment horizontal="left" vertical="center"/>
    </xf>
    <xf borderId="34" fillId="23" fontId="22" numFmtId="0" xfId="0" applyAlignment="1" applyBorder="1" applyFont="1">
      <alignment horizontal="left" vertical="center"/>
    </xf>
    <xf borderId="33" fillId="0" fontId="17" numFmtId="0" xfId="0" applyAlignment="1" applyBorder="1" applyFont="1">
      <alignment horizontal="center" readingOrder="0"/>
    </xf>
    <xf borderId="33" fillId="0" fontId="31" numFmtId="0" xfId="0" applyAlignment="1" applyBorder="1" applyFont="1">
      <alignment horizontal="center" readingOrder="0" vertical="center"/>
    </xf>
    <xf borderId="33" fillId="0" fontId="2" numFmtId="0" xfId="0" applyAlignment="1" applyBorder="1" applyFont="1">
      <alignment horizontal="center" vertical="center"/>
    </xf>
    <xf borderId="33" fillId="0" fontId="2" numFmtId="0" xfId="0" applyAlignment="1" applyBorder="1" applyFont="1">
      <alignment vertical="center"/>
    </xf>
    <xf borderId="33" fillId="0" fontId="37" numFmtId="0" xfId="0" applyAlignment="1" applyBorder="1" applyFont="1">
      <alignment readingOrder="0"/>
    </xf>
    <xf borderId="9" fillId="20" fontId="18" numFmtId="0" xfId="0" applyAlignment="1" applyBorder="1" applyFont="1">
      <alignment horizontal="left" readingOrder="0" vertical="center"/>
    </xf>
    <xf borderId="0" fillId="6" fontId="31" numFmtId="0" xfId="0" applyAlignment="1" applyFont="1">
      <alignment horizontal="center" vertical="center"/>
    </xf>
    <xf borderId="0" fillId="6" fontId="31" numFmtId="0" xfId="0" applyAlignment="1" applyFont="1">
      <alignment horizontal="center" vertical="bottom"/>
    </xf>
    <xf borderId="0" fillId="6" fontId="18" numFmtId="0" xfId="0" applyAlignment="1" applyFont="1">
      <alignment vertical="bottom"/>
    </xf>
    <xf borderId="31" fillId="6" fontId="19" numFmtId="0" xfId="0" applyAlignment="1" applyBorder="1" applyFont="1">
      <alignment horizontal="left" readingOrder="0"/>
    </xf>
    <xf borderId="9" fillId="0" fontId="35" numFmtId="0" xfId="0" applyAlignment="1" applyBorder="1" applyFont="1">
      <alignment horizontal="center" readingOrder="0" vertical="center"/>
    </xf>
    <xf borderId="31" fillId="23" fontId="22" numFmtId="0" xfId="0" applyAlignment="1" applyBorder="1" applyFont="1">
      <alignment horizontal="left" vertical="center"/>
    </xf>
    <xf borderId="28" fillId="0" fontId="15" numFmtId="0" xfId="0" applyAlignment="1" applyBorder="1" applyFont="1">
      <alignment horizontal="center" vertical="center"/>
    </xf>
    <xf borderId="9" fillId="0" fontId="15" numFmtId="0" xfId="0" applyAlignment="1" applyBorder="1" applyFont="1">
      <alignment horizontal="center" vertical="center"/>
    </xf>
    <xf borderId="44" fillId="0" fontId="21" numFmtId="0" xfId="0" applyAlignment="1" applyBorder="1" applyFont="1">
      <alignment horizontal="center" vertical="center"/>
    </xf>
    <xf borderId="44" fillId="34" fontId="16" numFmtId="0" xfId="0" applyAlignment="1" applyBorder="1" applyFont="1">
      <alignment horizontal="center" vertical="center"/>
    </xf>
    <xf borderId="44" fillId="21" fontId="17" numFmtId="0" xfId="0" applyAlignment="1" applyBorder="1" applyFont="1">
      <alignment horizontal="center" vertical="center"/>
    </xf>
    <xf borderId="44" fillId="21" fontId="1" numFmtId="0" xfId="0" applyAlignment="1" applyBorder="1" applyFont="1">
      <alignment vertical="center"/>
    </xf>
    <xf borderId="44" fillId="21" fontId="18" numFmtId="0" xfId="0" applyAlignment="1" applyBorder="1" applyFont="1">
      <alignment horizontal="left" vertical="center"/>
    </xf>
    <xf borderId="45" fillId="21" fontId="19" numFmtId="0" xfId="0" applyAlignment="1" applyBorder="1" applyFont="1">
      <alignment horizontal="left" vertical="center"/>
    </xf>
    <xf borderId="29" fillId="21" fontId="22" numFmtId="0" xfId="0" applyAlignment="1" applyBorder="1" applyFont="1">
      <alignment horizontal="left" vertical="center"/>
    </xf>
    <xf borderId="33" fillId="17" fontId="18" numFmtId="0" xfId="0" applyAlignment="1" applyBorder="1" applyFont="1">
      <alignment horizontal="left" readingOrder="0" vertical="center"/>
    </xf>
    <xf borderId="9" fillId="7" fontId="17" numFmtId="0" xfId="0" applyAlignment="1" applyBorder="1" applyFont="1">
      <alignment horizontal="center" vertical="center"/>
    </xf>
    <xf borderId="9" fillId="7" fontId="1" numFmtId="0" xfId="0" applyAlignment="1" applyBorder="1" applyFont="1">
      <alignment vertical="center"/>
    </xf>
    <xf borderId="9" fillId="32" fontId="21" numFmtId="0" xfId="0" applyAlignment="1" applyBorder="1" applyFont="1">
      <alignment horizontal="center" vertical="center"/>
    </xf>
    <xf borderId="33" fillId="0" fontId="17" numFmtId="0" xfId="0" applyAlignment="1" applyBorder="1" applyFont="1">
      <alignment horizontal="center" readingOrder="0" vertical="center"/>
    </xf>
    <xf borderId="44" fillId="0" fontId="21" numFmtId="0" xfId="0" applyAlignment="1" applyBorder="1" applyFont="1">
      <alignment horizontal="center" vertical="center"/>
    </xf>
    <xf borderId="44" fillId="29" fontId="17" numFmtId="0" xfId="0" applyAlignment="1" applyBorder="1" applyFont="1">
      <alignment horizontal="center" vertical="center"/>
    </xf>
    <xf borderId="44" fillId="29" fontId="1" numFmtId="0" xfId="0" applyAlignment="1" applyBorder="1" applyFont="1">
      <alignment vertical="center"/>
    </xf>
    <xf borderId="44" fillId="29" fontId="18" numFmtId="0" xfId="0" applyAlignment="1" applyBorder="1" applyFont="1">
      <alignment horizontal="left" vertical="center"/>
    </xf>
    <xf borderId="43" fillId="0" fontId="21" numFmtId="0" xfId="0" applyAlignment="1" applyBorder="1" applyFont="1">
      <alignment horizontal="center" readingOrder="0" vertical="center"/>
    </xf>
    <xf borderId="44" fillId="0" fontId="27" numFmtId="0" xfId="0" applyAlignment="1" applyBorder="1" applyFont="1">
      <alignment horizontal="center" readingOrder="0" vertical="center"/>
    </xf>
    <xf borderId="44" fillId="18" fontId="17" numFmtId="0" xfId="0" applyAlignment="1" applyBorder="1" applyFont="1">
      <alignment horizontal="center" vertical="center"/>
    </xf>
    <xf borderId="44" fillId="18" fontId="1" numFmtId="0" xfId="0" applyAlignment="1" applyBorder="1" applyFont="1">
      <alignment vertical="center"/>
    </xf>
    <xf borderId="45" fillId="18" fontId="19" numFmtId="0" xfId="0" applyAlignment="1" applyBorder="1" applyFont="1">
      <alignment horizontal="left" vertical="center"/>
    </xf>
    <xf borderId="43" fillId="0" fontId="21" numFmtId="0" xfId="0" applyAlignment="1" applyBorder="1" applyFont="1">
      <alignment horizontal="center" vertical="center"/>
    </xf>
    <xf borderId="44" fillId="16" fontId="17" numFmtId="0" xfId="0" applyAlignment="1" applyBorder="1" applyFont="1">
      <alignment horizontal="center" vertical="center"/>
    </xf>
    <xf borderId="44" fillId="16" fontId="1" numFmtId="0" xfId="0" applyAlignment="1" applyBorder="1" applyFont="1">
      <alignment vertical="center"/>
    </xf>
    <xf borderId="44" fillId="16" fontId="18" numFmtId="0" xfId="0" applyAlignment="1" applyBorder="1" applyFont="1">
      <alignment horizontal="left" shrinkToFit="0" vertical="center" wrapText="0"/>
    </xf>
    <xf borderId="45" fillId="16" fontId="19" numFmtId="0" xfId="0" applyAlignment="1" applyBorder="1" applyFont="1">
      <alignment horizontal="left" vertical="center"/>
    </xf>
    <xf borderId="34" fillId="18" fontId="22" numFmtId="0" xfId="0" applyAlignment="1" applyBorder="1" applyFont="1">
      <alignment horizontal="left" vertical="center"/>
    </xf>
    <xf borderId="29" fillId="23" fontId="22" numFmtId="0" xfId="0" applyAlignment="1" applyBorder="1" applyFont="1">
      <alignment horizontal="left" vertical="center"/>
    </xf>
    <xf borderId="44" fillId="23" fontId="17" numFmtId="0" xfId="0" applyAlignment="1" applyBorder="1" applyFont="1">
      <alignment horizontal="center" vertical="center"/>
    </xf>
    <xf borderId="44" fillId="23" fontId="1" numFmtId="0" xfId="0" applyAlignment="1" applyBorder="1" applyFont="1">
      <alignment vertical="center"/>
    </xf>
    <xf borderId="44" fillId="23" fontId="18" numFmtId="0" xfId="0" applyAlignment="1" applyBorder="1" applyFont="1">
      <alignment horizontal="left" vertical="center"/>
    </xf>
    <xf borderId="45" fillId="23" fontId="19" numFmtId="0" xfId="0" applyAlignment="1" applyBorder="1" applyFont="1">
      <alignment horizontal="left" vertical="center"/>
    </xf>
    <xf borderId="43" fillId="27" fontId="15" numFmtId="0" xfId="0" applyAlignment="1" applyBorder="1" applyFont="1">
      <alignment horizontal="center" vertical="center"/>
    </xf>
    <xf borderId="44" fillId="27" fontId="15" numFmtId="0" xfId="0" applyAlignment="1" applyBorder="1" applyFont="1">
      <alignment horizontal="center" vertical="center"/>
    </xf>
    <xf borderId="43" fillId="0" fontId="21" numFmtId="0" xfId="0" applyAlignment="1" applyBorder="1" applyFont="1">
      <alignment horizontal="center" readingOrder="0"/>
    </xf>
    <xf borderId="44" fillId="38" fontId="17" numFmtId="0" xfId="0" applyAlignment="1" applyBorder="1" applyFill="1" applyFont="1">
      <alignment horizontal="center" vertical="center"/>
    </xf>
    <xf borderId="44" fillId="0" fontId="5" numFmtId="0" xfId="0" applyBorder="1" applyFont="1"/>
    <xf borderId="45" fillId="0" fontId="5" numFmtId="0" xfId="0" applyBorder="1" applyFont="1"/>
    <xf borderId="0" fillId="38" fontId="17" numFmtId="0" xfId="0" applyAlignment="1" applyFont="1">
      <alignment horizontal="center" vertical="center"/>
    </xf>
    <xf borderId="32" fillId="0" fontId="21" numFmtId="0" xfId="0" applyAlignment="1" applyBorder="1" applyFont="1">
      <alignment horizontal="center" vertical="center"/>
    </xf>
    <xf borderId="33" fillId="0" fontId="21" numFmtId="0" xfId="0" applyAlignment="1" applyBorder="1" applyFont="1">
      <alignment horizontal="center" vertical="center"/>
    </xf>
    <xf borderId="33" fillId="34" fontId="16" numFmtId="0" xfId="0" applyAlignment="1" applyBorder="1" applyFont="1">
      <alignment horizontal="center" vertical="center"/>
    </xf>
    <xf borderId="33" fillId="38" fontId="17" numFmtId="0" xfId="0" applyAlignment="1" applyBorder="1" applyFont="1">
      <alignment horizontal="center" vertical="center"/>
    </xf>
    <xf borderId="9" fillId="38" fontId="17" numFmtId="0" xfId="0" applyAlignment="1" applyBorder="1" applyFont="1">
      <alignment horizontal="center" vertical="center"/>
    </xf>
    <xf borderId="29" fillId="0" fontId="5" numFmtId="0" xfId="0" applyBorder="1" applyFont="1"/>
    <xf borderId="44" fillId="0" fontId="15" numFmtId="0" xfId="0" applyAlignment="1" applyBorder="1" applyFont="1">
      <alignment horizontal="center" vertical="center"/>
    </xf>
    <xf borderId="9" fillId="32" fontId="15" numFmtId="0" xfId="0" applyAlignment="1" applyBorder="1" applyFont="1">
      <alignment horizontal="center"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38" numFmtId="0" xfId="0" applyAlignment="1" applyFont="1">
      <alignment horizontal="center" vertical="center"/>
    </xf>
    <xf borderId="0" fillId="0" fontId="31"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vertical="center"/>
    </xf>
    <xf borderId="0" fillId="0" fontId="39" numFmtId="0" xfId="0" applyAlignment="1" applyFont="1">
      <alignment horizontal="left" readingOrder="0" vertical="center"/>
    </xf>
    <xf borderId="0" fillId="5" fontId="19" numFmtId="0" xfId="0" applyAlignment="1" applyFont="1">
      <alignment horizontal="left" readingOrder="0" vertical="center"/>
    </xf>
    <xf borderId="0" fillId="0" fontId="40" numFmtId="0" xfId="0" applyAlignment="1" applyFont="1">
      <alignment horizontal="center" readingOrder="0"/>
    </xf>
    <xf borderId="0" fillId="0" fontId="11" numFmtId="0" xfId="0" applyAlignment="1" applyFont="1">
      <alignment horizontal="center" readingOrder="0"/>
    </xf>
    <xf borderId="0" fillId="0" fontId="13" numFmtId="0" xfId="0" applyAlignment="1" applyFont="1">
      <alignment horizontal="center" readingOrder="0"/>
    </xf>
    <xf borderId="0" fillId="0" fontId="41" numFmtId="0" xfId="0" applyAlignment="1" applyFont="1">
      <alignment horizontal="center" readingOrder="0"/>
    </xf>
    <xf borderId="27" fillId="0" fontId="41" numFmtId="0" xfId="0" applyAlignment="1" applyBorder="1" applyFont="1">
      <alignment horizontal="center" vertical="top"/>
    </xf>
    <xf borderId="0" fillId="0" fontId="42" numFmtId="0" xfId="0" applyFont="1"/>
    <xf borderId="9" fillId="0" fontId="38" numFmtId="0" xfId="0" applyAlignment="1" applyBorder="1" applyFont="1">
      <alignment horizontal="center" vertical="center"/>
    </xf>
    <xf borderId="9" fillId="0" fontId="17" numFmtId="0" xfId="0" applyAlignment="1" applyBorder="1" applyFont="1">
      <alignment horizontal="center" readingOrder="0" vertical="center"/>
    </xf>
    <xf borderId="9" fillId="0" fontId="31" numFmtId="0" xfId="0" applyAlignment="1" applyBorder="1" applyFont="1">
      <alignment horizontal="center" readingOrder="0" vertical="center"/>
    </xf>
    <xf borderId="9" fillId="0" fontId="2" numFmtId="0" xfId="0" applyAlignment="1" applyBorder="1" applyFont="1">
      <alignment horizontal="center"/>
    </xf>
    <xf borderId="9" fillId="0" fontId="2" numFmtId="0" xfId="0" applyBorder="1" applyFont="1"/>
    <xf borderId="9" fillId="0" fontId="39" numFmtId="0" xfId="0" applyAlignment="1" applyBorder="1" applyFont="1">
      <alignment readingOrder="0"/>
    </xf>
    <xf borderId="29" fillId="0" fontId="19" numFmtId="0" xfId="0" applyAlignment="1" applyBorder="1" applyFont="1">
      <alignment vertical="bottom"/>
    </xf>
    <xf borderId="0" fillId="0" fontId="19" numFmtId="0" xfId="0" applyAlignment="1" applyFont="1">
      <alignment vertical="bottom"/>
    </xf>
    <xf borderId="0" fillId="0" fontId="2" numFmtId="0" xfId="0" applyAlignment="1" applyFont="1">
      <alignment horizontal="center"/>
    </xf>
    <xf borderId="0" fillId="0" fontId="2" numFmtId="0" xfId="0" applyFont="1"/>
    <xf borderId="0" fillId="0" fontId="39" numFmtId="0" xfId="0" applyAlignment="1" applyFont="1">
      <alignment readingOrder="0"/>
    </xf>
    <xf borderId="31" fillId="5" fontId="19" numFmtId="0" xfId="0" applyAlignment="1" applyBorder="1" applyFont="1">
      <alignment horizontal="left" readingOrder="0"/>
    </xf>
    <xf borderId="0" fillId="0" fontId="17" numFmtId="0" xfId="0" applyAlignment="1" applyFont="1">
      <alignment horizontal="center" vertical="center"/>
    </xf>
    <xf borderId="0" fillId="0" fontId="18" numFmtId="0" xfId="0" applyAlignment="1" applyFont="1">
      <alignment vertical="bottom"/>
    </xf>
    <xf borderId="31" fillId="0" fontId="19" numFmtId="0" xfId="0" applyAlignment="1" applyBorder="1" applyFont="1">
      <alignment vertical="bottom"/>
    </xf>
    <xf borderId="0" fillId="0" fontId="31" numFmtId="0" xfId="0" applyAlignment="1" applyFont="1">
      <alignment horizontal="center"/>
    </xf>
    <xf borderId="0" fillId="0" fontId="31" numFmtId="0" xfId="0" applyFont="1"/>
    <xf borderId="0" fillId="8" fontId="17" numFmtId="0" xfId="0" applyAlignment="1" applyFont="1">
      <alignment horizontal="center" vertical="center"/>
    </xf>
    <xf borderId="0" fillId="8" fontId="17" numFmtId="0" xfId="0" applyAlignment="1" applyFont="1">
      <alignment horizontal="center" vertical="bottom"/>
    </xf>
    <xf borderId="0" fillId="8" fontId="2" numFmtId="0" xfId="0" applyAlignment="1" applyFont="1">
      <alignment readingOrder="0"/>
    </xf>
    <xf borderId="0" fillId="8" fontId="1" numFmtId="0" xfId="0" applyAlignment="1" applyFont="1">
      <alignment vertical="bottom"/>
    </xf>
    <xf borderId="31" fillId="8" fontId="19" numFmtId="0" xfId="0" applyAlignment="1" applyBorder="1" applyFont="1">
      <alignment readingOrder="0"/>
    </xf>
    <xf borderId="0" fillId="0" fontId="43" numFmtId="0" xfId="0" applyAlignment="1" applyFont="1">
      <alignment horizontal="center" readingOrder="0"/>
    </xf>
    <xf borderId="31" fillId="9" fontId="19" numFmtId="0" xfId="0" applyAlignment="1" applyBorder="1" applyFont="1">
      <alignment horizontal="left" readingOrder="0"/>
    </xf>
    <xf borderId="0" fillId="0" fontId="43" numFmtId="0" xfId="0" applyAlignment="1" applyFont="1">
      <alignment horizontal="center" readingOrder="0" vertical="center"/>
    </xf>
    <xf borderId="0" fillId="11" fontId="17" numFmtId="0" xfId="0" applyAlignment="1" applyFont="1">
      <alignment horizontal="center" vertical="center"/>
    </xf>
    <xf borderId="0" fillId="11" fontId="17" numFmtId="0" xfId="0" applyAlignment="1" applyFont="1">
      <alignment horizontal="center" vertical="bottom"/>
    </xf>
    <xf borderId="0" fillId="11" fontId="18" numFmtId="0" xfId="0" applyAlignment="1" applyFont="1">
      <alignment vertical="bottom"/>
    </xf>
    <xf borderId="31" fillId="11" fontId="19" numFmtId="0" xfId="0" applyAlignment="1" applyBorder="1" applyFont="1">
      <alignment readingOrder="0"/>
    </xf>
    <xf borderId="9" fillId="0" fontId="31" numFmtId="0" xfId="0" applyAlignment="1" applyBorder="1" applyFont="1">
      <alignment horizontal="center"/>
    </xf>
    <xf borderId="9" fillId="0" fontId="31" numFmtId="0" xfId="0" applyBorder="1" applyFont="1"/>
    <xf borderId="0" fillId="21" fontId="17" numFmtId="0" xfId="0" applyAlignment="1" applyFont="1">
      <alignment horizontal="center"/>
    </xf>
    <xf borderId="0" fillId="21" fontId="1" numFmtId="0" xfId="0" applyFont="1"/>
    <xf borderId="31" fillId="21" fontId="19" numFmtId="0" xfId="0" applyAlignment="1" applyBorder="1" applyFont="1">
      <alignment vertical="bottom"/>
    </xf>
    <xf borderId="0" fillId="16" fontId="1" numFmtId="0" xfId="0" applyAlignment="1" applyFont="1">
      <alignment horizontal="left" shrinkToFit="0" vertical="center" wrapText="0"/>
    </xf>
    <xf borderId="0" fillId="0" fontId="31" numFmtId="0" xfId="0" applyAlignment="1" applyFont="1">
      <alignment horizontal="center" readingOrder="0"/>
    </xf>
    <xf borderId="0" fillId="22" fontId="17" numFmtId="0" xfId="0" applyAlignment="1" applyFont="1">
      <alignment horizontal="center"/>
    </xf>
    <xf borderId="0" fillId="22" fontId="17" numFmtId="0" xfId="0" applyAlignment="1" applyFont="1">
      <alignment horizontal="center" vertical="bottom"/>
    </xf>
    <xf borderId="0" fillId="22" fontId="1" numFmtId="0" xfId="0" applyAlignment="1" applyFont="1">
      <alignment vertical="bottom"/>
    </xf>
    <xf borderId="31" fillId="22" fontId="19" numFmtId="0" xfId="0" applyAlignment="1" applyBorder="1" applyFont="1">
      <alignment vertical="bottom"/>
    </xf>
    <xf borderId="0" fillId="25" fontId="1" numFmtId="0" xfId="0" applyAlignment="1" applyFont="1">
      <alignment horizontal="left" vertical="center"/>
    </xf>
    <xf borderId="33" fillId="0" fontId="31" numFmtId="0" xfId="0" applyAlignment="1" applyBorder="1" applyFont="1">
      <alignment horizontal="center" readingOrder="0"/>
    </xf>
    <xf borderId="33" fillId="0" fontId="2" numFmtId="0" xfId="0" applyAlignment="1" applyBorder="1" applyFont="1">
      <alignment horizontal="center"/>
    </xf>
    <xf borderId="33" fillId="0" fontId="2" numFmtId="0" xfId="0" applyBorder="1" applyFont="1"/>
    <xf borderId="33" fillId="0" fontId="39" numFmtId="0" xfId="0" applyAlignment="1" applyBorder="1" applyFont="1">
      <alignment readingOrder="0"/>
    </xf>
    <xf borderId="28" fillId="0" fontId="44" numFmtId="0" xfId="0" applyAlignment="1" applyBorder="1" applyFont="1">
      <alignment horizontal="center" readingOrder="0" vertical="center"/>
    </xf>
    <xf borderId="9" fillId="0" fontId="44" numFmtId="0" xfId="0" applyAlignment="1" applyBorder="1" applyFont="1">
      <alignment horizontal="center" readingOrder="0" vertical="center"/>
    </xf>
    <xf borderId="9" fillId="7" fontId="31" numFmtId="0" xfId="0" applyAlignment="1" applyBorder="1" applyFont="1">
      <alignment horizontal="center" readingOrder="0" vertical="bottom"/>
    </xf>
    <xf borderId="29" fillId="7" fontId="2" numFmtId="0" xfId="0" applyAlignment="1" applyBorder="1" applyFont="1">
      <alignment readingOrder="0"/>
    </xf>
    <xf borderId="0" fillId="0" fontId="31" numFmtId="0" xfId="0" applyAlignment="1" applyFont="1">
      <alignment horizontal="center" vertical="center"/>
    </xf>
    <xf borderId="31" fillId="9" fontId="19" numFmtId="0" xfId="0" applyAlignment="1" applyBorder="1" applyFont="1">
      <alignment readingOrder="0"/>
    </xf>
    <xf borderId="31" fillId="0" fontId="19" numFmtId="0" xfId="0" applyAlignment="1" applyBorder="1" applyFont="1">
      <alignment horizontal="left" vertical="bottom"/>
    </xf>
    <xf borderId="33" fillId="0" fontId="31" numFmtId="0" xfId="0" applyAlignment="1" applyBorder="1" applyFont="1">
      <alignment horizontal="center"/>
    </xf>
    <xf borderId="33" fillId="0" fontId="31" numFmtId="0" xfId="0" applyBorder="1" applyFont="1"/>
    <xf borderId="34" fillId="0" fontId="19" numFmtId="0" xfId="0" applyAlignment="1" applyBorder="1" applyFont="1">
      <alignment vertical="bottom"/>
    </xf>
    <xf borderId="9" fillId="0" fontId="43" numFmtId="0" xfId="0" applyAlignment="1" applyBorder="1" applyFont="1">
      <alignment horizontal="center" readingOrder="0" vertical="center"/>
    </xf>
    <xf borderId="9" fillId="0" fontId="43" numFmtId="0" xfId="0" applyAlignment="1" applyBorder="1" applyFont="1">
      <alignment horizontal="center" readingOrder="0"/>
    </xf>
    <xf borderId="0" fillId="7" fontId="31" numFmtId="0" xfId="0" applyAlignment="1" applyFont="1">
      <alignment horizontal="center" vertical="center"/>
    </xf>
    <xf borderId="0" fillId="7" fontId="31" numFmtId="0" xfId="0" applyAlignment="1" applyFont="1">
      <alignment horizontal="center" readingOrder="0" vertical="bottom"/>
    </xf>
    <xf borderId="0" fillId="7" fontId="18" numFmtId="0" xfId="0" applyAlignment="1" applyFont="1">
      <alignment vertical="bottom"/>
    </xf>
    <xf borderId="31" fillId="7" fontId="19" numFmtId="0" xfId="0" applyAlignment="1" applyBorder="1" applyFont="1">
      <alignment horizontal="left" readingOrder="0"/>
    </xf>
    <xf borderId="43" fillId="0" fontId="28" numFmtId="0" xfId="0" applyAlignment="1" applyBorder="1" applyFont="1">
      <alignment horizontal="center" readingOrder="0" vertical="center"/>
    </xf>
    <xf borderId="44" fillId="0" fontId="35" numFmtId="0" xfId="0" applyAlignment="1" applyBorder="1" applyFont="1">
      <alignment horizontal="center" readingOrder="0" vertical="center"/>
    </xf>
    <xf borderId="44" fillId="0" fontId="38" numFmtId="0" xfId="0" applyAlignment="1" applyBorder="1" applyFont="1">
      <alignment horizontal="center" readingOrder="0" vertical="center"/>
    </xf>
    <xf borderId="44" fillId="0" fontId="31" numFmtId="0" xfId="0" applyAlignment="1" applyBorder="1" applyFont="1">
      <alignment horizontal="center" readingOrder="0" vertical="center"/>
    </xf>
    <xf borderId="44" fillId="0" fontId="2" numFmtId="0" xfId="0" applyAlignment="1" applyBorder="1" applyFont="1">
      <alignment horizontal="center"/>
    </xf>
    <xf borderId="44" fillId="0" fontId="2" numFmtId="0" xfId="0" applyBorder="1" applyFont="1"/>
    <xf borderId="44" fillId="0" fontId="39" numFmtId="0" xfId="0" applyAlignment="1" applyBorder="1" applyFont="1">
      <alignment horizontal="left" readingOrder="0"/>
    </xf>
    <xf borderId="45" fillId="0" fontId="19" numFmtId="0" xfId="0" applyAlignment="1" applyBorder="1" applyFont="1">
      <alignment vertical="bottom"/>
    </xf>
    <xf borderId="9" fillId="0" fontId="31" numFmtId="0" xfId="0" applyAlignment="1" applyBorder="1" applyFont="1">
      <alignment horizontal="center" readingOrder="0"/>
    </xf>
    <xf borderId="29" fillId="5" fontId="19" numFmtId="0" xfId="0" applyAlignment="1" applyBorder="1" applyFont="1">
      <alignment readingOrder="0"/>
    </xf>
    <xf borderId="0" fillId="0" fontId="45" numFmtId="0" xfId="0" applyAlignment="1" applyFont="1">
      <alignment horizontal="left" readingOrder="0"/>
    </xf>
    <xf borderId="9" fillId="0" fontId="43" numFmtId="0" xfId="0" applyAlignment="1" applyBorder="1" applyFont="1">
      <alignment horizontal="left" readingOrder="0"/>
    </xf>
    <xf borderId="0" fillId="0" fontId="43" numFmtId="0" xfId="0" applyAlignment="1" applyFont="1">
      <alignment horizontal="left" readingOrder="0"/>
    </xf>
    <xf borderId="33" fillId="0" fontId="43" numFmtId="0" xfId="0" applyAlignment="1" applyBorder="1" applyFont="1">
      <alignment horizontal="left" readingOrder="0"/>
    </xf>
    <xf borderId="28" fillId="0" fontId="46" numFmtId="0" xfId="0" applyAlignment="1" applyBorder="1" applyFont="1">
      <alignment horizontal="center" readingOrder="0" vertical="center"/>
    </xf>
    <xf borderId="9" fillId="0" fontId="35" numFmtId="0" xfId="0" applyAlignment="1" applyBorder="1" applyFont="1">
      <alignment horizontal="center" vertical="center"/>
    </xf>
    <xf borderId="0" fillId="0" fontId="17" numFmtId="0" xfId="0" applyAlignment="1" applyFont="1">
      <alignment horizontal="center" readingOrder="0" vertical="center"/>
    </xf>
    <xf borderId="0" fillId="0" fontId="17" numFmtId="0" xfId="0" applyAlignment="1" applyFont="1">
      <alignment horizontal="center" vertical="bottom"/>
    </xf>
    <xf borderId="0" fillId="0" fontId="18" numFmtId="0" xfId="0" applyAlignment="1" applyFont="1">
      <alignment vertical="bottom"/>
    </xf>
    <xf borderId="31" fillId="0" fontId="19" numFmtId="0" xfId="0" applyAlignment="1" applyBorder="1" applyFont="1">
      <alignment readingOrder="0"/>
    </xf>
    <xf borderId="0" fillId="4" fontId="31" numFmtId="0" xfId="0" applyAlignment="1" applyFont="1">
      <alignment horizontal="center" vertical="center"/>
    </xf>
    <xf borderId="0" fillId="4" fontId="31" numFmtId="0" xfId="0" applyAlignment="1" applyFont="1">
      <alignment horizontal="center" vertical="bottom"/>
    </xf>
    <xf borderId="0" fillId="0" fontId="37" numFmtId="0" xfId="0" applyAlignment="1" applyFont="1">
      <alignment horizontal="center" readingOrder="0" vertical="center"/>
    </xf>
    <xf borderId="0" fillId="0" fontId="2" numFmtId="0" xfId="0" applyAlignment="1" applyFont="1">
      <alignment horizontal="center" readingOrder="0" vertical="center"/>
    </xf>
    <xf borderId="33" fillId="18" fontId="17" numFmtId="0" xfId="0" applyAlignment="1" applyBorder="1" applyFont="1">
      <alignment horizontal="center"/>
    </xf>
    <xf borderId="33" fillId="18" fontId="1" numFmtId="0" xfId="0" applyAlignment="1" applyBorder="1" applyFont="1">
      <alignment vertical="bottom"/>
    </xf>
    <xf borderId="33" fillId="18" fontId="1" numFmtId="0" xfId="0" applyAlignment="1" applyBorder="1" applyFont="1">
      <alignment vertical="bottom"/>
    </xf>
    <xf borderId="33" fillId="18" fontId="1" numFmtId="0" xfId="0" applyAlignment="1" applyBorder="1" applyFont="1">
      <alignment readingOrder="0" vertical="bottom"/>
    </xf>
    <xf borderId="34" fillId="18" fontId="19" numFmtId="0" xfId="0" applyAlignment="1" applyBorder="1" applyFont="1">
      <alignment vertical="bottom"/>
    </xf>
    <xf borderId="0" fillId="23" fontId="17" numFmtId="0" xfId="0" applyAlignment="1" applyFont="1">
      <alignment horizontal="center"/>
    </xf>
    <xf borderId="0" fillId="23" fontId="1" numFmtId="0" xfId="0" applyAlignment="1" applyFont="1">
      <alignment vertical="bottom"/>
    </xf>
    <xf borderId="31" fillId="23" fontId="19" numFmtId="0" xfId="0" applyAlignment="1" applyBorder="1" applyFont="1">
      <alignment vertical="bottom"/>
    </xf>
    <xf borderId="30" fillId="0" fontId="28" numFmtId="0" xfId="0" applyAlignment="1" applyBorder="1" applyFont="1">
      <alignment horizontal="center" readingOrder="0" vertical="center"/>
    </xf>
    <xf borderId="0" fillId="0" fontId="35" numFmtId="0" xfId="0" applyAlignment="1" applyFont="1">
      <alignment horizontal="center" readingOrder="0" vertical="center"/>
    </xf>
    <xf borderId="0" fillId="0" fontId="39" numFmtId="0" xfId="0" applyAlignment="1" applyFont="1">
      <alignment horizontal="left" readingOrder="0"/>
    </xf>
    <xf borderId="0" fillId="7" fontId="31" numFmtId="0" xfId="0" applyAlignment="1" applyFont="1">
      <alignment horizontal="center" vertical="center"/>
    </xf>
    <xf borderId="0" fillId="7" fontId="39" numFmtId="0" xfId="0" applyAlignment="1" applyFont="1">
      <alignment readingOrder="0" vertical="bottom"/>
    </xf>
    <xf borderId="31" fillId="7" fontId="19" numFmtId="0" xfId="0" applyAlignment="1" applyBorder="1" applyFont="1">
      <alignment readingOrder="0"/>
    </xf>
    <xf borderId="33" fillId="0" fontId="39" numFmtId="0" xfId="0" applyAlignment="1" applyBorder="1" applyFont="1">
      <alignment horizontal="left" readingOrder="0"/>
    </xf>
    <xf borderId="29" fillId="0" fontId="19" numFmtId="0" xfId="0" applyAlignment="1" applyBorder="1" applyFont="1">
      <alignment horizontal="center" readingOrder="0"/>
    </xf>
    <xf borderId="0" fillId="18" fontId="17" numFmtId="0" xfId="0" applyAlignment="1" applyFont="1">
      <alignment horizontal="center"/>
    </xf>
    <xf borderId="0" fillId="18" fontId="1" numFmtId="0" xfId="0" applyAlignment="1" applyFont="1">
      <alignment vertical="bottom"/>
    </xf>
    <xf borderId="0" fillId="18" fontId="1" numFmtId="0" xfId="0" applyAlignment="1" applyFont="1">
      <alignment vertical="bottom"/>
    </xf>
    <xf borderId="0" fillId="18" fontId="1" numFmtId="0" xfId="0" applyAlignment="1" applyFont="1">
      <alignment readingOrder="0" vertical="bottom"/>
    </xf>
    <xf borderId="31" fillId="18" fontId="19" numFmtId="0" xfId="0" applyAlignment="1" applyBorder="1" applyFont="1">
      <alignment vertical="bottom"/>
    </xf>
    <xf borderId="31" fillId="0" fontId="19" numFmtId="0" xfId="0" applyAlignment="1" applyBorder="1" applyFont="1">
      <alignment horizontal="center" readingOrder="0"/>
    </xf>
    <xf borderId="34" fillId="0" fontId="19" numFmtId="0" xfId="0" applyAlignment="1" applyBorder="1" applyFont="1">
      <alignment horizontal="center" readingOrder="0"/>
    </xf>
    <xf borderId="9" fillId="0" fontId="31" numFmtId="0" xfId="0" applyAlignment="1" applyBorder="1" applyFont="1">
      <alignment horizontal="center" vertical="center"/>
    </xf>
    <xf borderId="9" fillId="0" fontId="39" numFmtId="0" xfId="0" applyAlignment="1" applyBorder="1" applyFont="1">
      <alignment horizontal="left" readingOrder="0" vertical="center"/>
    </xf>
    <xf borderId="29" fillId="9" fontId="19" numFmtId="0" xfId="0" applyAlignment="1" applyBorder="1" applyFont="1">
      <alignment readingOrder="0"/>
    </xf>
    <xf borderId="0" fillId="20" fontId="1" numFmtId="0" xfId="0" applyAlignment="1" applyFont="1">
      <alignment horizontal="left" vertical="center"/>
    </xf>
    <xf borderId="0" fillId="17" fontId="1" numFmtId="0" xfId="0" applyAlignment="1" applyFont="1">
      <alignment horizontal="left" vertical="center"/>
    </xf>
    <xf borderId="33" fillId="25" fontId="1" numFmtId="0" xfId="0" applyAlignment="1" applyBorder="1" applyFont="1">
      <alignment horizontal="left" vertical="center"/>
    </xf>
    <xf borderId="43" fillId="32" fontId="47" numFmtId="0" xfId="0" applyAlignment="1" applyBorder="1" applyFont="1">
      <alignment horizontal="center" readingOrder="0" vertical="center"/>
    </xf>
    <xf borderId="0" fillId="32" fontId="48" numFmtId="0" xfId="0" applyAlignment="1" applyFont="1">
      <alignment vertical="center"/>
    </xf>
    <xf borderId="29" fillId="32" fontId="49" numFmtId="0" xfId="0" applyAlignment="1" applyBorder="1" applyFont="1">
      <alignment vertical="center"/>
    </xf>
    <xf borderId="0" fillId="27" fontId="1" numFmtId="0" xfId="0" applyAlignment="1" applyFont="1">
      <alignment vertical="bottom"/>
    </xf>
    <xf borderId="9" fillId="20" fontId="17" numFmtId="0" xfId="0" applyAlignment="1" applyBorder="1" applyFont="1">
      <alignment horizontal="center"/>
    </xf>
    <xf borderId="9" fillId="20" fontId="1" numFmtId="0" xfId="0" applyAlignment="1" applyBorder="1" applyFont="1">
      <alignment vertical="bottom"/>
    </xf>
    <xf borderId="29" fillId="20" fontId="19" numFmtId="0" xfId="0" applyAlignment="1" applyBorder="1" applyFont="1">
      <alignment vertical="bottom"/>
    </xf>
    <xf borderId="0" fillId="16" fontId="17" numFmtId="0" xfId="0" applyAlignment="1" applyFont="1">
      <alignment horizontal="center"/>
    </xf>
    <xf borderId="0" fillId="16" fontId="1" numFmtId="0" xfId="0" applyFont="1"/>
    <xf borderId="31" fillId="16" fontId="19" numFmtId="0" xfId="0" applyAlignment="1" applyBorder="1" applyFont="1">
      <alignment vertical="bottom"/>
    </xf>
    <xf borderId="0" fillId="23" fontId="17" numFmtId="0" xfId="0" applyAlignment="1" applyFont="1">
      <alignment horizontal="center"/>
    </xf>
    <xf borderId="0" fillId="23" fontId="1" numFmtId="0" xfId="0" applyAlignment="1" applyFont="1">
      <alignment vertical="bottom"/>
    </xf>
    <xf borderId="31" fillId="23" fontId="19" numFmtId="0" xfId="0" applyAlignment="1" applyBorder="1" applyFont="1">
      <alignment vertical="bottom"/>
    </xf>
    <xf borderId="33" fillId="17" fontId="17" numFmtId="0" xfId="0" applyAlignment="1" applyBorder="1" applyFont="1">
      <alignment horizontal="center"/>
    </xf>
    <xf borderId="33" fillId="17" fontId="1" numFmtId="0" xfId="0" applyAlignment="1" applyBorder="1" applyFont="1">
      <alignment vertical="bottom"/>
    </xf>
    <xf borderId="33" fillId="17" fontId="1" numFmtId="0" xfId="0" applyAlignment="1" applyBorder="1" applyFont="1">
      <alignment vertical="bottom"/>
    </xf>
    <xf borderId="34" fillId="17" fontId="19" numFmtId="0" xfId="0" applyAlignment="1" applyBorder="1" applyFont="1">
      <alignment vertical="bottom"/>
    </xf>
    <xf borderId="28" fillId="39" fontId="50" numFmtId="0" xfId="0" applyAlignment="1" applyBorder="1" applyFill="1" applyFont="1">
      <alignment horizontal="center" readingOrder="0" vertical="center"/>
    </xf>
    <xf borderId="9" fillId="39" fontId="35" numFmtId="0" xfId="0" applyAlignment="1" applyBorder="1" applyFont="1">
      <alignment horizontal="center" readingOrder="0" vertical="center"/>
    </xf>
    <xf borderId="9" fillId="7" fontId="31" numFmtId="0" xfId="0" applyAlignment="1" applyBorder="1" applyFont="1">
      <alignment horizontal="center" vertical="bottom"/>
    </xf>
    <xf borderId="29" fillId="7" fontId="19" numFmtId="0" xfId="0" applyAlignment="1" applyBorder="1" applyFont="1">
      <alignment horizontal="left" readingOrder="0"/>
    </xf>
    <xf borderId="33" fillId="0" fontId="18" numFmtId="0" xfId="0" applyAlignment="1" applyBorder="1" applyFont="1">
      <alignment horizontal="left" readingOrder="0"/>
    </xf>
    <xf borderId="34" fillId="7" fontId="19" numFmtId="0" xfId="0" applyAlignment="1" applyBorder="1" applyFont="1">
      <alignment horizontal="left" readingOrder="0"/>
    </xf>
    <xf borderId="28" fillId="27" fontId="35" numFmtId="0" xfId="0" applyAlignment="1" applyBorder="1" applyFont="1">
      <alignment horizontal="center" readingOrder="0" vertical="center"/>
    </xf>
    <xf borderId="9" fillId="27" fontId="35" numFmtId="0" xfId="0" applyAlignment="1" applyBorder="1" applyFont="1">
      <alignment horizontal="center" readingOrder="0" vertical="center"/>
    </xf>
    <xf borderId="9" fillId="0" fontId="51" numFmtId="0" xfId="0" applyAlignment="1" applyBorder="1" applyFont="1">
      <alignment readingOrder="0"/>
    </xf>
    <xf borderId="0" fillId="0" fontId="52" numFmtId="0" xfId="0" applyAlignment="1" applyFont="1">
      <alignment horizontal="center" readingOrder="0"/>
    </xf>
    <xf borderId="33" fillId="0" fontId="52" numFmtId="0" xfId="0" applyAlignment="1" applyBorder="1" applyFont="1">
      <alignment horizontal="center" readingOrder="0"/>
    </xf>
    <xf borderId="0" fillId="20" fontId="17" numFmtId="0" xfId="0" applyAlignment="1" applyFont="1">
      <alignment horizontal="center" vertical="bottom"/>
    </xf>
    <xf borderId="0" fillId="20" fontId="1" numFmtId="0" xfId="0" applyAlignment="1" applyFont="1">
      <alignment horizontal="center" vertical="bottom"/>
    </xf>
    <xf borderId="0" fillId="20" fontId="2" numFmtId="0" xfId="0" applyAlignment="1" applyFont="1">
      <alignment readingOrder="0"/>
    </xf>
    <xf borderId="0" fillId="20" fontId="1" numFmtId="0" xfId="0" applyAlignment="1" applyFont="1">
      <alignment vertical="bottom"/>
    </xf>
    <xf borderId="0" fillId="6" fontId="19" numFmtId="0" xfId="0" applyAlignment="1" applyFont="1">
      <alignment readingOrder="0"/>
    </xf>
    <xf borderId="30" fillId="0" fontId="2" numFmtId="0" xfId="0" applyBorder="1" applyFont="1"/>
    <xf borderId="9" fillId="20" fontId="31" numFmtId="0" xfId="0" applyAlignment="1" applyBorder="1" applyFont="1">
      <alignment horizontal="center" vertical="center"/>
    </xf>
    <xf borderId="9" fillId="20" fontId="31" numFmtId="0" xfId="0" applyAlignment="1" applyBorder="1" applyFont="1">
      <alignment horizontal="center" vertical="bottom"/>
    </xf>
    <xf borderId="9" fillId="20" fontId="2" numFmtId="0" xfId="0" applyAlignment="1" applyBorder="1" applyFont="1">
      <alignment readingOrder="0"/>
    </xf>
    <xf borderId="9" fillId="6" fontId="1" numFmtId="0" xfId="0" applyAlignment="1" applyBorder="1" applyFont="1">
      <alignment vertical="bottom"/>
    </xf>
    <xf borderId="29" fillId="6" fontId="19" numFmtId="0" xfId="0" applyAlignment="1" applyBorder="1" applyFont="1">
      <alignment horizontal="left" readingOrder="0"/>
    </xf>
    <xf borderId="33" fillId="0" fontId="37" numFmtId="0" xfId="0" applyAlignment="1" applyBorder="1" applyFont="1">
      <alignment horizontal="center" readingOrder="0" vertical="center"/>
    </xf>
    <xf borderId="33" fillId="0" fontId="2" numFmtId="0" xfId="0" applyAlignment="1" applyBorder="1" applyFont="1">
      <alignment horizontal="center" readingOrder="0" vertical="center"/>
    </xf>
    <xf borderId="33" fillId="0" fontId="39" numFmtId="0" xfId="0" applyAlignment="1" applyBorder="1" applyFont="1">
      <alignment horizontal="left" readingOrder="0" vertical="center"/>
    </xf>
    <xf borderId="34" fillId="0" fontId="19" numFmtId="0" xfId="0" applyAlignment="1" applyBorder="1" applyFont="1">
      <alignment horizontal="left" vertical="bottom"/>
    </xf>
    <xf borderId="9" fillId="7" fontId="18" numFmtId="0" xfId="0" applyAlignment="1" applyBorder="1" applyFont="1">
      <alignment readingOrder="0" vertical="bottom"/>
    </xf>
    <xf borderId="29" fillId="20" fontId="19" numFmtId="0" xfId="0" applyAlignment="1" applyBorder="1" applyFont="1">
      <alignment horizontal="left" vertical="bottom"/>
    </xf>
    <xf borderId="31" fillId="7" fontId="2" numFmtId="0" xfId="0" applyAlignment="1" applyBorder="1" applyFont="1">
      <alignment readingOrder="0"/>
    </xf>
    <xf borderId="0" fillId="0" fontId="1" numFmtId="0" xfId="0" applyAlignment="1" applyFont="1">
      <alignment readingOrder="0"/>
    </xf>
    <xf borderId="31" fillId="17" fontId="19" numFmtId="0" xfId="0" applyAlignment="1" applyBorder="1" applyFont="1">
      <alignment vertical="bottom"/>
    </xf>
    <xf borderId="9" fillId="29" fontId="1" numFmtId="0" xfId="0" applyAlignment="1" applyBorder="1" applyFont="1">
      <alignment horizontal="left" vertical="center"/>
    </xf>
    <xf borderId="0" fillId="21" fontId="1" numFmtId="0" xfId="0" applyAlignment="1" applyFont="1">
      <alignment horizontal="left" vertical="center"/>
    </xf>
    <xf borderId="0" fillId="18" fontId="1" numFmtId="0" xfId="0" applyAlignment="1" applyFont="1">
      <alignment horizontal="left" readingOrder="0" vertical="center"/>
    </xf>
    <xf borderId="0" fillId="25" fontId="1" numFmtId="0" xfId="0" applyAlignment="1" applyFont="1">
      <alignment horizontal="left" vertical="center"/>
    </xf>
    <xf borderId="29" fillId="9" fontId="19" numFmtId="0" xfId="0" applyAlignment="1" applyBorder="1" applyFont="1">
      <alignment horizontal="left" readingOrder="0" vertical="center"/>
    </xf>
    <xf borderId="0" fillId="17" fontId="17" numFmtId="0" xfId="0" applyAlignment="1" applyFont="1">
      <alignment horizontal="center"/>
    </xf>
    <xf borderId="0" fillId="17" fontId="1" numFmtId="0" xfId="0" applyAlignment="1" applyFont="1">
      <alignment vertical="bottom"/>
    </xf>
    <xf borderId="28" fillId="31" fontId="35" numFmtId="0" xfId="0" applyAlignment="1" applyBorder="1" applyFont="1">
      <alignment horizontal="center" readingOrder="0" vertical="center"/>
    </xf>
    <xf borderId="9" fillId="31" fontId="35" numFmtId="0" xfId="0" applyAlignment="1" applyBorder="1" applyFont="1">
      <alignment horizontal="center" readingOrder="0" vertical="center"/>
    </xf>
    <xf borderId="0" fillId="5" fontId="31" numFmtId="0" xfId="0" applyAlignment="1" applyFont="1">
      <alignment horizontal="center" vertical="center"/>
    </xf>
    <xf borderId="0" fillId="5" fontId="31" numFmtId="0" xfId="0" applyAlignment="1" applyFont="1">
      <alignment horizontal="center" vertical="bottom"/>
    </xf>
    <xf borderId="33" fillId="0" fontId="43" numFmtId="0" xfId="0" applyAlignment="1" applyBorder="1" applyFont="1">
      <alignment horizontal="center" readingOrder="0" vertical="center"/>
    </xf>
    <xf borderId="33" fillId="0" fontId="43" numFmtId="0" xfId="0" applyAlignment="1" applyBorder="1" applyFont="1">
      <alignment horizontal="center" readingOrder="0"/>
    </xf>
    <xf borderId="0" fillId="18" fontId="1" numFmtId="0" xfId="0" applyAlignment="1" applyFont="1">
      <alignment horizontal="left" vertical="center"/>
    </xf>
    <xf borderId="30" fillId="27" fontId="53" numFmtId="0" xfId="0" applyAlignment="1" applyBorder="1" applyFont="1">
      <alignment horizontal="center" readingOrder="0" vertical="center"/>
    </xf>
    <xf borderId="0" fillId="27" fontId="39" numFmtId="0" xfId="0" applyAlignment="1" applyFont="1">
      <alignment readingOrder="0"/>
    </xf>
    <xf borderId="31" fillId="27" fontId="19" numFmtId="0" xfId="0" applyAlignment="1" applyBorder="1" applyFont="1">
      <alignment horizontal="center" readingOrder="0" vertical="center"/>
    </xf>
    <xf borderId="33" fillId="17" fontId="1" numFmtId="0" xfId="0" applyAlignment="1" applyBorder="1" applyFont="1">
      <alignment horizontal="left" vertical="center"/>
    </xf>
    <xf borderId="30" fillId="0" fontId="35" numFmtId="0" xfId="0" applyAlignment="1" applyBorder="1" applyFont="1">
      <alignment horizontal="center" readingOrder="0" vertical="center"/>
    </xf>
    <xf borderId="9" fillId="9" fontId="19" numFmtId="0" xfId="0" applyAlignment="1" applyBorder="1" applyFont="1">
      <alignment readingOrder="0"/>
    </xf>
    <xf borderId="9" fillId="0" fontId="19" numFmtId="0" xfId="0" applyAlignment="1" applyBorder="1" applyFont="1">
      <alignment vertical="bottom"/>
    </xf>
    <xf borderId="29" fillId="0" fontId="2" numFmtId="0" xfId="0" applyBorder="1" applyFont="1"/>
    <xf borderId="0" fillId="0" fontId="19" numFmtId="0" xfId="0" applyAlignment="1" applyFont="1">
      <alignment readingOrder="0"/>
    </xf>
    <xf borderId="31" fillId="0" fontId="2" numFmtId="0" xfId="0" applyBorder="1" applyFont="1"/>
    <xf borderId="33" fillId="0" fontId="19" numFmtId="0" xfId="0" applyAlignment="1" applyBorder="1" applyFont="1">
      <alignment vertical="bottom"/>
    </xf>
    <xf borderId="34" fillId="0" fontId="2" numFmtId="0" xfId="0" applyBorder="1" applyFont="1"/>
    <xf borderId="0" fillId="0" fontId="39" numFmtId="0" xfId="0" applyAlignment="1" applyFont="1">
      <alignment horizontal="center" readingOrder="0"/>
    </xf>
    <xf borderId="0" fillId="0" fontId="2" numFmtId="0" xfId="0" applyAlignment="1" applyFont="1">
      <alignment horizontal="center" readingOrder="0"/>
    </xf>
    <xf borderId="9" fillId="0" fontId="2" numFmtId="0" xfId="0" applyAlignment="1" applyBorder="1" applyFont="1">
      <alignment readingOrder="0"/>
    </xf>
    <xf borderId="33" fillId="0" fontId="2" numFmtId="0" xfId="0" applyAlignment="1" applyBorder="1" applyFont="1">
      <alignment readingOrder="0"/>
    </xf>
    <xf borderId="9" fillId="30" fontId="17" numFmtId="0" xfId="0" applyAlignment="1" applyBorder="1" applyFont="1">
      <alignment horizontal="center"/>
    </xf>
    <xf borderId="9" fillId="30" fontId="17" numFmtId="0" xfId="0" applyAlignment="1" applyBorder="1" applyFont="1">
      <alignment horizontal="center" vertical="bottom"/>
    </xf>
    <xf borderId="9" fillId="30" fontId="1" numFmtId="0" xfId="0" applyAlignment="1" applyBorder="1" applyFont="1">
      <alignment vertical="bottom"/>
    </xf>
    <xf borderId="29" fillId="30" fontId="19" numFmtId="0" xfId="0" applyAlignment="1" applyBorder="1" applyFont="1">
      <alignment vertical="bottom"/>
    </xf>
    <xf borderId="0" fillId="29" fontId="17" numFmtId="0" xfId="0" applyAlignment="1" applyFont="1">
      <alignment horizontal="center" vertical="bottom"/>
    </xf>
    <xf borderId="0" fillId="29" fontId="1" numFmtId="0" xfId="0" applyAlignment="1" applyFont="1">
      <alignment vertical="bottom"/>
    </xf>
    <xf borderId="31" fillId="29" fontId="1" numFmtId="0" xfId="0" applyAlignment="1" applyBorder="1" applyFont="1">
      <alignment vertical="bottom"/>
    </xf>
    <xf borderId="0" fillId="20" fontId="17" numFmtId="0" xfId="0" applyAlignment="1" applyFont="1">
      <alignment horizontal="center"/>
    </xf>
    <xf borderId="0" fillId="20" fontId="1" numFmtId="0" xfId="0" applyAlignment="1" applyFont="1">
      <alignment vertical="bottom"/>
    </xf>
    <xf borderId="31" fillId="20" fontId="19" numFmtId="0" xfId="0" applyAlignment="1" applyBorder="1" applyFont="1">
      <alignment vertical="bottom"/>
    </xf>
    <xf borderId="33" fillId="23" fontId="17" numFmtId="0" xfId="0" applyAlignment="1" applyBorder="1" applyFont="1">
      <alignment horizontal="center"/>
    </xf>
    <xf borderId="33" fillId="23" fontId="1" numFmtId="0" xfId="0" applyAlignment="1" applyBorder="1" applyFont="1">
      <alignment vertical="bottom"/>
    </xf>
    <xf borderId="34" fillId="23" fontId="19" numFmtId="0" xfId="0" applyAlignment="1" applyBorder="1" applyFont="1">
      <alignment vertical="bottom"/>
    </xf>
    <xf borderId="32" fillId="31" fontId="54" numFmtId="0" xfId="0" applyAlignment="1" applyBorder="1" applyFont="1">
      <alignment horizontal="center" readingOrder="0" vertical="center"/>
    </xf>
    <xf borderId="33" fillId="31" fontId="39" numFmtId="0" xfId="0" applyAlignment="1" applyBorder="1" applyFont="1">
      <alignment readingOrder="0"/>
    </xf>
    <xf borderId="34" fillId="31" fontId="19" numFmtId="0" xfId="0" applyAlignment="1" applyBorder="1" applyFont="1">
      <alignment horizontal="center" readingOrder="0" vertical="center"/>
    </xf>
    <xf borderId="9" fillId="4" fontId="31" numFmtId="0" xfId="0" applyAlignment="1" applyBorder="1" applyFont="1">
      <alignment horizontal="center" vertical="center"/>
    </xf>
    <xf borderId="9" fillId="4" fontId="31" numFmtId="0" xfId="0" applyAlignment="1" applyBorder="1" applyFont="1">
      <alignment horizontal="center" vertical="bottom"/>
    </xf>
    <xf borderId="9" fillId="4" fontId="2" numFmtId="0" xfId="0" applyAlignment="1" applyBorder="1" applyFont="1">
      <alignment readingOrder="0"/>
    </xf>
    <xf borderId="9" fillId="4" fontId="1" numFmtId="0" xfId="0" applyAlignment="1" applyBorder="1" applyFont="1">
      <alignment vertical="bottom"/>
    </xf>
    <xf borderId="29" fillId="0" fontId="19" numFmtId="0" xfId="0" applyAlignment="1" applyBorder="1" applyFont="1">
      <alignment horizontal="left" vertical="bottom"/>
    </xf>
    <xf borderId="33" fillId="21" fontId="17" numFmtId="0" xfId="0" applyAlignment="1" applyBorder="1" applyFont="1">
      <alignment horizontal="center"/>
    </xf>
    <xf borderId="33" fillId="21" fontId="1" numFmtId="0" xfId="0" applyBorder="1" applyFont="1"/>
    <xf borderId="34" fillId="21" fontId="19" numFmtId="0" xfId="0" applyAlignment="1" applyBorder="1" applyFont="1">
      <alignment vertical="bottom"/>
    </xf>
    <xf borderId="30" fillId="27" fontId="35" numFmtId="0" xfId="0" applyAlignment="1" applyBorder="1" applyFont="1">
      <alignment horizontal="center" readingOrder="0" vertical="center"/>
    </xf>
    <xf borderId="0" fillId="27" fontId="35" numFmtId="0" xfId="0" applyAlignment="1" applyFont="1">
      <alignment horizontal="center" readingOrder="0" vertical="center"/>
    </xf>
    <xf borderId="9" fillId="0" fontId="2" numFmtId="0" xfId="0" applyAlignment="1" applyBorder="1" applyFont="1">
      <alignment horizontal="center" vertical="center"/>
    </xf>
    <xf borderId="44" fillId="0" fontId="21" numFmtId="0" xfId="0" applyAlignment="1" applyBorder="1" applyFont="1">
      <alignment horizontal="center" readingOrder="0" vertical="center"/>
    </xf>
    <xf borderId="44" fillId="0" fontId="38" numFmtId="0" xfId="0" applyAlignment="1" applyBorder="1" applyFont="1">
      <alignment horizontal="center" vertical="center"/>
    </xf>
    <xf borderId="44" fillId="0" fontId="43" numFmtId="0" xfId="0" applyAlignment="1" applyBorder="1" applyFont="1">
      <alignment horizontal="center" readingOrder="0" vertical="center"/>
    </xf>
    <xf borderId="44" fillId="0" fontId="2" numFmtId="0" xfId="0" applyAlignment="1" applyBorder="1" applyFont="1">
      <alignment horizontal="center" vertical="center"/>
    </xf>
    <xf borderId="44" fillId="0" fontId="37" numFmtId="0" xfId="0" applyAlignment="1" applyBorder="1" applyFont="1">
      <alignment horizontal="center" readingOrder="0" vertical="center"/>
    </xf>
    <xf borderId="45" fillId="0" fontId="19" numFmtId="0" xfId="0" applyAlignment="1" applyBorder="1" applyFont="1">
      <alignment horizontal="center" vertical="center"/>
    </xf>
    <xf borderId="9" fillId="38" fontId="31" numFmtId="0" xfId="0" applyAlignment="1" applyBorder="1" applyFont="1">
      <alignment horizontal="center" readingOrder="0"/>
    </xf>
    <xf borderId="0" fillId="27" fontId="28" numFmtId="0" xfId="0" applyAlignment="1" applyFont="1">
      <alignment horizontal="center" readingOrder="0" vertical="center"/>
    </xf>
    <xf borderId="0" fillId="0" fontId="39" numFmtId="0" xfId="0" applyFont="1"/>
    <xf borderId="0" fillId="0" fontId="19" numFmtId="0" xfId="0" applyAlignment="1" applyFont="1">
      <alignment horizontal="center"/>
    </xf>
    <xf borderId="0" fillId="0" fontId="3" numFmtId="0" xfId="0" applyAlignment="1" applyFont="1">
      <alignment readingOrder="0"/>
    </xf>
    <xf quotePrefix="1" borderId="0" fillId="0" fontId="2" numFmtId="49" xfId="0" applyAlignment="1" applyFont="1" applyNumberFormat="1">
      <alignment readingOrder="0"/>
    </xf>
  </cellXfs>
  <cellStyles count="1">
    <cellStyle xfId="0" name="Normal" builtinId="0"/>
  </cellStyles>
  <dxfs count="14">
    <dxf>
      <font/>
      <fill>
        <patternFill patternType="solid">
          <fgColor rgb="FFE3EFF1"/>
          <bgColor rgb="FFE3EFF1"/>
        </patternFill>
      </fill>
      <border/>
    </dxf>
    <dxf>
      <font/>
      <fill>
        <patternFill patternType="solid">
          <fgColor rgb="FFDCE5ED"/>
          <bgColor rgb="FFDCE5ED"/>
        </patternFill>
      </fill>
      <border/>
    </dxf>
    <dxf>
      <font/>
      <fill>
        <patternFill patternType="solid">
          <fgColor rgb="FFF6EBF0"/>
          <bgColor rgb="FFF6EBF0"/>
        </patternFill>
      </fill>
      <border/>
    </dxf>
    <dxf>
      <font/>
      <fill>
        <patternFill patternType="solid">
          <fgColor rgb="FFFFE0DA"/>
          <bgColor rgb="FFFFE0DA"/>
        </patternFill>
      </fill>
      <border/>
    </dxf>
    <dxf>
      <font/>
      <fill>
        <patternFill patternType="solid">
          <fgColor rgb="FFFDECDA"/>
          <bgColor rgb="FFFDECDA"/>
        </patternFill>
      </fill>
      <border/>
    </dxf>
    <dxf>
      <font/>
      <fill>
        <patternFill patternType="solid">
          <fgColor rgb="FFF2FEEE"/>
          <bgColor rgb="FFF2FEEE"/>
        </patternFill>
      </fill>
      <border/>
    </dxf>
    <dxf>
      <font/>
      <fill>
        <patternFill patternType="solid">
          <fgColor rgb="FFF3EEFD"/>
          <bgColor rgb="FFF3EEFD"/>
        </patternFill>
      </fill>
      <border/>
    </dxf>
    <dxf>
      <font/>
      <fill>
        <patternFill patternType="solid">
          <fgColor rgb="FFF3FDFF"/>
          <bgColor rgb="FFF3FDFF"/>
        </patternFill>
      </fill>
      <border/>
    </dxf>
    <dxf>
      <font/>
      <fill>
        <patternFill patternType="solid">
          <fgColor rgb="FFFFF2F2"/>
          <bgColor rgb="FFFFF2F2"/>
        </patternFill>
      </fill>
      <border/>
    </dxf>
    <dxf>
      <font/>
      <fill>
        <patternFill patternType="solid">
          <fgColor rgb="FFE0EBFE"/>
          <bgColor rgb="FFE0EBFE"/>
        </patternFill>
      </fill>
      <border/>
    </dxf>
    <dxf>
      <font/>
      <fill>
        <patternFill patternType="solid">
          <fgColor rgb="FFF4FFF0"/>
          <bgColor rgb="FFF4FFF0"/>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4.88"/>
    <col customWidth="1" min="3" max="3" width="26.88"/>
    <col customWidth="1" min="4" max="4" width="95.63"/>
    <col customWidth="1" min="5" max="5" width="76.0"/>
    <col customWidth="1" hidden="1" min="6" max="6" width="9.88"/>
  </cols>
  <sheetData>
    <row r="1">
      <c r="A1" s="1" t="s">
        <v>0</v>
      </c>
      <c r="B1" s="2" t="s">
        <v>1</v>
      </c>
      <c r="C1" s="3" t="s">
        <v>2</v>
      </c>
      <c r="D1" s="1" t="s">
        <v>3</v>
      </c>
      <c r="E1" s="1" t="s">
        <v>4</v>
      </c>
      <c r="F1" s="3"/>
      <c r="G1" s="3" t="s">
        <v>5</v>
      </c>
    </row>
    <row r="2">
      <c r="A2" s="4" t="s">
        <v>6</v>
      </c>
      <c r="B2" s="5">
        <v>2.0</v>
      </c>
      <c r="C2" s="6" t="s">
        <v>7</v>
      </c>
      <c r="D2" s="7" t="s">
        <v>8</v>
      </c>
      <c r="E2" s="7" t="s">
        <v>9</v>
      </c>
      <c r="F2" s="6" t="s">
        <v>10</v>
      </c>
      <c r="G2" s="8"/>
    </row>
    <row r="3">
      <c r="A3" s="9" t="s">
        <v>11</v>
      </c>
      <c r="B3" s="10">
        <v>2.0</v>
      </c>
      <c r="C3" s="11" t="s">
        <v>7</v>
      </c>
      <c r="D3" s="12" t="s">
        <v>12</v>
      </c>
      <c r="E3" s="12" t="s">
        <v>13</v>
      </c>
      <c r="F3" s="11">
        <v>12000.0</v>
      </c>
      <c r="G3" s="13"/>
    </row>
    <row r="4">
      <c r="A4" s="9" t="s">
        <v>14</v>
      </c>
      <c r="B4" s="10">
        <v>2.0</v>
      </c>
      <c r="C4" s="11" t="s">
        <v>7</v>
      </c>
      <c r="D4" s="14" t="s">
        <v>15</v>
      </c>
      <c r="E4" s="14" t="s">
        <v>16</v>
      </c>
      <c r="F4" s="11">
        <v>8000.0</v>
      </c>
      <c r="G4" s="13"/>
    </row>
    <row r="5">
      <c r="A5" s="9" t="s">
        <v>17</v>
      </c>
      <c r="B5" s="10">
        <v>2.0</v>
      </c>
      <c r="C5" s="11" t="s">
        <v>7</v>
      </c>
      <c r="D5" s="14" t="s">
        <v>18</v>
      </c>
      <c r="E5" s="14"/>
      <c r="F5" s="11">
        <v>8000.0</v>
      </c>
      <c r="G5" s="13"/>
    </row>
    <row r="6">
      <c r="A6" s="9" t="s">
        <v>19</v>
      </c>
      <c r="B6" s="10">
        <v>2.0</v>
      </c>
      <c r="C6" s="11" t="s">
        <v>7</v>
      </c>
      <c r="D6" s="14" t="s">
        <v>20</v>
      </c>
      <c r="E6" s="14" t="s">
        <v>21</v>
      </c>
      <c r="F6" s="11">
        <v>5000.0</v>
      </c>
      <c r="G6" s="13"/>
    </row>
    <row r="7">
      <c r="A7" s="15" t="s">
        <v>22</v>
      </c>
      <c r="B7" s="16">
        <v>2.0</v>
      </c>
      <c r="C7" s="17" t="s">
        <v>23</v>
      </c>
      <c r="D7" s="18" t="s">
        <v>24</v>
      </c>
      <c r="E7" s="18" t="s">
        <v>25</v>
      </c>
      <c r="F7" s="19">
        <v>4000.0</v>
      </c>
      <c r="G7" s="20"/>
    </row>
    <row r="8">
      <c r="A8" s="21" t="s">
        <v>26</v>
      </c>
      <c r="B8" s="22">
        <v>1.0</v>
      </c>
      <c r="C8" s="23" t="s">
        <v>23</v>
      </c>
      <c r="D8" s="24" t="s">
        <v>27</v>
      </c>
      <c r="E8" s="24" t="s">
        <v>28</v>
      </c>
      <c r="F8" s="25">
        <v>4000.0</v>
      </c>
      <c r="G8" s="26"/>
    </row>
    <row r="9">
      <c r="A9" s="27" t="s">
        <v>29</v>
      </c>
      <c r="B9" s="28">
        <v>3.0</v>
      </c>
      <c r="C9" s="29" t="s">
        <v>30</v>
      </c>
      <c r="D9" s="30" t="s">
        <v>31</v>
      </c>
      <c r="E9" s="30" t="s">
        <v>32</v>
      </c>
      <c r="F9" s="29">
        <v>5000.0</v>
      </c>
      <c r="G9" s="31"/>
    </row>
    <row r="10">
      <c r="A10" s="32" t="s">
        <v>33</v>
      </c>
      <c r="B10" s="33">
        <v>1.0</v>
      </c>
      <c r="C10" s="34" t="s">
        <v>30</v>
      </c>
      <c r="D10" s="35" t="s">
        <v>34</v>
      </c>
      <c r="E10" s="36" t="s">
        <v>35</v>
      </c>
      <c r="F10" s="34">
        <v>2000.0</v>
      </c>
      <c r="G10" s="37"/>
    </row>
    <row r="11">
      <c r="A11" s="32" t="s">
        <v>36</v>
      </c>
      <c r="B11" s="33">
        <v>1.0</v>
      </c>
      <c r="C11" s="34" t="s">
        <v>30</v>
      </c>
      <c r="D11" s="36" t="s">
        <v>37</v>
      </c>
      <c r="E11" s="36" t="s">
        <v>38</v>
      </c>
      <c r="F11" s="34"/>
      <c r="G11" s="37"/>
      <c r="L11" s="38"/>
    </row>
    <row r="12">
      <c r="A12" s="32" t="s">
        <v>39</v>
      </c>
      <c r="B12" s="33">
        <v>1.0</v>
      </c>
      <c r="C12" s="34" t="s">
        <v>30</v>
      </c>
      <c r="D12" s="36" t="s">
        <v>40</v>
      </c>
      <c r="E12" s="36" t="s">
        <v>41</v>
      </c>
      <c r="F12" s="34">
        <v>3500.0</v>
      </c>
      <c r="G12" s="37"/>
      <c r="L12" s="38"/>
    </row>
    <row r="13">
      <c r="A13" s="39" t="s">
        <v>42</v>
      </c>
      <c r="B13" s="40">
        <v>2.0</v>
      </c>
      <c r="C13" s="41" t="s">
        <v>43</v>
      </c>
      <c r="D13" s="42" t="s">
        <v>44</v>
      </c>
      <c r="E13" s="42" t="s">
        <v>45</v>
      </c>
      <c r="F13" s="41">
        <v>4500.0</v>
      </c>
      <c r="G13" s="43"/>
      <c r="L13" s="38"/>
    </row>
    <row r="14">
      <c r="A14" s="44" t="s">
        <v>46</v>
      </c>
      <c r="B14" s="45">
        <v>2.0</v>
      </c>
      <c r="C14" s="46" t="s">
        <v>43</v>
      </c>
      <c r="D14" s="47" t="s">
        <v>47</v>
      </c>
      <c r="E14" s="47" t="s">
        <v>48</v>
      </c>
      <c r="F14" s="46">
        <v>3500.0</v>
      </c>
      <c r="G14" s="48"/>
    </row>
    <row r="15">
      <c r="A15" s="44" t="s">
        <v>49</v>
      </c>
      <c r="B15" s="45">
        <v>2.0</v>
      </c>
      <c r="C15" s="46" t="s">
        <v>43</v>
      </c>
      <c r="D15" s="47" t="s">
        <v>50</v>
      </c>
      <c r="E15" s="47" t="s">
        <v>51</v>
      </c>
      <c r="F15" s="46">
        <v>2500.0</v>
      </c>
      <c r="G15" s="48"/>
    </row>
    <row r="16">
      <c r="A16" s="49" t="s">
        <v>52</v>
      </c>
      <c r="B16" s="50">
        <v>1.0</v>
      </c>
      <c r="C16" s="46" t="s">
        <v>43</v>
      </c>
      <c r="D16" s="51" t="s">
        <v>53</v>
      </c>
      <c r="E16" s="51" t="s">
        <v>54</v>
      </c>
      <c r="F16" s="46">
        <v>3500.0</v>
      </c>
      <c r="G16" s="48"/>
    </row>
    <row r="17">
      <c r="A17" s="49" t="s">
        <v>55</v>
      </c>
      <c r="B17" s="50">
        <v>1.0</v>
      </c>
      <c r="C17" s="46" t="s">
        <v>43</v>
      </c>
      <c r="D17" s="51" t="s">
        <v>56</v>
      </c>
      <c r="E17" s="51" t="s">
        <v>57</v>
      </c>
      <c r="F17" s="46">
        <v>2500.0</v>
      </c>
      <c r="G17" s="48"/>
    </row>
    <row r="18">
      <c r="A18" s="49" t="s">
        <v>58</v>
      </c>
      <c r="B18" s="50">
        <v>1.0</v>
      </c>
      <c r="C18" s="46" t="s">
        <v>43</v>
      </c>
      <c r="D18" s="51" t="s">
        <v>59</v>
      </c>
      <c r="E18" s="51" t="s">
        <v>60</v>
      </c>
      <c r="F18" s="46">
        <v>5500.0</v>
      </c>
      <c r="G18" s="48"/>
    </row>
    <row r="19">
      <c r="A19" s="52" t="s">
        <v>61</v>
      </c>
      <c r="B19" s="45">
        <v>2.0</v>
      </c>
      <c r="C19" s="46" t="s">
        <v>43</v>
      </c>
      <c r="D19" s="47" t="s">
        <v>62</v>
      </c>
      <c r="E19" s="47" t="s">
        <v>63</v>
      </c>
      <c r="F19" s="53"/>
      <c r="G19" s="48"/>
    </row>
    <row r="20">
      <c r="A20" s="54" t="s">
        <v>64</v>
      </c>
      <c r="B20" s="55">
        <v>3.0</v>
      </c>
      <c r="C20" s="56" t="s">
        <v>65</v>
      </c>
      <c r="D20" s="57" t="s">
        <v>66</v>
      </c>
      <c r="E20" s="58" t="s">
        <v>67</v>
      </c>
      <c r="F20" s="56">
        <v>3000.0</v>
      </c>
      <c r="G20" s="59"/>
    </row>
    <row r="21">
      <c r="A21" s="60" t="s">
        <v>68</v>
      </c>
      <c r="B21" s="61">
        <v>2.0</v>
      </c>
      <c r="C21" s="62" t="s">
        <v>65</v>
      </c>
      <c r="D21" s="63" t="s">
        <v>69</v>
      </c>
      <c r="E21" s="64"/>
      <c r="F21" s="62"/>
      <c r="G21" s="65"/>
    </row>
    <row r="22">
      <c r="A22" s="66" t="s">
        <v>70</v>
      </c>
      <c r="B22" s="67">
        <v>2.0</v>
      </c>
      <c r="C22" s="62" t="s">
        <v>65</v>
      </c>
      <c r="D22" s="63" t="s">
        <v>71</v>
      </c>
      <c r="E22" s="64" t="s">
        <v>72</v>
      </c>
      <c r="F22" s="62">
        <v>3000.0</v>
      </c>
      <c r="G22" s="65"/>
    </row>
    <row r="23">
      <c r="A23" s="66" t="s">
        <v>73</v>
      </c>
      <c r="B23" s="67">
        <v>2.0</v>
      </c>
      <c r="C23" s="62" t="s">
        <v>65</v>
      </c>
      <c r="D23" s="64" t="s">
        <v>74</v>
      </c>
      <c r="E23" s="64" t="s">
        <v>75</v>
      </c>
      <c r="F23" s="62">
        <v>1000.0</v>
      </c>
      <c r="G23" s="65"/>
    </row>
    <row r="24">
      <c r="A24" s="60" t="s">
        <v>76</v>
      </c>
      <c r="B24" s="61">
        <v>2.0</v>
      </c>
      <c r="C24" s="62" t="s">
        <v>65</v>
      </c>
      <c r="D24" s="63" t="s">
        <v>77</v>
      </c>
      <c r="E24" s="63" t="s">
        <v>78</v>
      </c>
      <c r="F24" s="62"/>
      <c r="G24" s="65"/>
    </row>
    <row r="25">
      <c r="A25" s="66" t="s">
        <v>79</v>
      </c>
      <c r="B25" s="67">
        <v>2.0</v>
      </c>
      <c r="C25" s="62" t="s">
        <v>65</v>
      </c>
      <c r="D25" s="63" t="s">
        <v>80</v>
      </c>
      <c r="E25" s="64" t="s">
        <v>81</v>
      </c>
      <c r="F25" s="62">
        <v>1200.0</v>
      </c>
      <c r="G25" s="65"/>
    </row>
    <row r="26">
      <c r="A26" s="66" t="s">
        <v>82</v>
      </c>
      <c r="B26" s="67">
        <v>1.0</v>
      </c>
      <c r="C26" s="62" t="s">
        <v>65</v>
      </c>
      <c r="D26" s="64" t="s">
        <v>83</v>
      </c>
      <c r="E26" s="64" t="s">
        <v>84</v>
      </c>
      <c r="F26" s="62">
        <v>5500.0</v>
      </c>
      <c r="G26" s="65"/>
    </row>
    <row r="27">
      <c r="A27" s="66" t="s">
        <v>85</v>
      </c>
      <c r="B27" s="67">
        <v>1.0</v>
      </c>
      <c r="C27" s="62" t="s">
        <v>65</v>
      </c>
      <c r="D27" s="64" t="s">
        <v>86</v>
      </c>
      <c r="E27" s="64" t="s">
        <v>87</v>
      </c>
      <c r="F27" s="62">
        <v>1200.0</v>
      </c>
      <c r="G27" s="65"/>
    </row>
    <row r="28">
      <c r="A28" s="68" t="s">
        <v>88</v>
      </c>
      <c r="B28" s="69">
        <v>1.0</v>
      </c>
      <c r="C28" s="62" t="s">
        <v>65</v>
      </c>
      <c r="D28" s="70" t="s">
        <v>89</v>
      </c>
      <c r="E28" s="70" t="s">
        <v>90</v>
      </c>
      <c r="F28" s="62">
        <v>1500.0</v>
      </c>
      <c r="G28" s="65"/>
    </row>
    <row r="29">
      <c r="A29" s="68" t="s">
        <v>91</v>
      </c>
      <c r="B29" s="69">
        <v>1.0</v>
      </c>
      <c r="C29" s="62" t="s">
        <v>65</v>
      </c>
      <c r="D29" s="70" t="s">
        <v>92</v>
      </c>
      <c r="E29" s="70" t="s">
        <v>93</v>
      </c>
      <c r="F29" s="62">
        <v>2000.0</v>
      </c>
      <c r="G29" s="65"/>
    </row>
    <row r="30">
      <c r="A30" s="71" t="s">
        <v>94</v>
      </c>
      <c r="B30" s="72">
        <v>1.0</v>
      </c>
      <c r="C30" s="73" t="s">
        <v>65</v>
      </c>
      <c r="D30" s="74" t="s">
        <v>95</v>
      </c>
      <c r="E30" s="74" t="s">
        <v>96</v>
      </c>
      <c r="F30" s="73">
        <v>4500.0</v>
      </c>
      <c r="G30" s="75"/>
    </row>
    <row r="31">
      <c r="A31" s="76" t="s">
        <v>97</v>
      </c>
      <c r="B31" s="77">
        <v>2.0</v>
      </c>
      <c r="C31" s="78" t="s">
        <v>98</v>
      </c>
      <c r="D31" s="79" t="s">
        <v>99</v>
      </c>
      <c r="E31" s="79" t="s">
        <v>100</v>
      </c>
      <c r="F31" s="78">
        <v>3500.0</v>
      </c>
      <c r="G31" s="80"/>
    </row>
    <row r="32">
      <c r="A32" s="81" t="s">
        <v>101</v>
      </c>
      <c r="B32" s="82">
        <v>2.0</v>
      </c>
      <c r="C32" s="83" t="s">
        <v>98</v>
      </c>
      <c r="D32" s="84" t="s">
        <v>102</v>
      </c>
      <c r="E32" s="84" t="s">
        <v>103</v>
      </c>
      <c r="F32" s="85"/>
      <c r="G32" s="86"/>
    </row>
    <row r="33">
      <c r="A33" s="87" t="s">
        <v>104</v>
      </c>
      <c r="B33" s="88">
        <v>2.0</v>
      </c>
      <c r="C33" s="19" t="s">
        <v>105</v>
      </c>
      <c r="D33" s="89" t="s">
        <v>106</v>
      </c>
      <c r="E33" s="89" t="s">
        <v>107</v>
      </c>
      <c r="F33" s="90"/>
      <c r="G33" s="20"/>
    </row>
    <row r="34">
      <c r="A34" s="91" t="s">
        <v>108</v>
      </c>
      <c r="B34" s="92">
        <v>2.0</v>
      </c>
      <c r="C34" s="93" t="s">
        <v>105</v>
      </c>
      <c r="D34" s="94" t="s">
        <v>109</v>
      </c>
      <c r="E34" s="91" t="s">
        <v>110</v>
      </c>
      <c r="F34" s="93">
        <v>6000.0</v>
      </c>
      <c r="G34" s="95"/>
    </row>
    <row r="35">
      <c r="A35" s="96" t="s">
        <v>111</v>
      </c>
      <c r="B35" s="92">
        <v>1.0</v>
      </c>
      <c r="C35" s="93" t="s">
        <v>105</v>
      </c>
      <c r="D35" s="91" t="s">
        <v>112</v>
      </c>
      <c r="E35" s="91" t="s">
        <v>113</v>
      </c>
      <c r="F35" s="93">
        <v>1200.0</v>
      </c>
      <c r="G35" s="97"/>
    </row>
    <row r="36">
      <c r="A36" s="96" t="s">
        <v>114</v>
      </c>
      <c r="B36" s="98">
        <v>1.0</v>
      </c>
      <c r="C36" s="93" t="s">
        <v>105</v>
      </c>
      <c r="D36" s="91" t="s">
        <v>115</v>
      </c>
      <c r="E36" s="91" t="s">
        <v>116</v>
      </c>
      <c r="F36" s="93">
        <v>3000.0</v>
      </c>
      <c r="G36" s="97"/>
    </row>
    <row r="37">
      <c r="A37" s="99" t="s">
        <v>117</v>
      </c>
      <c r="B37" s="100">
        <v>1.0</v>
      </c>
      <c r="C37" s="93" t="s">
        <v>105</v>
      </c>
      <c r="D37" s="94" t="s">
        <v>118</v>
      </c>
      <c r="E37" s="94" t="s">
        <v>119</v>
      </c>
      <c r="F37" s="93">
        <v>1500.0</v>
      </c>
      <c r="G37" s="97"/>
    </row>
    <row r="38">
      <c r="A38" s="101" t="s">
        <v>120</v>
      </c>
      <c r="B38" s="100">
        <v>1.0</v>
      </c>
      <c r="C38" s="93" t="s">
        <v>105</v>
      </c>
      <c r="D38" s="101" t="s">
        <v>121</v>
      </c>
      <c r="E38" s="101" t="s">
        <v>122</v>
      </c>
      <c r="F38" s="93">
        <v>3500.0</v>
      </c>
      <c r="G38" s="97"/>
    </row>
    <row r="39">
      <c r="A39" s="99" t="s">
        <v>123</v>
      </c>
      <c r="B39" s="100">
        <v>1.0</v>
      </c>
      <c r="C39" s="93" t="s">
        <v>105</v>
      </c>
      <c r="D39" s="101" t="s">
        <v>124</v>
      </c>
      <c r="E39" s="101" t="s">
        <v>125</v>
      </c>
      <c r="F39" s="93">
        <v>2500.0</v>
      </c>
      <c r="G39" s="97"/>
    </row>
    <row r="40">
      <c r="A40" s="99" t="s">
        <v>126</v>
      </c>
      <c r="B40" s="100">
        <v>1.0</v>
      </c>
      <c r="C40" s="93" t="s">
        <v>105</v>
      </c>
      <c r="D40" s="101" t="s">
        <v>127</v>
      </c>
      <c r="E40" s="101" t="s">
        <v>128</v>
      </c>
      <c r="F40" s="93">
        <v>3000.0</v>
      </c>
      <c r="G40" s="97"/>
    </row>
    <row r="41">
      <c r="A41" s="102" t="s">
        <v>129</v>
      </c>
      <c r="B41" s="98">
        <v>1.0</v>
      </c>
      <c r="C41" s="93" t="s">
        <v>105</v>
      </c>
      <c r="D41" s="94" t="s">
        <v>130</v>
      </c>
      <c r="E41" s="101"/>
      <c r="F41" s="93"/>
      <c r="G41" s="97"/>
    </row>
    <row r="42">
      <c r="A42" s="99" t="s">
        <v>131</v>
      </c>
      <c r="B42" s="100">
        <v>1.0</v>
      </c>
      <c r="C42" s="93" t="s">
        <v>105</v>
      </c>
      <c r="D42" s="101" t="s">
        <v>132</v>
      </c>
      <c r="E42" s="101" t="s">
        <v>133</v>
      </c>
      <c r="F42" s="93">
        <v>4000.0</v>
      </c>
      <c r="G42" s="97"/>
    </row>
    <row r="43">
      <c r="A43" s="99" t="s">
        <v>134</v>
      </c>
      <c r="B43" s="100">
        <v>1.0</v>
      </c>
      <c r="C43" s="93" t="s">
        <v>105</v>
      </c>
      <c r="D43" s="101" t="s">
        <v>135</v>
      </c>
      <c r="E43" s="101" t="s">
        <v>136</v>
      </c>
      <c r="F43" s="95"/>
      <c r="G43" s="97"/>
    </row>
    <row r="44">
      <c r="A44" s="99" t="s">
        <v>137</v>
      </c>
      <c r="B44" s="100">
        <v>1.0</v>
      </c>
      <c r="C44" s="93" t="s">
        <v>105</v>
      </c>
      <c r="D44" s="101" t="s">
        <v>138</v>
      </c>
      <c r="E44" s="101" t="s">
        <v>139</v>
      </c>
      <c r="F44" s="95"/>
      <c r="G44" s="97"/>
    </row>
    <row r="45">
      <c r="A45" s="103" t="s">
        <v>140</v>
      </c>
      <c r="B45" s="104">
        <v>1.0</v>
      </c>
      <c r="C45" s="25" t="s">
        <v>105</v>
      </c>
      <c r="D45" s="105" t="s">
        <v>141</v>
      </c>
      <c r="E45" s="105" t="s">
        <v>142</v>
      </c>
      <c r="F45" s="106"/>
      <c r="G45" s="26"/>
      <c r="P45" s="95"/>
      <c r="Q45" s="95"/>
      <c r="R45" s="95"/>
      <c r="S45" s="95"/>
      <c r="T45" s="95"/>
      <c r="U45" s="95"/>
      <c r="V45" s="95"/>
      <c r="W45" s="95"/>
      <c r="X45" s="95"/>
      <c r="Y45" s="95"/>
      <c r="Z45" s="95"/>
      <c r="AA45" s="95"/>
      <c r="AB45" s="95"/>
      <c r="AC45" s="95"/>
      <c r="AD45" s="95"/>
      <c r="AE45" s="95"/>
      <c r="AF45" s="95"/>
      <c r="AG45" s="95"/>
      <c r="AH45" s="95"/>
      <c r="AI45" s="95"/>
      <c r="AJ45" s="95"/>
      <c r="AK45" s="95"/>
    </row>
    <row r="46">
      <c r="A46" s="107" t="s">
        <v>143</v>
      </c>
      <c r="B46" s="108">
        <v>5.0</v>
      </c>
      <c r="C46" s="109" t="s">
        <v>144</v>
      </c>
      <c r="D46" s="110" t="s">
        <v>145</v>
      </c>
      <c r="E46" s="110" t="s">
        <v>146</v>
      </c>
      <c r="F46" s="111"/>
      <c r="G46" s="112"/>
    </row>
    <row r="47">
      <c r="A47" s="113" t="s">
        <v>147</v>
      </c>
      <c r="B47" s="114">
        <v>3.0</v>
      </c>
      <c r="C47" s="115" t="s">
        <v>144</v>
      </c>
      <c r="D47" s="116" t="s">
        <v>148</v>
      </c>
      <c r="E47" s="116" t="s">
        <v>149</v>
      </c>
      <c r="F47" s="117"/>
      <c r="G47" s="118"/>
    </row>
    <row r="48">
      <c r="A48" s="113" t="s">
        <v>150</v>
      </c>
      <c r="B48" s="114">
        <v>2.0</v>
      </c>
      <c r="C48" s="115" t="s">
        <v>144</v>
      </c>
      <c r="D48" s="116" t="s">
        <v>151</v>
      </c>
      <c r="E48" s="116" t="s">
        <v>152</v>
      </c>
      <c r="F48" s="117"/>
      <c r="G48" s="118"/>
    </row>
    <row r="49">
      <c r="A49" s="113" t="s">
        <v>153</v>
      </c>
      <c r="B49" s="114">
        <v>2.0</v>
      </c>
      <c r="C49" s="115" t="s">
        <v>144</v>
      </c>
      <c r="D49" s="116" t="s">
        <v>154</v>
      </c>
      <c r="E49" s="116" t="s">
        <v>155</v>
      </c>
      <c r="F49" s="117"/>
      <c r="G49" s="118"/>
    </row>
    <row r="50">
      <c r="A50" s="113" t="s">
        <v>156</v>
      </c>
      <c r="B50" s="114">
        <v>2.0</v>
      </c>
      <c r="C50" s="115" t="s">
        <v>144</v>
      </c>
      <c r="D50" s="116" t="s">
        <v>157</v>
      </c>
      <c r="E50" s="116" t="s">
        <v>158</v>
      </c>
      <c r="F50" s="117"/>
      <c r="G50" s="118"/>
    </row>
    <row r="51">
      <c r="A51" s="119" t="s">
        <v>159</v>
      </c>
      <c r="B51" s="120">
        <v>1.0</v>
      </c>
      <c r="C51" s="121" t="s">
        <v>144</v>
      </c>
      <c r="D51" s="122" t="s">
        <v>160</v>
      </c>
      <c r="E51" s="122" t="s">
        <v>161</v>
      </c>
      <c r="F51" s="123"/>
      <c r="G51" s="124"/>
    </row>
    <row r="52">
      <c r="A52" s="125" t="s">
        <v>162</v>
      </c>
      <c r="B52" s="126">
        <v>2.0</v>
      </c>
      <c r="C52" s="127" t="s">
        <v>163</v>
      </c>
      <c r="D52" s="128" t="s">
        <v>164</v>
      </c>
      <c r="E52" s="128" t="s">
        <v>165</v>
      </c>
      <c r="F52" s="129"/>
      <c r="G52" s="130"/>
    </row>
    <row r="53">
      <c r="A53" s="131" t="s">
        <v>166</v>
      </c>
      <c r="B53" s="132">
        <v>2.0</v>
      </c>
      <c r="C53" s="133" t="s">
        <v>163</v>
      </c>
      <c r="D53" s="134" t="s">
        <v>167</v>
      </c>
      <c r="E53" s="134" t="s">
        <v>168</v>
      </c>
      <c r="F53" s="135"/>
      <c r="G53" s="136"/>
    </row>
    <row r="54">
      <c r="A54" s="131" t="s">
        <v>169</v>
      </c>
      <c r="B54" s="132">
        <v>1.0</v>
      </c>
      <c r="C54" s="133" t="s">
        <v>163</v>
      </c>
      <c r="D54" s="134" t="s">
        <v>170</v>
      </c>
      <c r="E54" s="134" t="s">
        <v>171</v>
      </c>
      <c r="F54" s="135"/>
      <c r="G54" s="136"/>
    </row>
    <row r="55">
      <c r="A55" s="137" t="s">
        <v>172</v>
      </c>
      <c r="B55" s="138">
        <v>1.0</v>
      </c>
      <c r="C55" s="139" t="s">
        <v>163</v>
      </c>
      <c r="D55" s="140" t="s">
        <v>173</v>
      </c>
      <c r="E55" s="140" t="s">
        <v>174</v>
      </c>
      <c r="F55" s="141"/>
      <c r="G55" s="142"/>
    </row>
    <row r="56">
      <c r="A56" s="143" t="s">
        <v>175</v>
      </c>
      <c r="B56" s="144">
        <v>4.0</v>
      </c>
      <c r="C56" s="145" t="s">
        <v>176</v>
      </c>
      <c r="D56" s="146" t="s">
        <v>177</v>
      </c>
      <c r="E56" s="146" t="s">
        <v>178</v>
      </c>
      <c r="F56" s="147"/>
      <c r="G56" s="148"/>
    </row>
    <row r="57">
      <c r="A57" s="149" t="s">
        <v>179</v>
      </c>
      <c r="B57" s="150">
        <v>2.0</v>
      </c>
      <c r="C57" s="151" t="s">
        <v>176</v>
      </c>
      <c r="D57" s="152" t="s">
        <v>180</v>
      </c>
      <c r="E57" s="152" t="s">
        <v>181</v>
      </c>
      <c r="F57" s="153"/>
      <c r="G57" s="154"/>
    </row>
    <row r="58">
      <c r="A58" s="155" t="s">
        <v>182</v>
      </c>
      <c r="B58" s="156">
        <v>3.0</v>
      </c>
      <c r="C58" s="157" t="s">
        <v>176</v>
      </c>
      <c r="D58" s="158" t="s">
        <v>183</v>
      </c>
      <c r="E58" s="158" t="s">
        <v>184</v>
      </c>
      <c r="F58" s="159"/>
      <c r="G58" s="160"/>
    </row>
    <row r="59">
      <c r="A59" s="161" t="s">
        <v>185</v>
      </c>
      <c r="B59" s="5">
        <v>1.0</v>
      </c>
      <c r="C59" s="6" t="s">
        <v>186</v>
      </c>
      <c r="D59" s="7" t="s">
        <v>187</v>
      </c>
      <c r="E59" s="7" t="s">
        <v>188</v>
      </c>
      <c r="F59" s="162"/>
      <c r="G59" s="8"/>
    </row>
    <row r="60">
      <c r="A60" s="163" t="s">
        <v>189</v>
      </c>
      <c r="B60" s="164">
        <v>1.0</v>
      </c>
      <c r="C60" s="165" t="s">
        <v>186</v>
      </c>
      <c r="D60" s="166" t="s">
        <v>190</v>
      </c>
      <c r="E60" s="166" t="s">
        <v>191</v>
      </c>
      <c r="F60" s="167"/>
      <c r="G60" s="168"/>
    </row>
    <row r="63" ht="19.5" customHeight="1">
      <c r="A63" s="169"/>
      <c r="B63" s="170"/>
      <c r="C63" s="170"/>
      <c r="D63" s="171" t="s">
        <v>192</v>
      </c>
      <c r="E63" s="172"/>
    </row>
    <row r="64" ht="19.5" customHeight="1">
      <c r="A64" s="173"/>
      <c r="E64" s="174"/>
    </row>
    <row r="65" ht="19.5" customHeight="1">
      <c r="A65" s="175" t="s">
        <v>193</v>
      </c>
      <c r="D65" s="176" t="s">
        <v>194</v>
      </c>
      <c r="E65" s="174"/>
    </row>
    <row r="66" ht="19.5" customHeight="1">
      <c r="A66" s="175" t="s">
        <v>195</v>
      </c>
      <c r="D66" s="176" t="s">
        <v>196</v>
      </c>
      <c r="E66" s="177"/>
    </row>
    <row r="67" ht="19.5" customHeight="1">
      <c r="A67" s="175" t="s">
        <v>197</v>
      </c>
      <c r="D67" s="178" t="s">
        <v>198</v>
      </c>
      <c r="E67" s="177"/>
    </row>
    <row r="68" ht="19.5" customHeight="1">
      <c r="A68" s="175" t="s">
        <v>199</v>
      </c>
      <c r="D68" s="178" t="s">
        <v>200</v>
      </c>
      <c r="E68" s="177"/>
    </row>
    <row r="69" ht="19.5" customHeight="1">
      <c r="A69" s="179" t="s">
        <v>201</v>
      </c>
      <c r="B69" s="180"/>
      <c r="C69" s="180"/>
      <c r="D69" s="181" t="s">
        <v>202</v>
      </c>
      <c r="E69" s="182"/>
    </row>
    <row r="70" ht="19.5" customHeight="1"/>
    <row r="71" ht="19.5" customHeight="1">
      <c r="A71" s="183"/>
      <c r="B71" s="184"/>
      <c r="C71" s="184"/>
      <c r="D71" s="185"/>
      <c r="E71" s="186"/>
    </row>
    <row r="72" ht="19.5" customHeight="1">
      <c r="A72" s="187" t="s">
        <v>203</v>
      </c>
      <c r="B72" s="188"/>
      <c r="C72" s="188"/>
      <c r="D72" s="188"/>
      <c r="E72" s="189"/>
    </row>
    <row r="73" ht="19.5" customHeight="1">
      <c r="A73" s="187" t="s">
        <v>204</v>
      </c>
      <c r="B73" s="188"/>
      <c r="C73" s="188"/>
      <c r="D73" s="188"/>
      <c r="E73" s="189"/>
    </row>
    <row r="74" ht="19.5" customHeight="1">
      <c r="A74" s="187" t="s">
        <v>205</v>
      </c>
      <c r="B74" s="188"/>
      <c r="C74" s="188"/>
      <c r="D74" s="188"/>
      <c r="E74" s="189"/>
    </row>
    <row r="75" ht="19.5" customHeight="1">
      <c r="A75" s="187" t="s">
        <v>206</v>
      </c>
      <c r="B75" s="188"/>
      <c r="C75" s="188"/>
      <c r="D75" s="188"/>
      <c r="E75" s="189"/>
    </row>
    <row r="76" ht="19.5" customHeight="1">
      <c r="A76" s="190" t="s">
        <v>207</v>
      </c>
      <c r="B76" s="191"/>
      <c r="C76" s="191"/>
      <c r="D76" s="188"/>
      <c r="E76" s="189"/>
    </row>
    <row r="77">
      <c r="A77" s="192" t="s">
        <v>208</v>
      </c>
      <c r="C77" s="193" t="s">
        <v>209</v>
      </c>
      <c r="D77" s="194"/>
      <c r="E77" s="195"/>
    </row>
    <row r="78">
      <c r="A78" s="196"/>
      <c r="C78" s="197" t="str">
        <f t="array" ref="C78:C88">UNIQUE(C2:C60)</f>
        <v>Arms &amp; Arm Attachments</v>
      </c>
      <c r="D78" s="194"/>
      <c r="E78" s="195"/>
    </row>
    <row r="79">
      <c r="A79" s="196"/>
      <c r="C79" s="198" t="s">
        <v>23</v>
      </c>
      <c r="D79" s="194"/>
      <c r="E79" s="195"/>
    </row>
    <row r="80">
      <c r="A80" s="196"/>
      <c r="C80" s="199" t="s">
        <v>30</v>
      </c>
      <c r="D80" s="194"/>
      <c r="E80" s="195"/>
    </row>
    <row r="81">
      <c r="A81" s="196"/>
      <c r="C81" s="53" t="s">
        <v>43</v>
      </c>
      <c r="D81" s="194"/>
      <c r="E81" s="195"/>
    </row>
    <row r="82">
      <c r="A82" s="196"/>
      <c r="C82" s="200" t="s">
        <v>65</v>
      </c>
      <c r="D82" s="194"/>
      <c r="E82" s="195"/>
    </row>
    <row r="83">
      <c r="A83" s="196"/>
      <c r="C83" s="201" t="s">
        <v>98</v>
      </c>
      <c r="D83" s="194"/>
      <c r="E83" s="195"/>
    </row>
    <row r="84">
      <c r="A84" s="196"/>
      <c r="C84" s="95" t="s">
        <v>105</v>
      </c>
      <c r="D84" s="194"/>
      <c r="E84" s="195"/>
    </row>
    <row r="85">
      <c r="A85" s="196"/>
      <c r="C85" s="117" t="s">
        <v>144</v>
      </c>
      <c r="D85" s="194"/>
      <c r="E85" s="195"/>
    </row>
    <row r="86">
      <c r="A86" s="196"/>
      <c r="C86" s="135" t="s">
        <v>163</v>
      </c>
      <c r="D86" s="194"/>
      <c r="E86" s="195"/>
    </row>
    <row r="87">
      <c r="A87" s="196"/>
      <c r="C87" s="153" t="s">
        <v>176</v>
      </c>
      <c r="D87" s="194"/>
      <c r="E87" s="195"/>
    </row>
    <row r="88">
      <c r="A88" s="202"/>
      <c r="B88" s="203"/>
      <c r="C88" s="204" t="s">
        <v>186</v>
      </c>
      <c r="D88" s="205"/>
      <c r="E88" s="206"/>
    </row>
  </sheetData>
  <mergeCells count="8">
    <mergeCell ref="A63:C63"/>
    <mergeCell ref="A64:C64"/>
    <mergeCell ref="A65:C65"/>
    <mergeCell ref="A66:C66"/>
    <mergeCell ref="A67:C67"/>
    <mergeCell ref="A68:C68"/>
    <mergeCell ref="A69:C69"/>
    <mergeCell ref="A77:B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 customWidth="1" min="2" max="2" width="31.25"/>
    <col customWidth="1" min="3" max="3" width="10.38"/>
    <col customWidth="1" min="4" max="4" width="42.13"/>
    <col customWidth="1" min="5" max="5" width="8.5"/>
    <col customWidth="1" min="6" max="6" width="19.88"/>
    <col customWidth="1" min="7" max="7" width="23.5"/>
    <col customWidth="1" min="8" max="8" width="154.63"/>
    <col customWidth="1" min="9" max="9" width="30.38"/>
  </cols>
  <sheetData>
    <row r="1">
      <c r="A1" s="207" t="s">
        <v>210</v>
      </c>
      <c r="B1" s="207" t="s">
        <v>211</v>
      </c>
      <c r="C1" s="208" t="s">
        <v>212</v>
      </c>
      <c r="D1" s="209" t="s">
        <v>213</v>
      </c>
      <c r="E1" s="209" t="s">
        <v>1</v>
      </c>
      <c r="F1" s="210" t="s">
        <v>214</v>
      </c>
      <c r="G1" s="210" t="s">
        <v>215</v>
      </c>
      <c r="H1" s="211" t="s">
        <v>216</v>
      </c>
      <c r="I1" s="210" t="s">
        <v>2</v>
      </c>
      <c r="J1" s="212" t="s">
        <v>5</v>
      </c>
      <c r="K1" s="213"/>
      <c r="L1" s="213"/>
      <c r="M1" s="214"/>
      <c r="N1" s="214"/>
      <c r="O1" s="214"/>
      <c r="P1" s="214"/>
      <c r="Q1" s="214"/>
      <c r="R1" s="214"/>
      <c r="S1" s="214"/>
      <c r="T1" s="214"/>
      <c r="U1" s="214"/>
      <c r="V1" s="214"/>
      <c r="W1" s="214"/>
      <c r="X1" s="214"/>
      <c r="Y1" s="214"/>
      <c r="Z1" s="214"/>
      <c r="AA1" s="214"/>
      <c r="AB1" s="214"/>
      <c r="AC1" s="214"/>
    </row>
    <row r="2">
      <c r="A2" s="215" t="s">
        <v>217</v>
      </c>
      <c r="B2" s="216" t="s">
        <v>218</v>
      </c>
      <c r="C2" s="217">
        <f>sum(E2:E6)</f>
        <v>15</v>
      </c>
      <c r="D2" s="218" t="s">
        <v>219</v>
      </c>
      <c r="E2" s="218">
        <v>2.0</v>
      </c>
      <c r="F2" s="219"/>
      <c r="G2" s="219"/>
      <c r="H2" s="220" t="s">
        <v>220</v>
      </c>
      <c r="I2" s="221" t="s">
        <v>176</v>
      </c>
      <c r="J2" s="214"/>
      <c r="K2" s="214"/>
      <c r="L2" s="214"/>
      <c r="M2" s="214"/>
      <c r="N2" s="214"/>
      <c r="O2" s="214"/>
      <c r="P2" s="214"/>
      <c r="Q2" s="214"/>
      <c r="R2" s="214"/>
      <c r="S2" s="214"/>
      <c r="T2" s="214"/>
      <c r="U2" s="214"/>
      <c r="V2" s="214"/>
      <c r="W2" s="214"/>
      <c r="X2" s="214"/>
      <c r="Y2" s="214"/>
      <c r="Z2" s="214"/>
      <c r="AA2" s="214"/>
      <c r="AB2" s="214"/>
      <c r="AC2" s="214"/>
    </row>
    <row r="3">
      <c r="A3" s="222"/>
      <c r="D3" s="223" t="s">
        <v>182</v>
      </c>
      <c r="E3" s="223">
        <v>3.0</v>
      </c>
      <c r="F3" s="224"/>
      <c r="G3" s="224"/>
      <c r="H3" s="225" t="s">
        <v>183</v>
      </c>
      <c r="I3" s="226" t="s">
        <v>176</v>
      </c>
      <c r="J3" s="214"/>
      <c r="K3" s="214"/>
      <c r="L3" s="214"/>
      <c r="M3" s="214"/>
      <c r="N3" s="214"/>
      <c r="O3" s="214"/>
      <c r="P3" s="214"/>
      <c r="Q3" s="214"/>
      <c r="R3" s="214"/>
      <c r="S3" s="214"/>
      <c r="T3" s="214"/>
      <c r="U3" s="214"/>
      <c r="V3" s="214"/>
      <c r="W3" s="214"/>
      <c r="X3" s="214"/>
      <c r="Y3" s="214"/>
      <c r="Z3" s="214"/>
      <c r="AA3" s="214"/>
      <c r="AB3" s="214"/>
      <c r="AC3" s="214"/>
    </row>
    <row r="4">
      <c r="A4" s="222"/>
      <c r="D4" s="227" t="s">
        <v>221</v>
      </c>
      <c r="E4" s="227">
        <v>4.0</v>
      </c>
      <c r="F4" s="228"/>
      <c r="G4" s="228"/>
      <c r="H4" s="229" t="s">
        <v>222</v>
      </c>
      <c r="I4" s="230" t="s">
        <v>7</v>
      </c>
      <c r="J4" s="214"/>
      <c r="K4" s="214"/>
      <c r="L4" s="214"/>
      <c r="M4" s="214"/>
      <c r="N4" s="214"/>
      <c r="O4" s="214"/>
      <c r="P4" s="214"/>
      <c r="Q4" s="214"/>
      <c r="R4" s="214"/>
      <c r="S4" s="214"/>
      <c r="T4" s="214"/>
      <c r="U4" s="214"/>
      <c r="V4" s="214"/>
      <c r="W4" s="214"/>
      <c r="X4" s="214"/>
      <c r="Y4" s="214"/>
      <c r="Z4" s="214"/>
      <c r="AA4" s="214"/>
      <c r="AB4" s="214"/>
      <c r="AC4" s="214"/>
    </row>
    <row r="5">
      <c r="A5" s="222"/>
      <c r="D5" s="231" t="s">
        <v>223</v>
      </c>
      <c r="E5" s="232">
        <v>2.0</v>
      </c>
      <c r="F5" s="233"/>
      <c r="G5" s="233"/>
      <c r="H5" s="234" t="s">
        <v>224</v>
      </c>
      <c r="I5" s="235" t="s">
        <v>105</v>
      </c>
      <c r="J5" s="214"/>
      <c r="K5" s="214"/>
      <c r="L5" s="214"/>
      <c r="M5" s="214"/>
      <c r="N5" s="214"/>
      <c r="O5" s="214"/>
      <c r="P5" s="214"/>
      <c r="Q5" s="214"/>
      <c r="R5" s="214"/>
      <c r="S5" s="214"/>
      <c r="T5" s="214"/>
      <c r="U5" s="214"/>
      <c r="V5" s="214"/>
      <c r="W5" s="214"/>
      <c r="X5" s="214"/>
      <c r="Y5" s="214"/>
      <c r="Z5" s="214"/>
      <c r="AA5" s="214"/>
      <c r="AB5" s="214"/>
      <c r="AC5" s="214"/>
    </row>
    <row r="6">
      <c r="A6" s="236"/>
      <c r="B6" s="237"/>
      <c r="C6" s="237"/>
      <c r="D6" s="238" t="s">
        <v>225</v>
      </c>
      <c r="E6" s="238">
        <v>4.0</v>
      </c>
      <c r="F6" s="239"/>
      <c r="G6" s="239"/>
      <c r="H6" s="240" t="s">
        <v>226</v>
      </c>
      <c r="I6" s="241" t="s">
        <v>65</v>
      </c>
      <c r="J6" s="214"/>
      <c r="K6" s="214"/>
      <c r="L6" s="214"/>
      <c r="M6" s="214"/>
      <c r="N6" s="214"/>
      <c r="O6" s="214"/>
      <c r="P6" s="214"/>
      <c r="Q6" s="214"/>
      <c r="R6" s="214"/>
      <c r="S6" s="214"/>
      <c r="T6" s="214"/>
      <c r="U6" s="214"/>
      <c r="V6" s="214"/>
      <c r="W6" s="214"/>
      <c r="X6" s="214"/>
      <c r="Y6" s="214"/>
      <c r="Z6" s="214"/>
      <c r="AA6" s="214"/>
      <c r="AB6" s="214"/>
      <c r="AC6" s="214"/>
    </row>
    <row r="7">
      <c r="A7" s="242" t="s">
        <v>227</v>
      </c>
      <c r="B7" s="243" t="s">
        <v>228</v>
      </c>
      <c r="C7" s="244">
        <f>sum(E7:E15)</f>
        <v>15</v>
      </c>
      <c r="D7" s="245" t="s">
        <v>55</v>
      </c>
      <c r="E7" s="245">
        <v>1.0</v>
      </c>
      <c r="F7" s="246"/>
      <c r="G7" s="246"/>
      <c r="H7" s="247" t="s">
        <v>56</v>
      </c>
      <c r="I7" s="248" t="s">
        <v>43</v>
      </c>
      <c r="J7" s="214"/>
      <c r="K7" s="214"/>
      <c r="L7" s="214"/>
      <c r="M7" s="214"/>
      <c r="N7" s="214"/>
      <c r="O7" s="214"/>
      <c r="P7" s="214"/>
      <c r="Q7" s="214"/>
      <c r="R7" s="214"/>
      <c r="S7" s="214"/>
      <c r="T7" s="214"/>
      <c r="U7" s="214"/>
      <c r="V7" s="214"/>
      <c r="W7" s="214"/>
      <c r="X7" s="214"/>
      <c r="Y7" s="214"/>
      <c r="Z7" s="214"/>
      <c r="AA7" s="214"/>
      <c r="AB7" s="214"/>
      <c r="AC7" s="214"/>
    </row>
    <row r="8">
      <c r="A8" s="222"/>
      <c r="D8" s="249" t="s">
        <v>143</v>
      </c>
      <c r="E8" s="249">
        <v>5.0</v>
      </c>
      <c r="F8" s="250"/>
      <c r="G8" s="251"/>
      <c r="H8" s="252" t="s">
        <v>145</v>
      </c>
      <c r="I8" s="253" t="s">
        <v>144</v>
      </c>
      <c r="J8" s="214"/>
      <c r="K8" s="214"/>
      <c r="L8" s="214"/>
      <c r="M8" s="214"/>
      <c r="N8" s="214"/>
      <c r="O8" s="214"/>
      <c r="P8" s="214"/>
      <c r="Q8" s="214"/>
      <c r="R8" s="214"/>
      <c r="S8" s="214"/>
      <c r="T8" s="214"/>
      <c r="U8" s="214"/>
      <c r="V8" s="214"/>
      <c r="W8" s="214"/>
      <c r="X8" s="214"/>
      <c r="Y8" s="214"/>
      <c r="Z8" s="214"/>
      <c r="AA8" s="214"/>
      <c r="AB8" s="214"/>
      <c r="AC8" s="214"/>
    </row>
    <row r="9">
      <c r="A9" s="222"/>
      <c r="D9" s="232" t="s">
        <v>111</v>
      </c>
      <c r="E9" s="232">
        <v>1.0</v>
      </c>
      <c r="F9" s="254"/>
      <c r="G9" s="254"/>
      <c r="H9" s="234" t="s">
        <v>112</v>
      </c>
      <c r="I9" s="255" t="s">
        <v>105</v>
      </c>
      <c r="J9" s="214"/>
      <c r="K9" s="214"/>
      <c r="L9" s="214"/>
      <c r="M9" s="214"/>
      <c r="N9" s="214"/>
      <c r="O9" s="214"/>
      <c r="P9" s="214"/>
      <c r="Q9" s="214"/>
      <c r="R9" s="214"/>
      <c r="S9" s="214"/>
      <c r="T9" s="214"/>
      <c r="U9" s="214"/>
      <c r="V9" s="214"/>
      <c r="W9" s="214"/>
      <c r="X9" s="214"/>
      <c r="Y9" s="214"/>
      <c r="Z9" s="214"/>
      <c r="AA9" s="214"/>
      <c r="AB9" s="214"/>
      <c r="AC9" s="214"/>
    </row>
    <row r="10">
      <c r="A10" s="222"/>
      <c r="D10" s="232" t="s">
        <v>134</v>
      </c>
      <c r="E10" s="232">
        <v>1.0</v>
      </c>
      <c r="F10" s="233"/>
      <c r="G10" s="233"/>
      <c r="H10" s="234" t="s">
        <v>135</v>
      </c>
      <c r="I10" s="235" t="s">
        <v>105</v>
      </c>
      <c r="J10" s="214"/>
      <c r="K10" s="214"/>
      <c r="L10" s="214"/>
      <c r="M10" s="214"/>
      <c r="N10" s="214"/>
      <c r="O10" s="214"/>
      <c r="P10" s="214"/>
      <c r="Q10" s="214"/>
      <c r="R10" s="214"/>
      <c r="S10" s="214"/>
      <c r="T10" s="214"/>
      <c r="U10" s="214"/>
      <c r="V10" s="214"/>
      <c r="W10" s="214"/>
      <c r="X10" s="214"/>
      <c r="Y10" s="214"/>
      <c r="Z10" s="214"/>
      <c r="AA10" s="214"/>
      <c r="AB10" s="214"/>
      <c r="AC10" s="214"/>
    </row>
    <row r="11">
      <c r="A11" s="222"/>
      <c r="D11" s="232" t="s">
        <v>140</v>
      </c>
      <c r="E11" s="232">
        <v>1.0</v>
      </c>
      <c r="F11" s="233"/>
      <c r="G11" s="233"/>
      <c r="H11" s="234" t="s">
        <v>141</v>
      </c>
      <c r="I11" s="235" t="s">
        <v>105</v>
      </c>
      <c r="J11" s="214"/>
      <c r="K11" s="214"/>
      <c r="L11" s="214"/>
      <c r="M11" s="214"/>
      <c r="N11" s="214"/>
      <c r="O11" s="214"/>
      <c r="P11" s="214"/>
      <c r="Q11" s="214"/>
      <c r="R11" s="214"/>
      <c r="S11" s="214"/>
      <c r="T11" s="214"/>
      <c r="U11" s="214"/>
      <c r="V11" s="214"/>
      <c r="W11" s="214"/>
      <c r="X11" s="214"/>
      <c r="Y11" s="214"/>
      <c r="Z11" s="214"/>
      <c r="AA11" s="214"/>
      <c r="AB11" s="214"/>
      <c r="AC11" s="214"/>
    </row>
    <row r="12">
      <c r="A12" s="222"/>
      <c r="D12" s="232" t="s">
        <v>126</v>
      </c>
      <c r="E12" s="232">
        <v>1.0</v>
      </c>
      <c r="F12" s="233"/>
      <c r="G12" s="233"/>
      <c r="H12" s="234" t="s">
        <v>127</v>
      </c>
      <c r="I12" s="235" t="s">
        <v>105</v>
      </c>
      <c r="J12" s="214"/>
      <c r="K12" s="214"/>
      <c r="L12" s="214"/>
      <c r="M12" s="214"/>
      <c r="N12" s="214"/>
      <c r="O12" s="214"/>
      <c r="P12" s="214"/>
      <c r="Q12" s="214"/>
      <c r="R12" s="214"/>
      <c r="S12" s="214"/>
      <c r="T12" s="214"/>
      <c r="U12" s="214"/>
      <c r="V12" s="214"/>
      <c r="W12" s="214"/>
      <c r="X12" s="214"/>
      <c r="Y12" s="214"/>
      <c r="Z12" s="214"/>
      <c r="AA12" s="214"/>
      <c r="AB12" s="214"/>
      <c r="AC12" s="214"/>
    </row>
    <row r="13">
      <c r="A13" s="222"/>
      <c r="D13" s="256" t="s">
        <v>189</v>
      </c>
      <c r="E13" s="256">
        <v>1.0</v>
      </c>
      <c r="F13" s="257"/>
      <c r="G13" s="257"/>
      <c r="H13" s="258" t="s">
        <v>190</v>
      </c>
      <c r="I13" s="259" t="s">
        <v>186</v>
      </c>
      <c r="J13" s="214"/>
      <c r="K13" s="214"/>
      <c r="L13" s="214"/>
      <c r="M13" s="214"/>
      <c r="N13" s="214"/>
      <c r="O13" s="214"/>
      <c r="P13" s="214"/>
      <c r="Q13" s="214"/>
      <c r="R13" s="214"/>
      <c r="S13" s="214"/>
      <c r="T13" s="214"/>
      <c r="U13" s="214"/>
      <c r="V13" s="214"/>
      <c r="W13" s="214"/>
      <c r="X13" s="214"/>
      <c r="Y13" s="214"/>
      <c r="Z13" s="214"/>
      <c r="AA13" s="214"/>
      <c r="AB13" s="214"/>
      <c r="AC13" s="214"/>
    </row>
    <row r="14">
      <c r="A14" s="222"/>
      <c r="D14" s="260" t="s">
        <v>229</v>
      </c>
      <c r="E14" s="260">
        <v>2.0</v>
      </c>
      <c r="F14" s="261"/>
      <c r="G14" s="261"/>
      <c r="H14" s="262" t="s">
        <v>69</v>
      </c>
      <c r="I14" s="263" t="s">
        <v>65</v>
      </c>
      <c r="J14" s="214"/>
      <c r="K14" s="214"/>
      <c r="L14" s="214"/>
      <c r="M14" s="214"/>
      <c r="N14" s="214"/>
      <c r="O14" s="214"/>
      <c r="P14" s="214"/>
      <c r="Q14" s="214"/>
      <c r="R14" s="214"/>
      <c r="S14" s="214"/>
      <c r="T14" s="214"/>
      <c r="U14" s="214"/>
      <c r="V14" s="214"/>
      <c r="W14" s="214"/>
      <c r="X14" s="214"/>
      <c r="Y14" s="214"/>
      <c r="Z14" s="214"/>
      <c r="AA14" s="214"/>
      <c r="AB14" s="214"/>
      <c r="AC14" s="214"/>
    </row>
    <row r="15">
      <c r="A15" s="236"/>
      <c r="B15" s="237"/>
      <c r="C15" s="237"/>
      <c r="D15" s="264" t="s">
        <v>162</v>
      </c>
      <c r="E15" s="264">
        <v>2.0</v>
      </c>
      <c r="F15" s="265"/>
      <c r="G15" s="265"/>
      <c r="H15" s="266" t="s">
        <v>164</v>
      </c>
      <c r="I15" s="267" t="s">
        <v>163</v>
      </c>
      <c r="J15" s="214"/>
      <c r="K15" s="214"/>
      <c r="L15" s="214"/>
      <c r="M15" s="214"/>
      <c r="N15" s="214"/>
      <c r="O15" s="214"/>
      <c r="P15" s="214"/>
      <c r="Q15" s="214"/>
      <c r="R15" s="214"/>
      <c r="S15" s="214"/>
      <c r="T15" s="214"/>
      <c r="U15" s="214"/>
      <c r="V15" s="214"/>
      <c r="W15" s="214"/>
      <c r="X15" s="214"/>
      <c r="Y15" s="214"/>
      <c r="Z15" s="214"/>
      <c r="AA15" s="214"/>
      <c r="AB15" s="214"/>
      <c r="AC15" s="214"/>
    </row>
    <row r="16">
      <c r="A16" s="242" t="s">
        <v>230</v>
      </c>
      <c r="B16" s="216" t="s">
        <v>231</v>
      </c>
      <c r="C16" s="268">
        <f>sum(E16:E22)</f>
        <v>15</v>
      </c>
      <c r="D16" s="218" t="s">
        <v>175</v>
      </c>
      <c r="E16" s="269">
        <v>4.0</v>
      </c>
      <c r="F16" s="270"/>
      <c r="G16" s="270"/>
      <c r="H16" s="220" t="s">
        <v>232</v>
      </c>
      <c r="I16" s="221" t="s">
        <v>176</v>
      </c>
      <c r="J16" s="214"/>
      <c r="K16" s="214"/>
      <c r="L16" s="214"/>
      <c r="M16" s="214"/>
      <c r="N16" s="214"/>
      <c r="O16" s="214"/>
      <c r="P16" s="214"/>
      <c r="Q16" s="214"/>
      <c r="R16" s="214"/>
      <c r="S16" s="214"/>
      <c r="T16" s="214"/>
      <c r="U16" s="214"/>
      <c r="V16" s="214"/>
      <c r="W16" s="214"/>
      <c r="X16" s="214"/>
      <c r="Y16" s="214"/>
      <c r="Z16" s="214"/>
      <c r="AA16" s="214"/>
      <c r="AB16" s="214"/>
      <c r="AC16" s="214"/>
    </row>
    <row r="17">
      <c r="A17" s="222"/>
      <c r="D17" s="271" t="s">
        <v>166</v>
      </c>
      <c r="E17" s="271">
        <v>2.0</v>
      </c>
      <c r="F17" s="272"/>
      <c r="G17" s="272"/>
      <c r="H17" s="273" t="s">
        <v>167</v>
      </c>
      <c r="I17" s="274" t="s">
        <v>163</v>
      </c>
      <c r="J17" s="214"/>
      <c r="K17" s="214"/>
      <c r="L17" s="214"/>
      <c r="M17" s="214"/>
      <c r="N17" s="214"/>
      <c r="O17" s="214"/>
      <c r="P17" s="214"/>
      <c r="Q17" s="214"/>
      <c r="R17" s="214"/>
      <c r="S17" s="214"/>
      <c r="T17" s="214"/>
      <c r="U17" s="214"/>
      <c r="V17" s="214"/>
      <c r="W17" s="214"/>
      <c r="X17" s="214"/>
      <c r="Y17" s="214"/>
      <c r="Z17" s="214"/>
      <c r="AA17" s="214"/>
      <c r="AB17" s="214"/>
      <c r="AC17" s="214"/>
    </row>
    <row r="18">
      <c r="A18" s="222"/>
      <c r="D18" s="275" t="s">
        <v>97</v>
      </c>
      <c r="E18" s="275">
        <v>2.0</v>
      </c>
      <c r="F18" s="276"/>
      <c r="G18" s="276"/>
      <c r="H18" s="277" t="s">
        <v>99</v>
      </c>
      <c r="I18" s="278" t="s">
        <v>98</v>
      </c>
      <c r="J18" s="214"/>
      <c r="K18" s="214"/>
      <c r="L18" s="214"/>
      <c r="M18" s="214"/>
      <c r="N18" s="214"/>
      <c r="O18" s="214"/>
      <c r="P18" s="214"/>
      <c r="Q18" s="214"/>
      <c r="R18" s="214"/>
      <c r="S18" s="214"/>
      <c r="T18" s="214"/>
      <c r="U18" s="214"/>
      <c r="V18" s="214"/>
      <c r="W18" s="214"/>
      <c r="X18" s="214"/>
      <c r="Y18" s="214"/>
      <c r="Z18" s="214"/>
      <c r="AA18" s="214"/>
      <c r="AB18" s="214"/>
      <c r="AC18" s="214"/>
    </row>
    <row r="19">
      <c r="A19" s="222"/>
      <c r="D19" s="279" t="s">
        <v>49</v>
      </c>
      <c r="E19" s="279">
        <v>2.0</v>
      </c>
      <c r="F19" s="280"/>
      <c r="G19" s="280"/>
      <c r="H19" s="281" t="s">
        <v>50</v>
      </c>
      <c r="I19" s="282" t="s">
        <v>43</v>
      </c>
      <c r="J19" s="214"/>
      <c r="K19" s="214"/>
      <c r="L19" s="214"/>
      <c r="M19" s="214"/>
      <c r="N19" s="214"/>
      <c r="O19" s="214"/>
      <c r="P19" s="214"/>
      <c r="Q19" s="214"/>
      <c r="R19" s="214"/>
      <c r="S19" s="214"/>
      <c r="T19" s="214"/>
      <c r="U19" s="214"/>
      <c r="V19" s="214"/>
      <c r="W19" s="214"/>
      <c r="X19" s="214"/>
      <c r="Y19" s="214"/>
      <c r="Z19" s="214"/>
      <c r="AA19" s="214"/>
      <c r="AB19" s="214"/>
      <c r="AC19" s="214"/>
    </row>
    <row r="20">
      <c r="A20" s="222"/>
      <c r="D20" s="283" t="s">
        <v>76</v>
      </c>
      <c r="E20" s="283">
        <v>2.0</v>
      </c>
      <c r="F20" s="284"/>
      <c r="G20" s="284"/>
      <c r="H20" s="262" t="s">
        <v>77</v>
      </c>
      <c r="I20" s="285" t="s">
        <v>65</v>
      </c>
      <c r="J20" s="214"/>
      <c r="K20" s="214"/>
      <c r="L20" s="214"/>
      <c r="M20" s="214"/>
      <c r="N20" s="214"/>
      <c r="O20" s="214"/>
      <c r="P20" s="214"/>
      <c r="Q20" s="214"/>
      <c r="R20" s="214"/>
      <c r="S20" s="214"/>
      <c r="T20" s="214"/>
      <c r="U20" s="214"/>
      <c r="V20" s="214"/>
      <c r="W20" s="214"/>
      <c r="X20" s="214"/>
      <c r="Y20" s="214"/>
      <c r="Z20" s="214"/>
      <c r="AA20" s="214"/>
      <c r="AB20" s="214"/>
      <c r="AC20" s="214"/>
    </row>
    <row r="21">
      <c r="A21" s="222"/>
      <c r="D21" s="286" t="s">
        <v>229</v>
      </c>
      <c r="E21" s="286">
        <v>2.0</v>
      </c>
      <c r="F21" s="261"/>
      <c r="G21" s="261"/>
      <c r="H21" s="262" t="s">
        <v>69</v>
      </c>
      <c r="I21" s="263" t="s">
        <v>65</v>
      </c>
      <c r="J21" s="214"/>
      <c r="K21" s="214"/>
      <c r="L21" s="214"/>
      <c r="M21" s="214"/>
      <c r="N21" s="214"/>
      <c r="O21" s="214"/>
      <c r="P21" s="214"/>
      <c r="Q21" s="214"/>
      <c r="R21" s="214"/>
      <c r="S21" s="214"/>
      <c r="T21" s="214"/>
      <c r="U21" s="214"/>
      <c r="V21" s="214"/>
      <c r="W21" s="214"/>
      <c r="X21" s="214"/>
      <c r="Y21" s="214"/>
      <c r="Z21" s="214"/>
      <c r="AA21" s="214"/>
      <c r="AB21" s="214"/>
      <c r="AC21" s="214"/>
    </row>
    <row r="22">
      <c r="A22" s="236"/>
      <c r="B22" s="237"/>
      <c r="C22" s="237"/>
      <c r="D22" s="287" t="s">
        <v>233</v>
      </c>
      <c r="E22" s="287">
        <v>1.0</v>
      </c>
      <c r="F22" s="288"/>
      <c r="G22" s="288"/>
      <c r="H22" s="289" t="s">
        <v>234</v>
      </c>
      <c r="I22" s="290" t="s">
        <v>105</v>
      </c>
      <c r="J22" s="214"/>
      <c r="K22" s="214"/>
      <c r="L22" s="214"/>
      <c r="M22" s="214"/>
      <c r="N22" s="214"/>
      <c r="O22" s="214"/>
      <c r="P22" s="214"/>
      <c r="Q22" s="214"/>
      <c r="R22" s="214"/>
      <c r="S22" s="214"/>
      <c r="T22" s="214"/>
      <c r="U22" s="214"/>
      <c r="V22" s="214"/>
      <c r="W22" s="214"/>
      <c r="X22" s="214"/>
      <c r="Y22" s="214"/>
      <c r="Z22" s="214"/>
      <c r="AA22" s="214"/>
      <c r="AB22" s="214"/>
      <c r="AC22" s="214"/>
    </row>
    <row r="23">
      <c r="A23" s="215" t="s">
        <v>235</v>
      </c>
      <c r="B23" s="216" t="s">
        <v>236</v>
      </c>
      <c r="C23" s="291">
        <f>sum(E23:AC31)</f>
        <v>15</v>
      </c>
      <c r="D23" s="292" t="s">
        <v>70</v>
      </c>
      <c r="E23" s="292">
        <v>2.0</v>
      </c>
      <c r="F23" s="293"/>
      <c r="G23" s="293"/>
      <c r="H23" s="294" t="s">
        <v>237</v>
      </c>
      <c r="I23" s="295" t="s">
        <v>65</v>
      </c>
      <c r="J23" s="214"/>
      <c r="K23" s="214"/>
      <c r="L23" s="214"/>
      <c r="M23" s="214"/>
      <c r="N23" s="214"/>
      <c r="O23" s="214"/>
      <c r="P23" s="214"/>
      <c r="Q23" s="214"/>
      <c r="R23" s="214"/>
      <c r="S23" s="214"/>
      <c r="T23" s="214"/>
      <c r="U23" s="214"/>
      <c r="V23" s="214"/>
      <c r="W23" s="214"/>
      <c r="X23" s="214"/>
      <c r="Y23" s="214"/>
      <c r="Z23" s="214"/>
      <c r="AA23" s="214"/>
      <c r="AB23" s="214"/>
      <c r="AC23" s="214"/>
    </row>
    <row r="24">
      <c r="A24" s="222"/>
      <c r="D24" s="275" t="s">
        <v>101</v>
      </c>
      <c r="E24" s="275">
        <v>2.0</v>
      </c>
      <c r="F24" s="296"/>
      <c r="G24" s="276"/>
      <c r="H24" s="277" t="s">
        <v>102</v>
      </c>
      <c r="I24" s="297" t="s">
        <v>98</v>
      </c>
      <c r="J24" s="214"/>
      <c r="K24" s="214"/>
      <c r="L24" s="214"/>
      <c r="M24" s="214"/>
      <c r="N24" s="214"/>
      <c r="O24" s="214"/>
      <c r="P24" s="214"/>
      <c r="Q24" s="214"/>
      <c r="R24" s="214"/>
      <c r="S24" s="214"/>
      <c r="T24" s="214"/>
      <c r="U24" s="214"/>
      <c r="V24" s="214"/>
      <c r="W24" s="214"/>
      <c r="X24" s="214"/>
      <c r="Y24" s="214"/>
      <c r="Z24" s="214"/>
      <c r="AA24" s="214"/>
      <c r="AB24" s="214"/>
      <c r="AC24" s="214"/>
    </row>
    <row r="25">
      <c r="A25" s="222"/>
      <c r="D25" s="232" t="s">
        <v>117</v>
      </c>
      <c r="E25" s="232">
        <v>1.0</v>
      </c>
      <c r="F25" s="233"/>
      <c r="G25" s="233"/>
      <c r="H25" s="234" t="s">
        <v>238</v>
      </c>
      <c r="I25" s="298" t="s">
        <v>105</v>
      </c>
      <c r="J25" s="214"/>
      <c r="K25" s="214"/>
      <c r="L25" s="214"/>
      <c r="M25" s="214"/>
      <c r="N25" s="214"/>
      <c r="O25" s="214"/>
      <c r="P25" s="214"/>
      <c r="Q25" s="214"/>
      <c r="R25" s="214"/>
      <c r="S25" s="214"/>
      <c r="T25" s="214"/>
      <c r="U25" s="214"/>
      <c r="V25" s="214"/>
      <c r="W25" s="214"/>
      <c r="X25" s="214"/>
      <c r="Y25" s="214"/>
      <c r="Z25" s="214"/>
      <c r="AA25" s="214"/>
      <c r="AB25" s="214"/>
      <c r="AC25" s="214"/>
    </row>
    <row r="26">
      <c r="A26" s="222"/>
      <c r="D26" s="232" t="s">
        <v>239</v>
      </c>
      <c r="E26" s="232">
        <v>1.0</v>
      </c>
      <c r="F26" s="254"/>
      <c r="G26" s="254"/>
      <c r="H26" s="234" t="s">
        <v>115</v>
      </c>
      <c r="I26" s="298" t="s">
        <v>105</v>
      </c>
      <c r="J26" s="214"/>
      <c r="K26" s="214"/>
      <c r="L26" s="214"/>
      <c r="M26" s="214"/>
      <c r="N26" s="214"/>
      <c r="O26" s="214"/>
      <c r="P26" s="214"/>
      <c r="Q26" s="214"/>
      <c r="R26" s="214"/>
      <c r="S26" s="214"/>
      <c r="T26" s="214"/>
      <c r="U26" s="214"/>
      <c r="V26" s="214"/>
      <c r="W26" s="214"/>
      <c r="X26" s="214"/>
      <c r="Y26" s="214"/>
      <c r="Z26" s="214"/>
      <c r="AA26" s="214"/>
      <c r="AB26" s="214"/>
      <c r="AC26" s="214"/>
    </row>
    <row r="27">
      <c r="A27" s="222"/>
      <c r="D27" s="271" t="s">
        <v>166</v>
      </c>
      <c r="E27" s="271">
        <v>2.0</v>
      </c>
      <c r="F27" s="272"/>
      <c r="G27" s="272"/>
      <c r="H27" s="273" t="s">
        <v>167</v>
      </c>
      <c r="I27" s="274" t="s">
        <v>163</v>
      </c>
      <c r="J27" s="214"/>
      <c r="K27" s="214"/>
      <c r="L27" s="214"/>
      <c r="M27" s="214"/>
      <c r="N27" s="214"/>
      <c r="O27" s="214"/>
      <c r="P27" s="214"/>
      <c r="Q27" s="214"/>
      <c r="R27" s="214"/>
      <c r="S27" s="214"/>
      <c r="T27" s="214"/>
      <c r="U27" s="214"/>
      <c r="V27" s="214"/>
      <c r="W27" s="214"/>
      <c r="X27" s="214"/>
      <c r="Y27" s="214"/>
      <c r="Z27" s="214"/>
      <c r="AA27" s="214"/>
      <c r="AB27" s="214"/>
      <c r="AC27" s="214"/>
    </row>
    <row r="28">
      <c r="A28" s="222"/>
      <c r="D28" s="299" t="s">
        <v>147</v>
      </c>
      <c r="E28" s="299">
        <v>3.0</v>
      </c>
      <c r="F28" s="251"/>
      <c r="G28" s="251"/>
      <c r="H28" s="252" t="s">
        <v>145</v>
      </c>
      <c r="I28" s="300" t="s">
        <v>144</v>
      </c>
      <c r="J28" s="214"/>
      <c r="K28" s="214"/>
      <c r="L28" s="214"/>
      <c r="M28" s="214"/>
      <c r="N28" s="214"/>
      <c r="O28" s="214"/>
      <c r="P28" s="214"/>
      <c r="Q28" s="214"/>
      <c r="R28" s="214"/>
      <c r="S28" s="214"/>
      <c r="T28" s="214"/>
      <c r="U28" s="214"/>
      <c r="V28" s="214"/>
      <c r="W28" s="214"/>
      <c r="X28" s="214"/>
      <c r="Y28" s="214"/>
      <c r="Z28" s="214"/>
      <c r="AA28" s="214"/>
      <c r="AB28" s="214"/>
      <c r="AC28" s="214"/>
    </row>
    <row r="29">
      <c r="A29" s="222"/>
      <c r="D29" s="256" t="s">
        <v>185</v>
      </c>
      <c r="E29" s="256">
        <v>1.0</v>
      </c>
      <c r="F29" s="301"/>
      <c r="G29" s="257"/>
      <c r="H29" s="258" t="s">
        <v>187</v>
      </c>
      <c r="I29" s="259" t="s">
        <v>186</v>
      </c>
      <c r="J29" s="214"/>
      <c r="K29" s="214"/>
      <c r="L29" s="214"/>
      <c r="M29" s="214"/>
      <c r="N29" s="214"/>
      <c r="O29" s="214"/>
      <c r="P29" s="214"/>
      <c r="Q29" s="214"/>
      <c r="R29" s="214"/>
      <c r="S29" s="214"/>
      <c r="T29" s="214"/>
      <c r="U29" s="214"/>
      <c r="V29" s="214"/>
      <c r="W29" s="214"/>
      <c r="X29" s="214"/>
      <c r="Y29" s="214"/>
      <c r="Z29" s="214"/>
      <c r="AA29" s="214"/>
      <c r="AB29" s="214"/>
      <c r="AC29" s="214"/>
    </row>
    <row r="30">
      <c r="A30" s="222"/>
      <c r="D30" s="232" t="s">
        <v>131</v>
      </c>
      <c r="E30" s="232">
        <v>1.0</v>
      </c>
      <c r="F30" s="254"/>
      <c r="G30" s="233"/>
      <c r="H30" s="234" t="s">
        <v>132</v>
      </c>
      <c r="I30" s="235" t="s">
        <v>105</v>
      </c>
      <c r="J30" s="214"/>
      <c r="K30" s="214"/>
      <c r="L30" s="214"/>
      <c r="M30" s="214"/>
      <c r="N30" s="214"/>
      <c r="O30" s="214"/>
      <c r="P30" s="214"/>
      <c r="Q30" s="214"/>
      <c r="R30" s="214"/>
      <c r="S30" s="214"/>
      <c r="T30" s="214"/>
      <c r="U30" s="214"/>
      <c r="V30" s="214"/>
      <c r="W30" s="214"/>
      <c r="X30" s="214"/>
      <c r="Y30" s="214"/>
      <c r="Z30" s="214"/>
      <c r="AA30" s="214"/>
      <c r="AB30" s="214"/>
      <c r="AC30" s="214"/>
    </row>
    <row r="31">
      <c r="A31" s="236"/>
      <c r="B31" s="237"/>
      <c r="C31" s="237"/>
      <c r="D31" s="302" t="s">
        <v>61</v>
      </c>
      <c r="E31" s="302">
        <v>2.0</v>
      </c>
      <c r="F31" s="303"/>
      <c r="G31" s="303"/>
      <c r="H31" s="304" t="s">
        <v>62</v>
      </c>
      <c r="I31" s="305" t="s">
        <v>43</v>
      </c>
      <c r="J31" s="214"/>
      <c r="K31" s="214"/>
      <c r="L31" s="214"/>
      <c r="M31" s="214"/>
      <c r="N31" s="214"/>
      <c r="O31" s="214"/>
      <c r="P31" s="214"/>
      <c r="Q31" s="214"/>
      <c r="R31" s="214"/>
      <c r="S31" s="214"/>
      <c r="T31" s="214"/>
      <c r="U31" s="214"/>
      <c r="V31" s="214"/>
      <c r="W31" s="214"/>
      <c r="X31" s="214"/>
      <c r="Y31" s="214"/>
      <c r="Z31" s="214"/>
      <c r="AA31" s="214"/>
      <c r="AB31" s="214"/>
      <c r="AC31" s="214"/>
    </row>
    <row r="32">
      <c r="A32" s="306" t="s">
        <v>240</v>
      </c>
      <c r="B32" s="307" t="s">
        <v>241</v>
      </c>
      <c r="C32" s="268">
        <f>sum(E32:E38)</f>
        <v>14</v>
      </c>
      <c r="D32" s="308" t="s">
        <v>239</v>
      </c>
      <c r="E32" s="308">
        <v>1.0</v>
      </c>
      <c r="F32" s="309"/>
      <c r="G32" s="309"/>
      <c r="H32" s="310" t="s">
        <v>115</v>
      </c>
      <c r="I32" s="311" t="s">
        <v>105</v>
      </c>
      <c r="J32" s="214"/>
      <c r="K32" s="214"/>
      <c r="L32" s="214"/>
      <c r="M32" s="214"/>
      <c r="N32" s="214"/>
      <c r="O32" s="214"/>
      <c r="P32" s="214"/>
      <c r="Q32" s="214"/>
      <c r="R32" s="214"/>
      <c r="S32" s="214"/>
      <c r="T32" s="214"/>
      <c r="U32" s="214"/>
      <c r="V32" s="214"/>
      <c r="W32" s="214"/>
      <c r="X32" s="214"/>
      <c r="Y32" s="214"/>
      <c r="Z32" s="214"/>
      <c r="AA32" s="214"/>
      <c r="AB32" s="214"/>
      <c r="AC32" s="214"/>
    </row>
    <row r="33">
      <c r="A33" s="222"/>
      <c r="D33" s="299" t="s">
        <v>153</v>
      </c>
      <c r="E33" s="299">
        <v>2.0</v>
      </c>
      <c r="F33" s="250"/>
      <c r="G33" s="251"/>
      <c r="H33" s="312" t="s">
        <v>154</v>
      </c>
      <c r="I33" s="253" t="s">
        <v>144</v>
      </c>
      <c r="J33" s="214"/>
      <c r="K33" s="214"/>
      <c r="L33" s="214"/>
      <c r="M33" s="214"/>
      <c r="N33" s="214"/>
      <c r="O33" s="214"/>
      <c r="P33" s="214"/>
      <c r="Q33" s="214"/>
      <c r="R33" s="214"/>
      <c r="S33" s="214"/>
      <c r="T33" s="214"/>
      <c r="U33" s="214"/>
      <c r="V33" s="214"/>
      <c r="W33" s="214"/>
      <c r="X33" s="214"/>
      <c r="Y33" s="214"/>
      <c r="Z33" s="214"/>
      <c r="AA33" s="214"/>
      <c r="AB33" s="214"/>
      <c r="AC33" s="214"/>
    </row>
    <row r="34">
      <c r="A34" s="222"/>
      <c r="D34" s="313" t="s">
        <v>189</v>
      </c>
      <c r="E34" s="313">
        <v>1.0</v>
      </c>
      <c r="F34" s="301"/>
      <c r="G34" s="257"/>
      <c r="H34" s="314" t="s">
        <v>190</v>
      </c>
      <c r="I34" s="315" t="s">
        <v>186</v>
      </c>
      <c r="J34" s="214"/>
      <c r="K34" s="214"/>
      <c r="L34" s="214"/>
      <c r="M34" s="214"/>
      <c r="N34" s="214"/>
      <c r="O34" s="214"/>
      <c r="P34" s="214"/>
      <c r="Q34" s="214"/>
      <c r="R34" s="214"/>
      <c r="S34" s="214"/>
      <c r="T34" s="214"/>
      <c r="U34" s="214"/>
      <c r="V34" s="214"/>
      <c r="W34" s="214"/>
      <c r="X34" s="214"/>
      <c r="Y34" s="214"/>
      <c r="Z34" s="214"/>
      <c r="AA34" s="214"/>
      <c r="AB34" s="214"/>
      <c r="AC34" s="214"/>
    </row>
    <row r="35">
      <c r="A35" s="222"/>
      <c r="D35" s="279" t="s">
        <v>55</v>
      </c>
      <c r="E35" s="279">
        <v>1.0</v>
      </c>
      <c r="F35" s="316"/>
      <c r="G35" s="316"/>
      <c r="H35" s="281" t="s">
        <v>56</v>
      </c>
      <c r="I35" s="282" t="s">
        <v>43</v>
      </c>
      <c r="J35" s="214"/>
      <c r="K35" s="214"/>
      <c r="L35" s="214"/>
      <c r="M35" s="214"/>
      <c r="N35" s="214"/>
      <c r="O35" s="214"/>
      <c r="P35" s="214"/>
      <c r="Q35" s="214"/>
      <c r="R35" s="214"/>
      <c r="S35" s="214"/>
      <c r="T35" s="214"/>
      <c r="U35" s="214"/>
      <c r="V35" s="214"/>
      <c r="W35" s="214"/>
      <c r="X35" s="214"/>
      <c r="Y35" s="214"/>
      <c r="Z35" s="214"/>
      <c r="AA35" s="214"/>
      <c r="AB35" s="214"/>
      <c r="AC35" s="214"/>
    </row>
    <row r="36">
      <c r="A36" s="222"/>
      <c r="D36" s="271" t="s">
        <v>162</v>
      </c>
      <c r="E36" s="271">
        <v>2.0</v>
      </c>
      <c r="F36" s="317"/>
      <c r="G36" s="272"/>
      <c r="H36" s="273" t="s">
        <v>164</v>
      </c>
      <c r="I36" s="274" t="s">
        <v>163</v>
      </c>
      <c r="J36" s="214"/>
      <c r="K36" s="214"/>
      <c r="L36" s="214"/>
      <c r="M36" s="214"/>
      <c r="N36" s="214"/>
      <c r="O36" s="214"/>
      <c r="P36" s="214"/>
      <c r="Q36" s="214"/>
      <c r="R36" s="214"/>
      <c r="S36" s="214"/>
      <c r="T36" s="214"/>
      <c r="U36" s="214"/>
      <c r="V36" s="214"/>
      <c r="W36" s="214"/>
      <c r="X36" s="214"/>
      <c r="Y36" s="214"/>
      <c r="Z36" s="214"/>
      <c r="AA36" s="214"/>
      <c r="AB36" s="214"/>
      <c r="AC36" s="214"/>
    </row>
    <row r="37">
      <c r="A37" s="222"/>
      <c r="D37" s="286" t="s">
        <v>79</v>
      </c>
      <c r="E37" s="286">
        <v>2.0</v>
      </c>
      <c r="F37" s="318"/>
      <c r="G37" s="318"/>
      <c r="H37" s="262" t="s">
        <v>80</v>
      </c>
      <c r="I37" s="319" t="s">
        <v>65</v>
      </c>
      <c r="J37" s="214"/>
      <c r="K37" s="214"/>
      <c r="L37" s="214"/>
      <c r="M37" s="214"/>
      <c r="N37" s="214"/>
      <c r="O37" s="214"/>
      <c r="P37" s="214"/>
      <c r="Q37" s="214"/>
      <c r="R37" s="214"/>
      <c r="S37" s="214"/>
      <c r="T37" s="214"/>
      <c r="U37" s="214"/>
      <c r="V37" s="214"/>
      <c r="W37" s="214"/>
      <c r="X37" s="214"/>
      <c r="Y37" s="214"/>
      <c r="Z37" s="214"/>
      <c r="AA37" s="214"/>
      <c r="AB37" s="214"/>
      <c r="AC37" s="214"/>
    </row>
    <row r="38">
      <c r="A38" s="236"/>
      <c r="B38" s="237"/>
      <c r="C38" s="237"/>
      <c r="D38" s="299" t="s">
        <v>143</v>
      </c>
      <c r="E38" s="320">
        <v>5.0</v>
      </c>
      <c r="F38" s="321"/>
      <c r="G38" s="321"/>
      <c r="H38" s="322" t="s">
        <v>145</v>
      </c>
      <c r="I38" s="323" t="s">
        <v>144</v>
      </c>
      <c r="J38" s="214"/>
      <c r="K38" s="214"/>
      <c r="L38" s="214"/>
      <c r="M38" s="214"/>
      <c r="N38" s="214"/>
      <c r="O38" s="214"/>
      <c r="P38" s="214"/>
      <c r="Q38" s="214"/>
      <c r="R38" s="214"/>
      <c r="S38" s="214"/>
      <c r="T38" s="214"/>
      <c r="U38" s="214"/>
      <c r="V38" s="214"/>
      <c r="W38" s="214"/>
      <c r="X38" s="214"/>
      <c r="Y38" s="214"/>
      <c r="Z38" s="214"/>
      <c r="AA38" s="214"/>
      <c r="AB38" s="214"/>
      <c r="AC38" s="214"/>
    </row>
    <row r="39">
      <c r="A39" s="242" t="s">
        <v>242</v>
      </c>
      <c r="B39" s="243" t="s">
        <v>243</v>
      </c>
      <c r="C39" s="268">
        <f>sum(E39:E45)</f>
        <v>14</v>
      </c>
      <c r="D39" s="292" t="s">
        <v>64</v>
      </c>
      <c r="E39" s="292">
        <v>3.0</v>
      </c>
      <c r="F39" s="324"/>
      <c r="G39" s="324"/>
      <c r="H39" s="294" t="s">
        <v>66</v>
      </c>
      <c r="I39" s="325" t="s">
        <v>65</v>
      </c>
      <c r="J39" s="326"/>
      <c r="K39" s="214"/>
      <c r="L39" s="214"/>
      <c r="M39" s="214"/>
      <c r="N39" s="214"/>
      <c r="O39" s="214"/>
      <c r="P39" s="214"/>
      <c r="Q39" s="214"/>
      <c r="R39" s="214"/>
      <c r="S39" s="214"/>
      <c r="T39" s="214"/>
      <c r="U39" s="214"/>
      <c r="V39" s="214"/>
      <c r="W39" s="214"/>
      <c r="X39" s="214"/>
      <c r="Y39" s="214"/>
      <c r="Z39" s="214"/>
      <c r="AA39" s="214"/>
      <c r="AB39" s="214"/>
      <c r="AC39" s="214"/>
    </row>
    <row r="40">
      <c r="A40" s="222"/>
      <c r="D40" s="227" t="s">
        <v>244</v>
      </c>
      <c r="E40" s="227">
        <v>1.0</v>
      </c>
      <c r="F40" s="327"/>
      <c r="G40" s="228"/>
      <c r="H40" s="229" t="s">
        <v>245</v>
      </c>
      <c r="I40" s="230" t="s">
        <v>7</v>
      </c>
      <c r="J40" s="326"/>
      <c r="K40" s="214"/>
      <c r="L40" s="214"/>
      <c r="M40" s="214"/>
      <c r="N40" s="214"/>
      <c r="O40" s="214"/>
      <c r="P40" s="214"/>
      <c r="Q40" s="214"/>
      <c r="R40" s="214"/>
      <c r="S40" s="214"/>
      <c r="T40" s="214"/>
      <c r="U40" s="214"/>
      <c r="V40" s="214"/>
      <c r="W40" s="214"/>
      <c r="X40" s="214"/>
      <c r="Y40" s="214"/>
      <c r="Z40" s="214"/>
      <c r="AA40" s="214"/>
      <c r="AB40" s="214"/>
      <c r="AC40" s="214"/>
    </row>
    <row r="41">
      <c r="A41" s="222"/>
      <c r="D41" s="227" t="s">
        <v>246</v>
      </c>
      <c r="E41" s="227">
        <v>3.0</v>
      </c>
      <c r="F41" s="327"/>
      <c r="G41" s="228"/>
      <c r="H41" s="229" t="s">
        <v>247</v>
      </c>
      <c r="I41" s="230" t="s">
        <v>7</v>
      </c>
      <c r="J41" s="326"/>
      <c r="K41" s="214"/>
      <c r="L41" s="214"/>
      <c r="M41" s="214"/>
      <c r="N41" s="214"/>
      <c r="O41" s="214"/>
      <c r="P41" s="214"/>
      <c r="Q41" s="214"/>
      <c r="R41" s="214"/>
      <c r="S41" s="214"/>
      <c r="T41" s="214"/>
      <c r="U41" s="214"/>
      <c r="V41" s="214"/>
      <c r="W41" s="214"/>
      <c r="X41" s="214"/>
      <c r="Y41" s="214"/>
      <c r="Z41" s="214"/>
      <c r="AA41" s="214"/>
      <c r="AB41" s="214"/>
      <c r="AC41" s="214"/>
    </row>
    <row r="42">
      <c r="A42" s="222"/>
      <c r="D42" s="271" t="s">
        <v>162</v>
      </c>
      <c r="E42" s="271">
        <v>2.0</v>
      </c>
      <c r="F42" s="317"/>
      <c r="G42" s="272"/>
      <c r="H42" s="273" t="s">
        <v>164</v>
      </c>
      <c r="I42" s="328" t="s">
        <v>163</v>
      </c>
      <c r="J42" s="326"/>
      <c r="K42" s="214"/>
      <c r="L42" s="214"/>
      <c r="M42" s="214"/>
      <c r="N42" s="214"/>
      <c r="O42" s="214"/>
      <c r="P42" s="214"/>
      <c r="Q42" s="214"/>
      <c r="R42" s="214"/>
      <c r="S42" s="214"/>
      <c r="T42" s="214"/>
      <c r="U42" s="214"/>
      <c r="V42" s="214"/>
      <c r="W42" s="214"/>
      <c r="X42" s="214"/>
      <c r="Y42" s="214"/>
      <c r="Z42" s="214"/>
      <c r="AA42" s="214"/>
      <c r="AB42" s="214"/>
      <c r="AC42" s="214"/>
    </row>
    <row r="43">
      <c r="A43" s="222"/>
      <c r="D43" s="223" t="s">
        <v>182</v>
      </c>
      <c r="E43" s="223">
        <v>3.0</v>
      </c>
      <c r="F43" s="224"/>
      <c r="G43" s="224"/>
      <c r="H43" s="225" t="s">
        <v>183</v>
      </c>
      <c r="I43" s="329" t="s">
        <v>176</v>
      </c>
      <c r="J43" s="326"/>
      <c r="K43" s="214"/>
      <c r="L43" s="214"/>
      <c r="M43" s="214"/>
      <c r="N43" s="214"/>
      <c r="O43" s="214"/>
      <c r="P43" s="214"/>
      <c r="Q43" s="214"/>
      <c r="R43" s="214"/>
      <c r="S43" s="214"/>
      <c r="T43" s="214"/>
      <c r="U43" s="214"/>
      <c r="V43" s="214"/>
      <c r="W43" s="214"/>
      <c r="X43" s="214"/>
      <c r="Y43" s="214"/>
      <c r="Z43" s="214"/>
      <c r="AA43" s="214"/>
      <c r="AB43" s="214"/>
      <c r="AC43" s="214"/>
    </row>
    <row r="44">
      <c r="A44" s="222"/>
      <c r="D44" s="313" t="s">
        <v>189</v>
      </c>
      <c r="E44" s="313">
        <v>1.0</v>
      </c>
      <c r="F44" s="301"/>
      <c r="G44" s="257"/>
      <c r="H44" s="314" t="s">
        <v>190</v>
      </c>
      <c r="I44" s="330" t="s">
        <v>186</v>
      </c>
      <c r="J44" s="326"/>
      <c r="K44" s="214"/>
      <c r="L44" s="214"/>
      <c r="M44" s="214"/>
      <c r="N44" s="214"/>
      <c r="O44" s="214"/>
      <c r="P44" s="214"/>
      <c r="Q44" s="214"/>
      <c r="R44" s="214"/>
      <c r="S44" s="214"/>
      <c r="T44" s="214"/>
      <c r="U44" s="214"/>
      <c r="V44" s="214"/>
      <c r="W44" s="214"/>
      <c r="X44" s="214"/>
      <c r="Y44" s="214"/>
      <c r="Z44" s="214"/>
      <c r="AA44" s="214"/>
      <c r="AB44" s="214"/>
      <c r="AC44" s="214"/>
    </row>
    <row r="45">
      <c r="A45" s="236"/>
      <c r="B45" s="237"/>
      <c r="C45" s="237"/>
      <c r="D45" s="287" t="s">
        <v>248</v>
      </c>
      <c r="E45" s="287">
        <v>1.0</v>
      </c>
      <c r="F45" s="288"/>
      <c r="G45" s="288"/>
      <c r="H45" s="289" t="s">
        <v>249</v>
      </c>
      <c r="I45" s="331" t="s">
        <v>105</v>
      </c>
      <c r="J45" s="326"/>
      <c r="K45" s="214"/>
      <c r="L45" s="214"/>
      <c r="M45" s="214"/>
      <c r="N45" s="214"/>
      <c r="O45" s="214"/>
      <c r="P45" s="214"/>
      <c r="Q45" s="214"/>
      <c r="R45" s="214"/>
      <c r="S45" s="214"/>
      <c r="T45" s="214"/>
      <c r="U45" s="214"/>
      <c r="V45" s="214"/>
      <c r="W45" s="214"/>
      <c r="X45" s="214"/>
      <c r="Y45" s="214"/>
      <c r="Z45" s="214"/>
      <c r="AA45" s="214"/>
      <c r="AB45" s="214"/>
      <c r="AC45" s="214"/>
    </row>
    <row r="46">
      <c r="A46" s="242" t="s">
        <v>250</v>
      </c>
      <c r="B46" s="243" t="s">
        <v>251</v>
      </c>
      <c r="C46" s="268">
        <f>sum(E46:E51)</f>
        <v>14</v>
      </c>
      <c r="D46" s="292" t="s">
        <v>76</v>
      </c>
      <c r="E46" s="292">
        <v>2.0</v>
      </c>
      <c r="F46" s="293"/>
      <c r="G46" s="293"/>
      <c r="H46" s="294" t="s">
        <v>77</v>
      </c>
      <c r="I46" s="332" t="s">
        <v>65</v>
      </c>
      <c r="J46" s="214"/>
      <c r="K46" s="214"/>
      <c r="L46" s="214"/>
      <c r="M46" s="214"/>
      <c r="N46" s="214"/>
      <c r="O46" s="214"/>
      <c r="P46" s="214"/>
      <c r="Q46" s="214"/>
      <c r="R46" s="214"/>
      <c r="S46" s="214"/>
      <c r="T46" s="214"/>
      <c r="U46" s="214"/>
      <c r="V46" s="214"/>
      <c r="W46" s="214"/>
      <c r="X46" s="214"/>
      <c r="Y46" s="214"/>
      <c r="Z46" s="214"/>
      <c r="AA46" s="214"/>
      <c r="AB46" s="214"/>
      <c r="AC46" s="214"/>
    </row>
    <row r="47">
      <c r="A47" s="222"/>
      <c r="D47" s="333" t="s">
        <v>101</v>
      </c>
      <c r="E47" s="333">
        <v>2.0</v>
      </c>
      <c r="F47" s="296"/>
      <c r="G47" s="296"/>
      <c r="H47" s="334" t="s">
        <v>102</v>
      </c>
      <c r="I47" s="297" t="s">
        <v>98</v>
      </c>
      <c r="J47" s="214"/>
      <c r="K47" s="214"/>
      <c r="L47" s="214"/>
      <c r="M47" s="214"/>
      <c r="N47" s="214"/>
      <c r="O47" s="214"/>
      <c r="P47" s="214"/>
      <c r="Q47" s="214"/>
      <c r="R47" s="214"/>
      <c r="S47" s="214"/>
      <c r="T47" s="214"/>
      <c r="U47" s="214"/>
      <c r="V47" s="214"/>
      <c r="W47" s="214"/>
      <c r="X47" s="214"/>
      <c r="Y47" s="214"/>
      <c r="Z47" s="214"/>
      <c r="AA47" s="214"/>
      <c r="AB47" s="214"/>
      <c r="AC47" s="214"/>
    </row>
    <row r="48">
      <c r="A48" s="222"/>
      <c r="D48" s="299" t="s">
        <v>143</v>
      </c>
      <c r="E48" s="299">
        <v>5.0</v>
      </c>
      <c r="F48" s="251"/>
      <c r="G48" s="251"/>
      <c r="H48" s="312" t="s">
        <v>145</v>
      </c>
      <c r="I48" s="253" t="s">
        <v>144</v>
      </c>
      <c r="J48" s="214"/>
      <c r="K48" s="214"/>
      <c r="L48" s="214"/>
      <c r="M48" s="214"/>
      <c r="N48" s="214"/>
      <c r="O48" s="214"/>
      <c r="P48" s="214"/>
      <c r="Q48" s="214"/>
      <c r="R48" s="214"/>
      <c r="S48" s="214"/>
      <c r="T48" s="214"/>
      <c r="U48" s="214"/>
      <c r="V48" s="214"/>
      <c r="W48" s="214"/>
      <c r="X48" s="214"/>
      <c r="Y48" s="214"/>
      <c r="Z48" s="214"/>
      <c r="AA48" s="214"/>
      <c r="AB48" s="214"/>
      <c r="AC48" s="214"/>
    </row>
    <row r="49">
      <c r="A49" s="222"/>
      <c r="D49" s="299" t="s">
        <v>153</v>
      </c>
      <c r="E49" s="299">
        <v>2.0</v>
      </c>
      <c r="F49" s="250"/>
      <c r="G49" s="251"/>
      <c r="H49" s="312" t="s">
        <v>154</v>
      </c>
      <c r="I49" s="253" t="s">
        <v>144</v>
      </c>
      <c r="J49" s="214"/>
      <c r="K49" s="214"/>
      <c r="L49" s="214"/>
      <c r="M49" s="214"/>
      <c r="N49" s="214"/>
      <c r="O49" s="214"/>
      <c r="P49" s="214"/>
      <c r="Q49" s="214"/>
      <c r="R49" s="214"/>
      <c r="S49" s="214"/>
      <c r="T49" s="214"/>
      <c r="U49" s="214"/>
      <c r="V49" s="214"/>
      <c r="W49" s="214"/>
      <c r="X49" s="214"/>
      <c r="Y49" s="214"/>
      <c r="Z49" s="214"/>
      <c r="AA49" s="214"/>
      <c r="AB49" s="214"/>
      <c r="AC49" s="214"/>
    </row>
    <row r="50">
      <c r="A50" s="222"/>
      <c r="D50" s="271" t="s">
        <v>166</v>
      </c>
      <c r="E50" s="271">
        <v>2.0</v>
      </c>
      <c r="F50" s="272"/>
      <c r="G50" s="272"/>
      <c r="H50" s="273" t="s">
        <v>167</v>
      </c>
      <c r="I50" s="274" t="s">
        <v>163</v>
      </c>
      <c r="J50" s="214"/>
      <c r="K50" s="214"/>
      <c r="L50" s="214"/>
      <c r="M50" s="214"/>
      <c r="N50" s="214"/>
      <c r="O50" s="214"/>
      <c r="P50" s="214"/>
      <c r="Q50" s="214"/>
      <c r="R50" s="214"/>
      <c r="S50" s="214"/>
      <c r="T50" s="214"/>
      <c r="U50" s="214"/>
      <c r="V50" s="214"/>
      <c r="W50" s="214"/>
      <c r="X50" s="214"/>
      <c r="Y50" s="214"/>
      <c r="Z50" s="214"/>
      <c r="AA50" s="214"/>
      <c r="AB50" s="214"/>
      <c r="AC50" s="214"/>
    </row>
    <row r="51">
      <c r="A51" s="236"/>
      <c r="B51" s="237"/>
      <c r="C51" s="237"/>
      <c r="D51" s="287" t="s">
        <v>239</v>
      </c>
      <c r="E51" s="287">
        <v>1.0</v>
      </c>
      <c r="F51" s="288"/>
      <c r="G51" s="288"/>
      <c r="H51" s="289" t="s">
        <v>115</v>
      </c>
      <c r="I51" s="290" t="s">
        <v>105</v>
      </c>
      <c r="J51" s="214"/>
      <c r="K51" s="214"/>
      <c r="L51" s="214"/>
      <c r="M51" s="214"/>
      <c r="N51" s="214"/>
      <c r="O51" s="214"/>
      <c r="P51" s="214"/>
      <c r="Q51" s="214"/>
      <c r="R51" s="214"/>
      <c r="S51" s="214"/>
      <c r="T51" s="214"/>
      <c r="U51" s="214"/>
      <c r="V51" s="214"/>
      <c r="W51" s="214"/>
      <c r="X51" s="214"/>
      <c r="Y51" s="214"/>
      <c r="Z51" s="214"/>
      <c r="AA51" s="214"/>
      <c r="AB51" s="214"/>
      <c r="AC51" s="214"/>
    </row>
    <row r="52" ht="18.0" customHeight="1">
      <c r="A52" s="242" t="s">
        <v>252</v>
      </c>
      <c r="B52" s="243" t="s">
        <v>253</v>
      </c>
      <c r="C52" s="268">
        <f>sum(E52:E58)</f>
        <v>14</v>
      </c>
      <c r="D52" s="335" t="s">
        <v>166</v>
      </c>
      <c r="E52" s="335">
        <v>2.0</v>
      </c>
      <c r="F52" s="336"/>
      <c r="G52" s="336"/>
      <c r="H52" s="337" t="s">
        <v>167</v>
      </c>
      <c r="I52" s="338" t="s">
        <v>163</v>
      </c>
      <c r="J52" s="214"/>
      <c r="K52" s="214"/>
      <c r="L52" s="214"/>
      <c r="M52" s="214"/>
      <c r="N52" s="214"/>
      <c r="O52" s="214"/>
      <c r="P52" s="214"/>
      <c r="Q52" s="214"/>
      <c r="R52" s="214"/>
      <c r="S52" s="214"/>
      <c r="T52" s="214"/>
      <c r="U52" s="214"/>
      <c r="V52" s="214"/>
      <c r="W52" s="214"/>
      <c r="X52" s="214"/>
      <c r="Y52" s="214"/>
      <c r="Z52" s="214"/>
      <c r="AA52" s="214"/>
      <c r="AB52" s="214"/>
      <c r="AC52" s="214"/>
    </row>
    <row r="53">
      <c r="A53" s="222"/>
      <c r="D53" s="339" t="s">
        <v>126</v>
      </c>
      <c r="E53" s="339">
        <v>1.0</v>
      </c>
      <c r="F53" s="254"/>
      <c r="G53" s="233"/>
      <c r="H53" s="340" t="s">
        <v>127</v>
      </c>
      <c r="I53" s="298" t="s">
        <v>105</v>
      </c>
      <c r="J53" s="214"/>
      <c r="K53" s="214"/>
      <c r="L53" s="214"/>
      <c r="M53" s="214"/>
      <c r="N53" s="214"/>
      <c r="O53" s="214"/>
      <c r="P53" s="214"/>
      <c r="Q53" s="214"/>
      <c r="R53" s="214"/>
      <c r="S53" s="214"/>
      <c r="T53" s="214"/>
      <c r="U53" s="214"/>
      <c r="V53" s="214"/>
      <c r="W53" s="214"/>
      <c r="X53" s="214"/>
      <c r="Y53" s="214"/>
      <c r="Z53" s="214"/>
      <c r="AA53" s="214"/>
      <c r="AB53" s="214"/>
      <c r="AC53" s="214"/>
    </row>
    <row r="54">
      <c r="A54" s="222"/>
      <c r="D54" s="227" t="s">
        <v>254</v>
      </c>
      <c r="E54" s="227">
        <v>2.0</v>
      </c>
      <c r="F54" s="228"/>
      <c r="G54" s="228"/>
      <c r="H54" s="229" t="s">
        <v>255</v>
      </c>
      <c r="I54" s="230" t="s">
        <v>7</v>
      </c>
      <c r="J54" s="214"/>
      <c r="K54" s="214"/>
      <c r="L54" s="214"/>
      <c r="M54" s="214"/>
      <c r="N54" s="214"/>
      <c r="O54" s="214"/>
      <c r="P54" s="214"/>
      <c r="Q54" s="214"/>
      <c r="R54" s="214"/>
      <c r="S54" s="214"/>
      <c r="T54" s="214"/>
      <c r="U54" s="214"/>
      <c r="V54" s="214"/>
      <c r="W54" s="214"/>
      <c r="X54" s="214"/>
      <c r="Y54" s="214"/>
      <c r="Z54" s="214"/>
      <c r="AA54" s="214"/>
      <c r="AB54" s="214"/>
      <c r="AC54" s="214"/>
    </row>
    <row r="55">
      <c r="A55" s="222"/>
      <c r="D55" s="341" t="s">
        <v>182</v>
      </c>
      <c r="E55" s="341">
        <v>3.0</v>
      </c>
      <c r="F55" s="342"/>
      <c r="G55" s="342"/>
      <c r="H55" s="343" t="s">
        <v>183</v>
      </c>
      <c r="I55" s="344" t="s">
        <v>176</v>
      </c>
      <c r="J55" s="214"/>
      <c r="K55" s="214"/>
      <c r="L55" s="214"/>
      <c r="M55" s="214"/>
      <c r="N55" s="214"/>
      <c r="O55" s="214"/>
      <c r="P55" s="214"/>
      <c r="Q55" s="214"/>
      <c r="R55" s="214"/>
      <c r="S55" s="214"/>
      <c r="T55" s="214"/>
      <c r="U55" s="214"/>
      <c r="V55" s="214"/>
      <c r="W55" s="214"/>
      <c r="X55" s="214"/>
      <c r="Y55" s="214"/>
      <c r="Z55" s="214"/>
      <c r="AA55" s="214"/>
      <c r="AB55" s="214"/>
      <c r="AC55" s="214"/>
    </row>
    <row r="56">
      <c r="A56" s="222"/>
      <c r="D56" s="286" t="s">
        <v>64</v>
      </c>
      <c r="E56" s="286">
        <v>3.0</v>
      </c>
      <c r="F56" s="261"/>
      <c r="G56" s="261"/>
      <c r="H56" s="262" t="s">
        <v>66</v>
      </c>
      <c r="I56" s="263" t="s">
        <v>65</v>
      </c>
      <c r="J56" s="214"/>
      <c r="K56" s="214"/>
      <c r="L56" s="214"/>
      <c r="M56" s="214"/>
      <c r="N56" s="214"/>
      <c r="O56" s="214"/>
      <c r="P56" s="214"/>
      <c r="Q56" s="214"/>
      <c r="R56" s="214"/>
      <c r="S56" s="214"/>
      <c r="T56" s="214"/>
      <c r="U56" s="214"/>
      <c r="V56" s="214"/>
      <c r="W56" s="214"/>
      <c r="X56" s="214"/>
      <c r="Y56" s="214"/>
      <c r="Z56" s="214"/>
      <c r="AA56" s="214"/>
      <c r="AB56" s="214"/>
      <c r="AC56" s="214"/>
    </row>
    <row r="57">
      <c r="A57" s="222"/>
      <c r="D57" s="299" t="s">
        <v>159</v>
      </c>
      <c r="E57" s="299">
        <v>1.0</v>
      </c>
      <c r="F57" s="250"/>
      <c r="G57" s="250"/>
      <c r="H57" s="312" t="s">
        <v>145</v>
      </c>
      <c r="I57" s="253" t="s">
        <v>144</v>
      </c>
      <c r="J57" s="214"/>
      <c r="K57" s="214"/>
      <c r="L57" s="214"/>
      <c r="M57" s="214"/>
      <c r="N57" s="214"/>
      <c r="O57" s="214"/>
      <c r="P57" s="214"/>
      <c r="Q57" s="214"/>
      <c r="R57" s="214"/>
      <c r="S57" s="214"/>
      <c r="T57" s="214"/>
      <c r="U57" s="214"/>
      <c r="V57" s="214"/>
      <c r="W57" s="214"/>
      <c r="X57" s="214"/>
      <c r="Y57" s="214"/>
      <c r="Z57" s="214"/>
      <c r="AA57" s="214"/>
      <c r="AB57" s="214"/>
      <c r="AC57" s="214"/>
    </row>
    <row r="58">
      <c r="A58" s="236"/>
      <c r="B58" s="237"/>
      <c r="C58" s="237"/>
      <c r="D58" s="345" t="s">
        <v>179</v>
      </c>
      <c r="E58" s="345">
        <v>2.0</v>
      </c>
      <c r="F58" s="346"/>
      <c r="G58" s="346"/>
      <c r="H58" s="347" t="s">
        <v>180</v>
      </c>
      <c r="I58" s="348" t="s">
        <v>176</v>
      </c>
      <c r="J58" s="214"/>
      <c r="K58" s="214"/>
      <c r="L58" s="214"/>
      <c r="M58" s="214"/>
      <c r="N58" s="214"/>
      <c r="O58" s="214"/>
      <c r="P58" s="214"/>
      <c r="Q58" s="214"/>
      <c r="R58" s="214"/>
      <c r="S58" s="214"/>
      <c r="T58" s="214"/>
      <c r="U58" s="214"/>
      <c r="V58" s="214"/>
      <c r="W58" s="214"/>
      <c r="X58" s="214"/>
      <c r="Y58" s="214"/>
      <c r="Z58" s="214"/>
      <c r="AA58" s="214"/>
      <c r="AB58" s="214"/>
      <c r="AC58" s="214"/>
    </row>
    <row r="59">
      <c r="A59" s="349" t="s">
        <v>256</v>
      </c>
      <c r="B59" s="243" t="s">
        <v>257</v>
      </c>
      <c r="C59" s="350">
        <f>sum(E59:E63)</f>
        <v>14</v>
      </c>
      <c r="D59" s="218" t="s">
        <v>175</v>
      </c>
      <c r="E59" s="269">
        <v>4.0</v>
      </c>
      <c r="F59" s="270"/>
      <c r="G59" s="270"/>
      <c r="H59" s="220" t="s">
        <v>232</v>
      </c>
      <c r="I59" s="221" t="s">
        <v>176</v>
      </c>
      <c r="J59" s="214"/>
      <c r="K59" s="214"/>
      <c r="L59" s="214"/>
      <c r="M59" s="214"/>
      <c r="N59" s="214"/>
      <c r="O59" s="214"/>
      <c r="P59" s="214"/>
      <c r="Q59" s="214"/>
      <c r="R59" s="214"/>
      <c r="S59" s="214"/>
      <c r="T59" s="214"/>
      <c r="U59" s="214"/>
      <c r="V59" s="214"/>
      <c r="W59" s="214"/>
      <c r="X59" s="214"/>
      <c r="Y59" s="214"/>
      <c r="Z59" s="214"/>
      <c r="AA59" s="214"/>
      <c r="AB59" s="214"/>
      <c r="AC59" s="214"/>
    </row>
    <row r="60">
      <c r="A60" s="222"/>
      <c r="D60" s="299" t="s">
        <v>143</v>
      </c>
      <c r="E60" s="299">
        <v>5.0</v>
      </c>
      <c r="F60" s="251"/>
      <c r="G60" s="251"/>
      <c r="H60" s="312" t="s">
        <v>145</v>
      </c>
      <c r="I60" s="253" t="s">
        <v>144</v>
      </c>
      <c r="J60" s="214"/>
      <c r="K60" s="214"/>
      <c r="L60" s="214"/>
      <c r="M60" s="214"/>
      <c r="N60" s="214"/>
      <c r="O60" s="214"/>
      <c r="P60" s="214"/>
      <c r="Q60" s="214"/>
      <c r="R60" s="214"/>
      <c r="S60" s="214"/>
      <c r="T60" s="214"/>
      <c r="U60" s="214"/>
      <c r="V60" s="214"/>
      <c r="W60" s="214"/>
      <c r="X60" s="214"/>
      <c r="Y60" s="214"/>
      <c r="Z60" s="214"/>
      <c r="AA60" s="214"/>
      <c r="AB60" s="214"/>
      <c r="AC60" s="214"/>
    </row>
    <row r="61">
      <c r="A61" s="222"/>
      <c r="D61" s="271" t="s">
        <v>162</v>
      </c>
      <c r="E61" s="271">
        <v>2.0</v>
      </c>
      <c r="F61" s="317"/>
      <c r="G61" s="272"/>
      <c r="H61" s="273" t="s">
        <v>164</v>
      </c>
      <c r="I61" s="274" t="s">
        <v>163</v>
      </c>
      <c r="J61" s="214"/>
      <c r="K61" s="214"/>
      <c r="L61" s="214"/>
      <c r="M61" s="214"/>
      <c r="N61" s="214"/>
      <c r="O61" s="214"/>
      <c r="P61" s="214"/>
      <c r="Q61" s="214"/>
      <c r="R61" s="214"/>
      <c r="S61" s="214"/>
      <c r="T61" s="214"/>
      <c r="U61" s="214"/>
      <c r="V61" s="214"/>
      <c r="W61" s="214"/>
      <c r="X61" s="214"/>
      <c r="Y61" s="214"/>
      <c r="Z61" s="214"/>
      <c r="AA61" s="214"/>
      <c r="AB61" s="214"/>
      <c r="AC61" s="214"/>
    </row>
    <row r="62">
      <c r="A62" s="222"/>
      <c r="D62" s="279" t="s">
        <v>52</v>
      </c>
      <c r="E62" s="279">
        <v>1.0</v>
      </c>
      <c r="F62" s="280"/>
      <c r="G62" s="280"/>
      <c r="H62" s="281" t="s">
        <v>53</v>
      </c>
      <c r="I62" s="282" t="s">
        <v>43</v>
      </c>
      <c r="J62" s="214"/>
      <c r="K62" s="214"/>
      <c r="L62" s="214"/>
      <c r="M62" s="214"/>
      <c r="N62" s="214"/>
      <c r="O62" s="214"/>
      <c r="P62" s="214"/>
      <c r="Q62" s="214"/>
      <c r="R62" s="214"/>
      <c r="S62" s="214"/>
      <c r="T62" s="214"/>
      <c r="U62" s="214"/>
      <c r="V62" s="214"/>
      <c r="W62" s="214"/>
      <c r="X62" s="214"/>
      <c r="Y62" s="214"/>
      <c r="Z62" s="214"/>
      <c r="AA62" s="214"/>
      <c r="AB62" s="214"/>
      <c r="AC62" s="214"/>
    </row>
    <row r="63">
      <c r="A63" s="236"/>
      <c r="B63" s="237"/>
      <c r="C63" s="237"/>
      <c r="D63" s="351" t="s">
        <v>150</v>
      </c>
      <c r="E63" s="351">
        <v>2.0</v>
      </c>
      <c r="F63" s="321"/>
      <c r="G63" s="321"/>
      <c r="H63" s="352" t="s">
        <v>151</v>
      </c>
      <c r="I63" s="353" t="s">
        <v>144</v>
      </c>
      <c r="J63" s="214"/>
      <c r="K63" s="214"/>
      <c r="L63" s="214"/>
      <c r="M63" s="214"/>
      <c r="N63" s="214"/>
      <c r="O63" s="214"/>
      <c r="P63" s="214"/>
      <c r="Q63" s="214"/>
      <c r="R63" s="214"/>
      <c r="S63" s="214"/>
      <c r="T63" s="214"/>
      <c r="U63" s="214"/>
      <c r="V63" s="214"/>
      <c r="W63" s="214"/>
      <c r="X63" s="214"/>
      <c r="Y63" s="214"/>
      <c r="Z63" s="214"/>
      <c r="AA63" s="214"/>
      <c r="AB63" s="214"/>
      <c r="AC63" s="214"/>
    </row>
    <row r="64">
      <c r="A64" s="242" t="s">
        <v>258</v>
      </c>
      <c r="B64" s="243" t="s">
        <v>259</v>
      </c>
      <c r="C64" s="244">
        <f>sum(E64:E69)</f>
        <v>14</v>
      </c>
      <c r="D64" s="335" t="s">
        <v>162</v>
      </c>
      <c r="E64" s="335">
        <v>2.0</v>
      </c>
      <c r="F64" s="354"/>
      <c r="G64" s="354"/>
      <c r="H64" s="337" t="s">
        <v>164</v>
      </c>
      <c r="I64" s="355" t="s">
        <v>163</v>
      </c>
      <c r="J64" s="214"/>
      <c r="K64" s="214"/>
      <c r="L64" s="214"/>
      <c r="M64" s="214"/>
      <c r="N64" s="214"/>
      <c r="O64" s="214"/>
      <c r="P64" s="214"/>
      <c r="Q64" s="214"/>
      <c r="R64" s="214"/>
      <c r="S64" s="214"/>
      <c r="T64" s="214"/>
      <c r="U64" s="214"/>
      <c r="V64" s="214"/>
      <c r="W64" s="214"/>
      <c r="X64" s="214"/>
      <c r="Y64" s="214"/>
      <c r="Z64" s="214"/>
      <c r="AA64" s="214"/>
      <c r="AB64" s="214"/>
      <c r="AC64" s="214"/>
    </row>
    <row r="65">
      <c r="A65" s="222"/>
      <c r="D65" s="232" t="s">
        <v>239</v>
      </c>
      <c r="E65" s="232">
        <v>1.0</v>
      </c>
      <c r="F65" s="233"/>
      <c r="G65" s="233"/>
      <c r="H65" s="234" t="s">
        <v>115</v>
      </c>
      <c r="I65" s="235" t="s">
        <v>105</v>
      </c>
      <c r="J65" s="214"/>
      <c r="K65" s="214"/>
      <c r="L65" s="214"/>
      <c r="M65" s="214"/>
      <c r="N65" s="214"/>
      <c r="O65" s="214"/>
      <c r="P65" s="214"/>
      <c r="Q65" s="214"/>
      <c r="R65" s="214"/>
      <c r="S65" s="214"/>
      <c r="T65" s="214"/>
      <c r="U65" s="214"/>
      <c r="V65" s="214"/>
      <c r="W65" s="214"/>
      <c r="X65" s="214"/>
      <c r="Y65" s="214"/>
      <c r="Z65" s="214"/>
      <c r="AA65" s="214"/>
      <c r="AB65" s="214"/>
      <c r="AC65" s="214"/>
    </row>
    <row r="66">
      <c r="A66" s="222"/>
      <c r="D66" s="356" t="s">
        <v>17</v>
      </c>
      <c r="E66" s="356">
        <v>2.0</v>
      </c>
      <c r="F66" s="357"/>
      <c r="G66" s="357"/>
      <c r="H66" s="358" t="s">
        <v>260</v>
      </c>
      <c r="I66" s="359" t="s">
        <v>7</v>
      </c>
      <c r="J66" s="214"/>
      <c r="K66" s="214"/>
      <c r="L66" s="214"/>
      <c r="M66" s="214"/>
      <c r="N66" s="214"/>
      <c r="O66" s="214"/>
      <c r="P66" s="214"/>
      <c r="Q66" s="214"/>
      <c r="R66" s="214"/>
      <c r="S66" s="214"/>
      <c r="T66" s="214"/>
      <c r="U66" s="214"/>
      <c r="V66" s="214"/>
      <c r="W66" s="214"/>
      <c r="X66" s="214"/>
      <c r="Y66" s="214"/>
      <c r="Z66" s="214"/>
      <c r="AA66" s="214"/>
      <c r="AB66" s="214"/>
      <c r="AC66" s="214"/>
    </row>
    <row r="67">
      <c r="A67" s="222"/>
      <c r="D67" s="299" t="s">
        <v>143</v>
      </c>
      <c r="E67" s="299">
        <v>5.0</v>
      </c>
      <c r="F67" s="250"/>
      <c r="G67" s="251"/>
      <c r="H67" s="312" t="s">
        <v>145</v>
      </c>
      <c r="I67" s="300" t="s">
        <v>144</v>
      </c>
      <c r="J67" s="214"/>
      <c r="K67" s="214"/>
      <c r="L67" s="214"/>
      <c r="M67" s="214"/>
      <c r="N67" s="214"/>
      <c r="O67" s="214"/>
      <c r="P67" s="214"/>
      <c r="Q67" s="214"/>
      <c r="R67" s="214"/>
      <c r="S67" s="214"/>
      <c r="T67" s="214"/>
      <c r="U67" s="214"/>
      <c r="V67" s="214"/>
      <c r="W67" s="214"/>
      <c r="X67" s="214"/>
      <c r="Y67" s="214"/>
      <c r="Z67" s="214"/>
      <c r="AA67" s="214"/>
      <c r="AB67" s="214"/>
      <c r="AC67" s="214"/>
    </row>
    <row r="68">
      <c r="A68" s="222"/>
      <c r="D68" s="286" t="s">
        <v>64</v>
      </c>
      <c r="E68" s="286">
        <v>3.0</v>
      </c>
      <c r="F68" s="261"/>
      <c r="G68" s="261"/>
      <c r="H68" s="262" t="s">
        <v>66</v>
      </c>
      <c r="I68" s="263" t="s">
        <v>65</v>
      </c>
      <c r="J68" s="214"/>
      <c r="K68" s="214"/>
      <c r="L68" s="214"/>
      <c r="M68" s="214"/>
      <c r="N68" s="214"/>
      <c r="O68" s="214"/>
      <c r="P68" s="214"/>
      <c r="Q68" s="214"/>
      <c r="R68" s="214"/>
      <c r="S68" s="214"/>
      <c r="T68" s="214"/>
      <c r="U68" s="214"/>
      <c r="V68" s="214"/>
      <c r="W68" s="214"/>
      <c r="X68" s="214"/>
      <c r="Y68" s="214"/>
      <c r="Z68" s="214"/>
      <c r="AA68" s="214"/>
      <c r="AB68" s="214"/>
      <c r="AC68" s="214"/>
    </row>
    <row r="69">
      <c r="A69" s="236"/>
      <c r="B69" s="237"/>
      <c r="C69" s="237"/>
      <c r="D69" s="360" t="s">
        <v>36</v>
      </c>
      <c r="E69" s="360">
        <v>1.0</v>
      </c>
      <c r="F69" s="361"/>
      <c r="G69" s="361"/>
      <c r="H69" s="362" t="s">
        <v>37</v>
      </c>
      <c r="I69" s="363" t="s">
        <v>30</v>
      </c>
      <c r="J69" s="214"/>
      <c r="K69" s="214"/>
      <c r="L69" s="214"/>
      <c r="M69" s="214"/>
      <c r="N69" s="214"/>
      <c r="O69" s="214"/>
      <c r="P69" s="214"/>
      <c r="Q69" s="214"/>
      <c r="R69" s="214"/>
      <c r="S69" s="214"/>
      <c r="T69" s="214"/>
      <c r="U69" s="214"/>
      <c r="V69" s="214"/>
      <c r="W69" s="214"/>
      <c r="X69" s="214"/>
      <c r="Y69" s="214"/>
      <c r="Z69" s="214"/>
      <c r="AA69" s="214"/>
      <c r="AB69" s="214"/>
      <c r="AC69" s="214"/>
    </row>
    <row r="70">
      <c r="A70" s="364" t="s">
        <v>261</v>
      </c>
      <c r="B70" s="365" t="s">
        <v>262</v>
      </c>
      <c r="C70" s="366">
        <f>sum(E70:E74)</f>
        <v>13</v>
      </c>
      <c r="D70" s="271" t="s">
        <v>162</v>
      </c>
      <c r="E70" s="271">
        <v>2.0</v>
      </c>
      <c r="F70" s="317"/>
      <c r="G70" s="272"/>
      <c r="H70" s="273" t="s">
        <v>164</v>
      </c>
      <c r="I70" s="274" t="s">
        <v>163</v>
      </c>
      <c r="J70" s="214"/>
      <c r="K70" s="214"/>
      <c r="L70" s="214"/>
      <c r="M70" s="214"/>
      <c r="N70" s="214"/>
      <c r="O70" s="214"/>
      <c r="P70" s="214"/>
      <c r="Q70" s="214"/>
      <c r="R70" s="214"/>
      <c r="S70" s="214"/>
      <c r="T70" s="214"/>
      <c r="U70" s="214"/>
      <c r="V70" s="214"/>
      <c r="W70" s="214"/>
      <c r="X70" s="214"/>
      <c r="Y70" s="214"/>
      <c r="Z70" s="214"/>
      <c r="AA70" s="214"/>
      <c r="AB70" s="214"/>
      <c r="AC70" s="214"/>
    </row>
    <row r="71">
      <c r="A71" s="222"/>
      <c r="D71" s="286" t="s">
        <v>64</v>
      </c>
      <c r="E71" s="286">
        <v>3.0</v>
      </c>
      <c r="F71" s="261"/>
      <c r="G71" s="261"/>
      <c r="H71" s="262" t="s">
        <v>66</v>
      </c>
      <c r="I71" s="263" t="s">
        <v>65</v>
      </c>
      <c r="J71" s="214"/>
      <c r="K71" s="214"/>
      <c r="L71" s="214"/>
      <c r="M71" s="214"/>
      <c r="N71" s="214"/>
      <c r="O71" s="214"/>
      <c r="P71" s="214"/>
      <c r="Q71" s="214"/>
      <c r="R71" s="214"/>
      <c r="S71" s="214"/>
      <c r="T71" s="214"/>
      <c r="U71" s="214"/>
      <c r="V71" s="214"/>
      <c r="W71" s="214"/>
      <c r="X71" s="214"/>
      <c r="Y71" s="214"/>
      <c r="Z71" s="214"/>
      <c r="AA71" s="214"/>
      <c r="AB71" s="214"/>
      <c r="AC71" s="214"/>
    </row>
    <row r="72">
      <c r="A72" s="222"/>
      <c r="D72" s="232" t="s">
        <v>239</v>
      </c>
      <c r="E72" s="232">
        <v>1.0</v>
      </c>
      <c r="F72" s="233"/>
      <c r="G72" s="233"/>
      <c r="H72" s="234" t="s">
        <v>115</v>
      </c>
      <c r="I72" s="235" t="s">
        <v>105</v>
      </c>
      <c r="J72" s="214"/>
      <c r="K72" s="214"/>
      <c r="L72" s="214"/>
      <c r="M72" s="214"/>
      <c r="N72" s="214"/>
      <c r="O72" s="214"/>
      <c r="P72" s="214"/>
      <c r="Q72" s="214"/>
      <c r="R72" s="214"/>
      <c r="S72" s="214"/>
      <c r="T72" s="214"/>
      <c r="U72" s="214"/>
      <c r="V72" s="214"/>
      <c r="W72" s="214"/>
      <c r="X72" s="214"/>
      <c r="Y72" s="214"/>
      <c r="Z72" s="214"/>
      <c r="AA72" s="214"/>
      <c r="AB72" s="214"/>
      <c r="AC72" s="214"/>
    </row>
    <row r="73">
      <c r="A73" s="222"/>
      <c r="D73" s="299" t="s">
        <v>153</v>
      </c>
      <c r="E73" s="299">
        <v>2.0</v>
      </c>
      <c r="F73" s="250"/>
      <c r="G73" s="251"/>
      <c r="H73" s="312" t="s">
        <v>154</v>
      </c>
      <c r="I73" s="253" t="s">
        <v>144</v>
      </c>
      <c r="J73" s="214"/>
      <c r="K73" s="214"/>
      <c r="L73" s="214"/>
      <c r="M73" s="214"/>
      <c r="N73" s="214"/>
      <c r="O73" s="214"/>
      <c r="P73" s="214"/>
      <c r="Q73" s="214"/>
      <c r="R73" s="214"/>
      <c r="S73" s="214"/>
      <c r="T73" s="214"/>
      <c r="U73" s="214"/>
      <c r="V73" s="214"/>
      <c r="W73" s="214"/>
      <c r="X73" s="214"/>
      <c r="Y73" s="214"/>
      <c r="Z73" s="214"/>
      <c r="AA73" s="214"/>
      <c r="AB73" s="214"/>
      <c r="AC73" s="214"/>
    </row>
    <row r="74">
      <c r="A74" s="236"/>
      <c r="B74" s="237"/>
      <c r="C74" s="237"/>
      <c r="D74" s="320" t="s">
        <v>143</v>
      </c>
      <c r="E74" s="320">
        <v>5.0</v>
      </c>
      <c r="F74" s="321"/>
      <c r="G74" s="321"/>
      <c r="H74" s="322" t="s">
        <v>145</v>
      </c>
      <c r="I74" s="323" t="s">
        <v>144</v>
      </c>
      <c r="J74" s="214"/>
      <c r="K74" s="214"/>
      <c r="L74" s="214"/>
      <c r="M74" s="214"/>
      <c r="N74" s="214"/>
      <c r="O74" s="214"/>
      <c r="P74" s="214"/>
      <c r="Q74" s="214"/>
      <c r="R74" s="214"/>
      <c r="S74" s="214"/>
      <c r="T74" s="214"/>
      <c r="U74" s="214"/>
      <c r="V74" s="214"/>
      <c r="W74" s="214"/>
      <c r="X74" s="214"/>
      <c r="Y74" s="214"/>
      <c r="Z74" s="214"/>
      <c r="AA74" s="214"/>
      <c r="AB74" s="214"/>
      <c r="AC74" s="214"/>
    </row>
    <row r="75">
      <c r="A75" s="367" t="s">
        <v>263</v>
      </c>
      <c r="B75" s="307" t="s">
        <v>264</v>
      </c>
      <c r="C75" s="350">
        <f>sum(E75:E81)</f>
        <v>13</v>
      </c>
      <c r="D75" s="292" t="s">
        <v>64</v>
      </c>
      <c r="E75" s="292">
        <v>3.0</v>
      </c>
      <c r="F75" s="324"/>
      <c r="G75" s="324"/>
      <c r="H75" s="294" t="s">
        <v>66</v>
      </c>
      <c r="I75" s="295" t="s">
        <v>65</v>
      </c>
      <c r="J75" s="214"/>
      <c r="K75" s="214"/>
      <c r="L75" s="214"/>
      <c r="M75" s="214"/>
      <c r="N75" s="214"/>
      <c r="O75" s="214"/>
      <c r="P75" s="214"/>
      <c r="Q75" s="214"/>
      <c r="R75" s="214"/>
      <c r="S75" s="214"/>
      <c r="T75" s="214"/>
      <c r="U75" s="214"/>
      <c r="V75" s="214"/>
      <c r="W75" s="214"/>
      <c r="X75" s="214"/>
      <c r="Y75" s="214"/>
      <c r="Z75" s="214"/>
      <c r="AA75" s="214"/>
      <c r="AB75" s="214"/>
      <c r="AC75" s="214"/>
    </row>
    <row r="76">
      <c r="A76" s="222"/>
      <c r="I76" s="368"/>
      <c r="J76" s="214"/>
      <c r="K76" s="214"/>
      <c r="L76" s="214"/>
      <c r="M76" s="214"/>
      <c r="N76" s="214"/>
      <c r="O76" s="214"/>
      <c r="P76" s="214"/>
      <c r="Q76" s="214"/>
      <c r="R76" s="214"/>
      <c r="S76" s="214"/>
      <c r="T76" s="214"/>
      <c r="U76" s="214"/>
      <c r="V76" s="214"/>
      <c r="W76" s="214"/>
      <c r="X76" s="214"/>
      <c r="Y76" s="214"/>
      <c r="Z76" s="214"/>
      <c r="AA76" s="214"/>
      <c r="AB76" s="214"/>
      <c r="AC76" s="214"/>
    </row>
    <row r="77">
      <c r="A77" s="222"/>
      <c r="D77" s="369" t="s">
        <v>22</v>
      </c>
      <c r="E77" s="369">
        <v>2.0</v>
      </c>
      <c r="F77" s="370"/>
      <c r="G77" s="371"/>
      <c r="H77" s="372" t="s">
        <v>265</v>
      </c>
      <c r="I77" s="373" t="s">
        <v>23</v>
      </c>
      <c r="J77" s="214"/>
      <c r="K77" s="214"/>
      <c r="L77" s="214"/>
      <c r="M77" s="214"/>
      <c r="N77" s="214"/>
      <c r="O77" s="214"/>
      <c r="P77" s="214"/>
      <c r="Q77" s="214"/>
      <c r="R77" s="214"/>
      <c r="S77" s="214"/>
      <c r="T77" s="214"/>
      <c r="U77" s="214"/>
      <c r="V77" s="214"/>
      <c r="W77" s="214"/>
      <c r="X77" s="214"/>
      <c r="Y77" s="214"/>
      <c r="Z77" s="214"/>
      <c r="AA77" s="214"/>
      <c r="AB77" s="214"/>
      <c r="AC77" s="214"/>
    </row>
    <row r="78">
      <c r="A78" s="222"/>
      <c r="D78" s="271" t="s">
        <v>162</v>
      </c>
      <c r="E78" s="271">
        <v>2.0</v>
      </c>
      <c r="F78" s="317"/>
      <c r="G78" s="272"/>
      <c r="H78" s="273" t="s">
        <v>164</v>
      </c>
      <c r="I78" s="274" t="s">
        <v>163</v>
      </c>
      <c r="J78" s="214"/>
      <c r="K78" s="214"/>
      <c r="L78" s="214"/>
      <c r="M78" s="214"/>
      <c r="N78" s="214"/>
      <c r="O78" s="214"/>
      <c r="P78" s="214"/>
      <c r="Q78" s="214"/>
      <c r="R78" s="214"/>
      <c r="S78" s="214"/>
      <c r="T78" s="214"/>
      <c r="U78" s="214"/>
      <c r="V78" s="214"/>
      <c r="W78" s="214"/>
      <c r="X78" s="214"/>
      <c r="Y78" s="214"/>
      <c r="Z78" s="214"/>
      <c r="AA78" s="214"/>
      <c r="AB78" s="214"/>
      <c r="AC78" s="214"/>
    </row>
    <row r="79">
      <c r="A79" s="222"/>
      <c r="D79" s="271" t="s">
        <v>166</v>
      </c>
      <c r="E79" s="271">
        <v>2.0</v>
      </c>
      <c r="F79" s="272"/>
      <c r="G79" s="272"/>
      <c r="H79" s="273" t="s">
        <v>167</v>
      </c>
      <c r="I79" s="274" t="s">
        <v>163</v>
      </c>
      <c r="J79" s="214"/>
      <c r="K79" s="214"/>
      <c r="L79" s="214"/>
      <c r="M79" s="214"/>
      <c r="N79" s="214"/>
      <c r="O79" s="214"/>
      <c r="P79" s="214"/>
      <c r="Q79" s="214"/>
      <c r="R79" s="214"/>
      <c r="S79" s="214"/>
      <c r="T79" s="214"/>
      <c r="U79" s="214"/>
      <c r="V79" s="214"/>
      <c r="W79" s="214"/>
      <c r="X79" s="214"/>
      <c r="Y79" s="214"/>
      <c r="Z79" s="214"/>
      <c r="AA79" s="214"/>
      <c r="AB79" s="214"/>
      <c r="AC79" s="214"/>
    </row>
    <row r="80">
      <c r="A80" s="222"/>
      <c r="D80" s="227" t="s">
        <v>266</v>
      </c>
      <c r="E80" s="227">
        <v>2.0</v>
      </c>
      <c r="F80" s="228"/>
      <c r="G80" s="228"/>
      <c r="H80" s="229" t="s">
        <v>267</v>
      </c>
      <c r="I80" s="230" t="s">
        <v>7</v>
      </c>
      <c r="J80" s="214"/>
      <c r="K80" s="214"/>
      <c r="L80" s="214"/>
      <c r="M80" s="214"/>
      <c r="N80" s="214"/>
      <c r="O80" s="214"/>
      <c r="P80" s="214"/>
      <c r="Q80" s="214"/>
      <c r="R80" s="214"/>
      <c r="S80" s="214"/>
      <c r="T80" s="214"/>
      <c r="U80" s="214"/>
      <c r="V80" s="214"/>
      <c r="W80" s="214"/>
      <c r="X80" s="214"/>
      <c r="Y80" s="214"/>
      <c r="Z80" s="214"/>
      <c r="AA80" s="214"/>
      <c r="AB80" s="214"/>
      <c r="AC80" s="214"/>
    </row>
    <row r="81">
      <c r="A81" s="236"/>
      <c r="B81" s="237"/>
      <c r="C81" s="237"/>
      <c r="D81" s="374" t="s">
        <v>268</v>
      </c>
      <c r="E81" s="374">
        <v>2.0</v>
      </c>
      <c r="F81" s="375"/>
      <c r="G81" s="375"/>
      <c r="H81" s="376" t="s">
        <v>269</v>
      </c>
      <c r="I81" s="377" t="s">
        <v>7</v>
      </c>
      <c r="J81" s="214"/>
      <c r="K81" s="214"/>
      <c r="L81" s="214"/>
      <c r="M81" s="214"/>
      <c r="N81" s="214"/>
      <c r="O81" s="214"/>
      <c r="P81" s="214"/>
      <c r="Q81" s="214"/>
      <c r="R81" s="214"/>
      <c r="S81" s="214"/>
      <c r="T81" s="214"/>
      <c r="U81" s="214"/>
      <c r="V81" s="214"/>
      <c r="W81" s="214"/>
      <c r="X81" s="214"/>
      <c r="Y81" s="214"/>
      <c r="Z81" s="214"/>
      <c r="AA81" s="214"/>
      <c r="AB81" s="214"/>
      <c r="AC81" s="214"/>
    </row>
    <row r="82">
      <c r="A82" s="242" t="s">
        <v>270</v>
      </c>
      <c r="B82" s="243" t="s">
        <v>271</v>
      </c>
      <c r="C82" s="350">
        <f>sum(E82:E88)</f>
        <v>13</v>
      </c>
      <c r="D82" s="378" t="s">
        <v>97</v>
      </c>
      <c r="E82" s="378">
        <v>2.0</v>
      </c>
      <c r="F82" s="379"/>
      <c r="G82" s="379"/>
      <c r="H82" s="380" t="s">
        <v>99</v>
      </c>
      <c r="I82" s="381" t="s">
        <v>98</v>
      </c>
      <c r="J82" s="214"/>
      <c r="K82" s="214"/>
      <c r="L82" s="214"/>
      <c r="M82" s="214"/>
      <c r="N82" s="214"/>
      <c r="O82" s="214"/>
      <c r="P82" s="214"/>
      <c r="Q82" s="214"/>
      <c r="R82" s="214"/>
      <c r="S82" s="214"/>
      <c r="T82" s="214"/>
      <c r="U82" s="214"/>
      <c r="V82" s="214"/>
      <c r="W82" s="214"/>
      <c r="X82" s="214"/>
      <c r="Y82" s="214"/>
      <c r="Z82" s="214"/>
      <c r="AA82" s="214"/>
      <c r="AB82" s="214"/>
      <c r="AC82" s="214"/>
    </row>
    <row r="83">
      <c r="A83" s="222"/>
      <c r="D83" s="382" t="s">
        <v>39</v>
      </c>
      <c r="E83" s="382">
        <v>1.0</v>
      </c>
      <c r="F83" s="383"/>
      <c r="G83" s="384"/>
      <c r="H83" s="385" t="s">
        <v>40</v>
      </c>
      <c r="I83" s="386" t="s">
        <v>30</v>
      </c>
      <c r="J83" s="214"/>
      <c r="K83" s="214"/>
      <c r="L83" s="214"/>
      <c r="M83" s="214"/>
      <c r="N83" s="214"/>
      <c r="O83" s="214"/>
      <c r="P83" s="214"/>
      <c r="Q83" s="214"/>
      <c r="R83" s="214"/>
      <c r="S83" s="214"/>
      <c r="T83" s="214"/>
      <c r="U83" s="214"/>
      <c r="V83" s="214"/>
      <c r="W83" s="214"/>
      <c r="X83" s="214"/>
      <c r="Y83" s="214"/>
      <c r="Z83" s="214"/>
      <c r="AA83" s="214"/>
      <c r="AB83" s="214"/>
      <c r="AC83" s="214"/>
    </row>
    <row r="84">
      <c r="A84" s="222"/>
      <c r="D84" s="279" t="s">
        <v>49</v>
      </c>
      <c r="E84" s="279">
        <v>2.0</v>
      </c>
      <c r="F84" s="280"/>
      <c r="G84" s="280"/>
      <c r="H84" s="281" t="s">
        <v>50</v>
      </c>
      <c r="I84" s="282" t="s">
        <v>43</v>
      </c>
      <c r="J84" s="214"/>
      <c r="K84" s="214"/>
      <c r="L84" s="214"/>
      <c r="M84" s="214"/>
      <c r="N84" s="214"/>
      <c r="O84" s="214"/>
      <c r="P84" s="214"/>
      <c r="Q84" s="214"/>
      <c r="R84" s="214"/>
      <c r="S84" s="214"/>
      <c r="T84" s="214"/>
      <c r="U84" s="214"/>
      <c r="V84" s="214"/>
      <c r="W84" s="214"/>
      <c r="X84" s="214"/>
      <c r="Y84" s="214"/>
      <c r="Z84" s="214"/>
      <c r="AA84" s="214"/>
      <c r="AB84" s="214"/>
      <c r="AC84" s="214"/>
    </row>
    <row r="85">
      <c r="A85" s="222"/>
      <c r="D85" s="286" t="s">
        <v>64</v>
      </c>
      <c r="E85" s="286">
        <v>3.0</v>
      </c>
      <c r="F85" s="261"/>
      <c r="G85" s="261"/>
      <c r="H85" s="262" t="s">
        <v>66</v>
      </c>
      <c r="I85" s="263" t="s">
        <v>65</v>
      </c>
      <c r="J85" s="214"/>
      <c r="K85" s="214"/>
      <c r="L85" s="214"/>
      <c r="M85" s="214"/>
      <c r="N85" s="214"/>
      <c r="O85" s="214"/>
      <c r="P85" s="214"/>
      <c r="Q85" s="214"/>
      <c r="R85" s="214"/>
      <c r="S85" s="214"/>
      <c r="T85" s="214"/>
      <c r="U85" s="214"/>
      <c r="V85" s="214"/>
      <c r="W85" s="214"/>
      <c r="X85" s="214"/>
      <c r="Y85" s="214"/>
      <c r="Z85" s="214"/>
      <c r="AA85" s="214"/>
      <c r="AB85" s="214"/>
      <c r="AC85" s="214"/>
    </row>
    <row r="86">
      <c r="A86" s="222"/>
      <c r="D86" s="387" t="s">
        <v>58</v>
      </c>
      <c r="E86" s="387">
        <v>1.0</v>
      </c>
      <c r="F86" s="280"/>
      <c r="G86" s="280"/>
      <c r="H86" s="388" t="s">
        <v>59</v>
      </c>
      <c r="I86" s="282" t="s">
        <v>43</v>
      </c>
      <c r="J86" s="214"/>
      <c r="K86" s="214"/>
      <c r="L86" s="214"/>
      <c r="M86" s="214"/>
      <c r="N86" s="214"/>
      <c r="O86" s="214"/>
      <c r="P86" s="214"/>
      <c r="Q86" s="214"/>
      <c r="R86" s="214"/>
      <c r="S86" s="214"/>
      <c r="T86" s="214"/>
      <c r="U86" s="214"/>
      <c r="V86" s="214"/>
      <c r="W86" s="214"/>
      <c r="X86" s="214"/>
      <c r="Y86" s="214"/>
      <c r="Z86" s="214"/>
      <c r="AA86" s="214"/>
      <c r="AB86" s="214"/>
      <c r="AC86" s="214"/>
    </row>
    <row r="87">
      <c r="A87" s="222"/>
      <c r="D87" s="271" t="s">
        <v>162</v>
      </c>
      <c r="E87" s="271">
        <v>2.0</v>
      </c>
      <c r="F87" s="317"/>
      <c r="G87" s="272"/>
      <c r="H87" s="273" t="s">
        <v>164</v>
      </c>
      <c r="I87" s="274" t="s">
        <v>163</v>
      </c>
      <c r="J87" s="214"/>
      <c r="K87" s="214"/>
      <c r="L87" s="214"/>
      <c r="M87" s="214"/>
      <c r="N87" s="214"/>
      <c r="O87" s="214"/>
      <c r="P87" s="214"/>
      <c r="Q87" s="214"/>
      <c r="R87" s="214"/>
      <c r="S87" s="214"/>
      <c r="T87" s="214"/>
      <c r="U87" s="214"/>
      <c r="V87" s="214"/>
      <c r="W87" s="214"/>
      <c r="X87" s="214"/>
      <c r="Y87" s="214"/>
      <c r="Z87" s="214"/>
      <c r="AA87" s="214"/>
      <c r="AB87" s="214"/>
      <c r="AC87" s="214"/>
    </row>
    <row r="88">
      <c r="A88" s="236"/>
      <c r="B88" s="237"/>
      <c r="C88" s="237"/>
      <c r="D88" s="227" t="s">
        <v>272</v>
      </c>
      <c r="E88" s="389">
        <v>2.0</v>
      </c>
      <c r="F88" s="228"/>
      <c r="G88" s="228"/>
      <c r="H88" s="229" t="s">
        <v>273</v>
      </c>
      <c r="I88" s="230" t="s">
        <v>7</v>
      </c>
      <c r="J88" s="214"/>
      <c r="K88" s="214"/>
      <c r="L88" s="214"/>
      <c r="M88" s="214"/>
      <c r="N88" s="214"/>
      <c r="O88" s="214"/>
      <c r="P88" s="214"/>
      <c r="Q88" s="214"/>
      <c r="R88" s="214"/>
      <c r="S88" s="214"/>
      <c r="T88" s="214"/>
      <c r="U88" s="214"/>
      <c r="V88" s="214"/>
      <c r="W88" s="214"/>
      <c r="X88" s="214"/>
      <c r="Y88" s="214"/>
      <c r="Z88" s="214"/>
      <c r="AA88" s="214"/>
      <c r="AB88" s="214"/>
      <c r="AC88" s="214"/>
    </row>
    <row r="89">
      <c r="A89" s="242" t="s">
        <v>274</v>
      </c>
      <c r="B89" s="243" t="s">
        <v>275</v>
      </c>
      <c r="C89" s="244">
        <f>sum(E89:E93)</f>
        <v>13</v>
      </c>
      <c r="D89" s="390" t="s">
        <v>55</v>
      </c>
      <c r="E89" s="390">
        <v>1.0</v>
      </c>
      <c r="F89" s="246"/>
      <c r="G89" s="246"/>
      <c r="H89" s="391" t="s">
        <v>56</v>
      </c>
      <c r="I89" s="248" t="s">
        <v>43</v>
      </c>
      <c r="J89" s="214"/>
      <c r="K89" s="214"/>
      <c r="L89" s="214"/>
      <c r="M89" s="214"/>
      <c r="N89" s="214"/>
      <c r="O89" s="214"/>
      <c r="P89" s="214"/>
      <c r="Q89" s="214"/>
      <c r="R89" s="214"/>
      <c r="S89" s="214"/>
      <c r="T89" s="214"/>
      <c r="U89" s="214"/>
      <c r="V89" s="214"/>
      <c r="W89" s="214"/>
      <c r="X89" s="214"/>
      <c r="Y89" s="214"/>
      <c r="Z89" s="214"/>
      <c r="AA89" s="214"/>
      <c r="AB89" s="214"/>
      <c r="AC89" s="214"/>
    </row>
    <row r="90">
      <c r="A90" s="222"/>
      <c r="D90" s="286" t="s">
        <v>64</v>
      </c>
      <c r="E90" s="286">
        <v>3.0</v>
      </c>
      <c r="F90" s="318"/>
      <c r="G90" s="261"/>
      <c r="H90" s="262" t="s">
        <v>66</v>
      </c>
      <c r="I90" s="263" t="s">
        <v>65</v>
      </c>
      <c r="J90" s="214"/>
      <c r="K90" s="214"/>
      <c r="L90" s="214"/>
      <c r="M90" s="214"/>
      <c r="N90" s="214"/>
      <c r="O90" s="214"/>
      <c r="P90" s="214"/>
      <c r="Q90" s="214"/>
      <c r="R90" s="214"/>
      <c r="S90" s="214"/>
      <c r="T90" s="214"/>
      <c r="U90" s="214"/>
      <c r="V90" s="214"/>
      <c r="W90" s="214"/>
      <c r="X90" s="214"/>
      <c r="Y90" s="214"/>
      <c r="Z90" s="214"/>
      <c r="AA90" s="214"/>
      <c r="AB90" s="214"/>
      <c r="AC90" s="214"/>
    </row>
    <row r="91">
      <c r="A91" s="222"/>
      <c r="D91" s="227" t="s">
        <v>19</v>
      </c>
      <c r="E91" s="227">
        <v>2.0</v>
      </c>
      <c r="F91" s="327"/>
      <c r="G91" s="327"/>
      <c r="H91" s="229" t="s">
        <v>20</v>
      </c>
      <c r="I91" s="392" t="s">
        <v>7</v>
      </c>
      <c r="J91" s="214"/>
      <c r="K91" s="214"/>
      <c r="L91" s="214"/>
      <c r="M91" s="214"/>
      <c r="N91" s="214"/>
      <c r="O91" s="214"/>
      <c r="P91" s="214"/>
      <c r="Q91" s="214"/>
      <c r="R91" s="214"/>
      <c r="S91" s="214"/>
      <c r="T91" s="214"/>
      <c r="U91" s="214"/>
      <c r="V91" s="214"/>
      <c r="W91" s="214"/>
      <c r="X91" s="214"/>
      <c r="Y91" s="214"/>
      <c r="Z91" s="214"/>
      <c r="AA91" s="214"/>
      <c r="AB91" s="214"/>
      <c r="AC91" s="214"/>
    </row>
    <row r="92">
      <c r="A92" s="222"/>
      <c r="D92" s="299" t="s">
        <v>143</v>
      </c>
      <c r="E92" s="299">
        <v>5.0</v>
      </c>
      <c r="F92" s="251"/>
      <c r="G92" s="251"/>
      <c r="H92" s="312" t="s">
        <v>145</v>
      </c>
      <c r="I92" s="253" t="s">
        <v>144</v>
      </c>
      <c r="J92" s="214"/>
      <c r="K92" s="214"/>
      <c r="L92" s="214"/>
      <c r="M92" s="214"/>
      <c r="N92" s="214"/>
      <c r="O92" s="214"/>
      <c r="P92" s="214"/>
      <c r="Q92" s="214"/>
      <c r="R92" s="214"/>
      <c r="S92" s="214"/>
      <c r="T92" s="214"/>
      <c r="U92" s="214"/>
      <c r="V92" s="214"/>
      <c r="W92" s="214"/>
      <c r="X92" s="214"/>
      <c r="Y92" s="214"/>
      <c r="Z92" s="214"/>
      <c r="AA92" s="214"/>
      <c r="AB92" s="214"/>
      <c r="AC92" s="214"/>
    </row>
    <row r="93">
      <c r="A93" s="236"/>
      <c r="B93" s="237"/>
      <c r="C93" s="237"/>
      <c r="D93" s="271" t="s">
        <v>162</v>
      </c>
      <c r="E93" s="271">
        <v>2.0</v>
      </c>
      <c r="F93" s="272"/>
      <c r="G93" s="272"/>
      <c r="H93" s="273" t="s">
        <v>164</v>
      </c>
      <c r="I93" s="393" t="s">
        <v>163</v>
      </c>
      <c r="J93" s="214"/>
      <c r="K93" s="214"/>
      <c r="L93" s="214"/>
      <c r="M93" s="214"/>
      <c r="N93" s="214"/>
      <c r="O93" s="214"/>
      <c r="P93" s="214"/>
      <c r="Q93" s="214"/>
      <c r="R93" s="214"/>
      <c r="S93" s="214"/>
      <c r="T93" s="214"/>
      <c r="U93" s="214"/>
      <c r="V93" s="214"/>
      <c r="W93" s="214"/>
      <c r="X93" s="214"/>
      <c r="Y93" s="214"/>
      <c r="Z93" s="214"/>
      <c r="AA93" s="214"/>
      <c r="AB93" s="214"/>
      <c r="AC93" s="214"/>
    </row>
    <row r="94">
      <c r="A94" s="242" t="s">
        <v>276</v>
      </c>
      <c r="B94" s="243" t="s">
        <v>277</v>
      </c>
      <c r="C94" s="394">
        <f>sum(E94:E100)</f>
        <v>13</v>
      </c>
      <c r="D94" s="395" t="s">
        <v>22</v>
      </c>
      <c r="E94" s="395">
        <v>2.0</v>
      </c>
      <c r="F94" s="396"/>
      <c r="G94" s="397"/>
      <c r="H94" s="398" t="s">
        <v>265</v>
      </c>
      <c r="I94" s="399" t="s">
        <v>23</v>
      </c>
      <c r="J94" s="214"/>
      <c r="K94" s="214"/>
      <c r="L94" s="214"/>
      <c r="M94" s="214"/>
      <c r="N94" s="214"/>
      <c r="O94" s="214"/>
      <c r="P94" s="214"/>
      <c r="Q94" s="214"/>
      <c r="R94" s="214"/>
      <c r="S94" s="214"/>
      <c r="T94" s="214"/>
      <c r="U94" s="214"/>
      <c r="V94" s="214"/>
      <c r="W94" s="214"/>
      <c r="X94" s="214"/>
      <c r="Y94" s="214"/>
      <c r="Z94" s="214"/>
      <c r="AA94" s="214"/>
      <c r="AB94" s="214"/>
      <c r="AC94" s="214"/>
    </row>
    <row r="95">
      <c r="A95" s="222"/>
      <c r="D95" s="286" t="s">
        <v>229</v>
      </c>
      <c r="E95" s="286">
        <v>2.0</v>
      </c>
      <c r="F95" s="261"/>
      <c r="G95" s="261"/>
      <c r="H95" s="262" t="s">
        <v>69</v>
      </c>
      <c r="I95" s="263" t="s">
        <v>65</v>
      </c>
      <c r="J95" s="214"/>
      <c r="K95" s="214"/>
      <c r="L95" s="214"/>
      <c r="M95" s="214"/>
      <c r="N95" s="214"/>
      <c r="O95" s="214"/>
      <c r="P95" s="214"/>
      <c r="Q95" s="214"/>
      <c r="R95" s="214"/>
      <c r="S95" s="214"/>
      <c r="T95" s="214"/>
      <c r="U95" s="214"/>
      <c r="V95" s="214"/>
      <c r="W95" s="214"/>
      <c r="X95" s="214"/>
      <c r="Y95" s="214"/>
      <c r="Z95" s="214"/>
      <c r="AA95" s="214"/>
      <c r="AB95" s="214"/>
      <c r="AC95" s="214"/>
    </row>
    <row r="96">
      <c r="A96" s="222"/>
      <c r="D96" s="299" t="s">
        <v>159</v>
      </c>
      <c r="E96" s="299">
        <v>1.0</v>
      </c>
      <c r="F96" s="251"/>
      <c r="G96" s="251"/>
      <c r="H96" s="312" t="s">
        <v>160</v>
      </c>
      <c r="I96" s="300" t="s">
        <v>144</v>
      </c>
      <c r="J96" s="214"/>
      <c r="K96" s="214"/>
      <c r="L96" s="214"/>
      <c r="M96" s="214"/>
      <c r="N96" s="214"/>
      <c r="O96" s="214"/>
      <c r="P96" s="214"/>
      <c r="Q96" s="214"/>
      <c r="R96" s="214"/>
      <c r="S96" s="214"/>
      <c r="T96" s="214"/>
      <c r="U96" s="214"/>
      <c r="V96" s="214"/>
      <c r="W96" s="214"/>
      <c r="X96" s="214"/>
      <c r="Y96" s="214"/>
      <c r="Z96" s="214"/>
      <c r="AA96" s="214"/>
      <c r="AB96" s="214"/>
      <c r="AC96" s="214"/>
    </row>
    <row r="97">
      <c r="A97" s="222"/>
      <c r="D97" s="232" t="s">
        <v>117</v>
      </c>
      <c r="E97" s="232">
        <v>1.0</v>
      </c>
      <c r="F97" s="233"/>
      <c r="G97" s="233"/>
      <c r="H97" s="234" t="s">
        <v>238</v>
      </c>
      <c r="I97" s="298" t="s">
        <v>105</v>
      </c>
      <c r="J97" s="214"/>
      <c r="K97" s="214"/>
      <c r="L97" s="214"/>
      <c r="M97" s="214"/>
      <c r="N97" s="214"/>
      <c r="O97" s="214"/>
      <c r="P97" s="214"/>
      <c r="Q97" s="214"/>
      <c r="R97" s="214"/>
      <c r="S97" s="214"/>
      <c r="T97" s="214"/>
      <c r="U97" s="214"/>
      <c r="V97" s="214"/>
      <c r="W97" s="214"/>
      <c r="X97" s="214"/>
      <c r="Y97" s="214"/>
      <c r="Z97" s="214"/>
      <c r="AA97" s="214"/>
      <c r="AB97" s="214"/>
      <c r="AC97" s="214"/>
    </row>
    <row r="98">
      <c r="A98" s="222"/>
      <c r="D98" s="232" t="s">
        <v>129</v>
      </c>
      <c r="E98" s="232">
        <v>1.0</v>
      </c>
      <c r="F98" s="233"/>
      <c r="G98" s="233"/>
      <c r="H98" s="234" t="s">
        <v>130</v>
      </c>
      <c r="I98" s="235" t="s">
        <v>105</v>
      </c>
      <c r="J98" s="214"/>
      <c r="K98" s="214"/>
      <c r="L98" s="214"/>
      <c r="M98" s="214"/>
      <c r="N98" s="214"/>
      <c r="O98" s="214"/>
      <c r="P98" s="214"/>
      <c r="Q98" s="214"/>
      <c r="R98" s="214"/>
      <c r="S98" s="214"/>
      <c r="T98" s="214"/>
      <c r="U98" s="214"/>
      <c r="V98" s="214"/>
      <c r="W98" s="214"/>
      <c r="X98" s="214"/>
      <c r="Y98" s="214"/>
      <c r="Z98" s="214"/>
      <c r="AA98" s="214"/>
      <c r="AB98" s="214"/>
      <c r="AC98" s="214"/>
    </row>
    <row r="99">
      <c r="A99" s="222"/>
      <c r="D99" s="271" t="s">
        <v>162</v>
      </c>
      <c r="E99" s="271">
        <v>2.0</v>
      </c>
      <c r="F99" s="272"/>
      <c r="G99" s="272"/>
      <c r="H99" s="273" t="s">
        <v>164</v>
      </c>
      <c r="I99" s="274" t="s">
        <v>163</v>
      </c>
      <c r="J99" s="214"/>
      <c r="K99" s="214"/>
      <c r="L99" s="214"/>
      <c r="M99" s="214"/>
      <c r="N99" s="214"/>
      <c r="O99" s="214"/>
      <c r="P99" s="214"/>
      <c r="Q99" s="214"/>
      <c r="R99" s="214"/>
      <c r="S99" s="214"/>
      <c r="T99" s="214"/>
      <c r="U99" s="214"/>
      <c r="V99" s="214"/>
      <c r="W99" s="214"/>
      <c r="X99" s="214"/>
      <c r="Y99" s="214"/>
      <c r="Z99" s="214"/>
      <c r="AA99" s="214"/>
      <c r="AB99" s="214"/>
      <c r="AC99" s="214"/>
    </row>
    <row r="100">
      <c r="A100" s="236"/>
      <c r="B100" s="237"/>
      <c r="C100" s="237"/>
      <c r="D100" s="345" t="s">
        <v>175</v>
      </c>
      <c r="E100" s="400">
        <v>4.0</v>
      </c>
      <c r="F100" s="401"/>
      <c r="G100" s="346"/>
      <c r="H100" s="347" t="s">
        <v>232</v>
      </c>
      <c r="I100" s="348" t="s">
        <v>176</v>
      </c>
      <c r="J100" s="214"/>
      <c r="K100" s="214"/>
      <c r="L100" s="214"/>
      <c r="M100" s="214"/>
      <c r="N100" s="214"/>
      <c r="O100" s="214"/>
      <c r="P100" s="214"/>
      <c r="Q100" s="214"/>
      <c r="R100" s="214"/>
      <c r="S100" s="214"/>
      <c r="T100" s="214"/>
      <c r="U100" s="214"/>
      <c r="V100" s="214"/>
      <c r="W100" s="214"/>
      <c r="X100" s="214"/>
      <c r="Y100" s="214"/>
      <c r="Z100" s="214"/>
      <c r="AA100" s="214"/>
      <c r="AB100" s="214"/>
      <c r="AC100" s="214"/>
    </row>
    <row r="101">
      <c r="A101" s="242" t="s">
        <v>278</v>
      </c>
      <c r="B101" s="243" t="s">
        <v>259</v>
      </c>
      <c r="C101" s="291">
        <f>sum(E101:E107)</f>
        <v>13</v>
      </c>
      <c r="D101" s="292" t="s">
        <v>64</v>
      </c>
      <c r="E101" s="292">
        <v>3.0</v>
      </c>
      <c r="F101" s="293"/>
      <c r="G101" s="293"/>
      <c r="H101" s="262" t="s">
        <v>66</v>
      </c>
      <c r="I101" s="295" t="s">
        <v>65</v>
      </c>
      <c r="J101" s="214"/>
      <c r="K101" s="214"/>
      <c r="L101" s="214"/>
      <c r="M101" s="214"/>
      <c r="N101" s="214"/>
      <c r="O101" s="214"/>
      <c r="P101" s="214"/>
      <c r="Q101" s="214"/>
      <c r="R101" s="214"/>
      <c r="S101" s="214"/>
      <c r="T101" s="214"/>
      <c r="U101" s="214"/>
      <c r="V101" s="214"/>
      <c r="W101" s="214"/>
      <c r="X101" s="214"/>
      <c r="Y101" s="214"/>
      <c r="Z101" s="214"/>
      <c r="AA101" s="214"/>
      <c r="AB101" s="214"/>
      <c r="AC101" s="214"/>
    </row>
    <row r="102">
      <c r="A102" s="222"/>
      <c r="D102" s="223" t="s">
        <v>182</v>
      </c>
      <c r="E102" s="223">
        <v>3.0</v>
      </c>
      <c r="F102" s="342"/>
      <c r="G102" s="342"/>
      <c r="H102" s="225" t="s">
        <v>183</v>
      </c>
      <c r="I102" s="344" t="s">
        <v>176</v>
      </c>
      <c r="J102" s="214"/>
      <c r="K102" s="214"/>
      <c r="L102" s="214"/>
      <c r="M102" s="214"/>
      <c r="N102" s="214"/>
      <c r="O102" s="214"/>
      <c r="P102" s="214"/>
      <c r="Q102" s="214"/>
      <c r="R102" s="214"/>
      <c r="S102" s="214"/>
      <c r="T102" s="214"/>
      <c r="U102" s="214"/>
      <c r="V102" s="214"/>
      <c r="W102" s="214"/>
      <c r="X102" s="214"/>
      <c r="Y102" s="214"/>
      <c r="Z102" s="214"/>
      <c r="AA102" s="214"/>
      <c r="AB102" s="214"/>
      <c r="AC102" s="214"/>
    </row>
    <row r="103">
      <c r="A103" s="222"/>
      <c r="D103" s="402" t="s">
        <v>162</v>
      </c>
      <c r="E103" s="402">
        <v>2.0</v>
      </c>
      <c r="F103" s="317"/>
      <c r="G103" s="272"/>
      <c r="H103" s="403" t="s">
        <v>164</v>
      </c>
      <c r="I103" s="393" t="s">
        <v>163</v>
      </c>
      <c r="J103" s="214"/>
      <c r="K103" s="214"/>
      <c r="L103" s="214"/>
      <c r="M103" s="214"/>
      <c r="N103" s="214"/>
      <c r="O103" s="214"/>
      <c r="P103" s="214"/>
      <c r="Q103" s="214"/>
      <c r="R103" s="214"/>
      <c r="S103" s="214"/>
      <c r="T103" s="214"/>
      <c r="U103" s="214"/>
      <c r="V103" s="214"/>
      <c r="W103" s="214"/>
      <c r="X103" s="214"/>
      <c r="Y103" s="214"/>
      <c r="Z103" s="214"/>
      <c r="AA103" s="214"/>
      <c r="AB103" s="214"/>
      <c r="AC103" s="214"/>
    </row>
    <row r="104">
      <c r="A104" s="222"/>
      <c r="D104" s="313" t="s">
        <v>189</v>
      </c>
      <c r="E104" s="313">
        <v>1.0</v>
      </c>
      <c r="F104" s="257"/>
      <c r="G104" s="257"/>
      <c r="H104" s="314" t="s">
        <v>190</v>
      </c>
      <c r="I104" s="259" t="s">
        <v>186</v>
      </c>
      <c r="J104" s="214"/>
      <c r="K104" s="214"/>
      <c r="L104" s="214"/>
      <c r="M104" s="214"/>
      <c r="N104" s="214"/>
      <c r="O104" s="214"/>
      <c r="P104" s="214"/>
      <c r="Q104" s="214"/>
      <c r="R104" s="214"/>
      <c r="S104" s="214"/>
      <c r="T104" s="214"/>
      <c r="U104" s="214"/>
      <c r="V104" s="214"/>
      <c r="W104" s="214"/>
      <c r="X104" s="214"/>
      <c r="Y104" s="214"/>
      <c r="Z104" s="214"/>
      <c r="AA104" s="214"/>
      <c r="AB104" s="214"/>
      <c r="AC104" s="214"/>
    </row>
    <row r="105">
      <c r="A105" s="222"/>
      <c r="D105" s="232" t="s">
        <v>120</v>
      </c>
      <c r="E105" s="232">
        <v>1.0</v>
      </c>
      <c r="F105" s="254"/>
      <c r="G105" s="233"/>
      <c r="H105" s="234" t="s">
        <v>121</v>
      </c>
      <c r="I105" s="235" t="s">
        <v>105</v>
      </c>
      <c r="J105" s="214"/>
      <c r="K105" s="214"/>
      <c r="L105" s="214"/>
      <c r="M105" s="214"/>
      <c r="N105" s="214"/>
      <c r="O105" s="214"/>
      <c r="P105" s="214"/>
      <c r="Q105" s="214"/>
      <c r="R105" s="214"/>
      <c r="S105" s="214"/>
      <c r="T105" s="214"/>
      <c r="U105" s="214"/>
      <c r="V105" s="214"/>
      <c r="W105" s="214"/>
      <c r="X105" s="214"/>
      <c r="Y105" s="214"/>
      <c r="Z105" s="214"/>
      <c r="AA105" s="214"/>
      <c r="AB105" s="214"/>
      <c r="AC105" s="214"/>
    </row>
    <row r="106">
      <c r="A106" s="222"/>
      <c r="D106" s="227" t="s">
        <v>279</v>
      </c>
      <c r="E106" s="227">
        <v>2.0</v>
      </c>
      <c r="F106" s="327"/>
      <c r="G106" s="228"/>
      <c r="H106" s="229" t="s">
        <v>255</v>
      </c>
      <c r="I106" s="230" t="s">
        <v>7</v>
      </c>
      <c r="J106" s="214"/>
      <c r="K106" s="214"/>
      <c r="L106" s="214"/>
      <c r="M106" s="214"/>
      <c r="N106" s="214"/>
      <c r="O106" s="214"/>
      <c r="P106" s="214"/>
      <c r="Q106" s="214"/>
      <c r="R106" s="214"/>
      <c r="S106" s="214"/>
      <c r="T106" s="214"/>
      <c r="U106" s="214"/>
      <c r="V106" s="214"/>
      <c r="W106" s="214"/>
      <c r="X106" s="214"/>
      <c r="Y106" s="214"/>
      <c r="Z106" s="214"/>
      <c r="AA106" s="214"/>
      <c r="AB106" s="214"/>
      <c r="AC106" s="214"/>
    </row>
    <row r="107">
      <c r="A107" s="236"/>
      <c r="B107" s="237"/>
      <c r="C107" s="237"/>
      <c r="D107" s="287" t="s">
        <v>117</v>
      </c>
      <c r="E107" s="287">
        <v>1.0</v>
      </c>
      <c r="F107" s="404"/>
      <c r="G107" s="404"/>
      <c r="H107" s="289" t="s">
        <v>238</v>
      </c>
      <c r="I107" s="290" t="s">
        <v>105</v>
      </c>
      <c r="J107" s="214"/>
      <c r="K107" s="214"/>
      <c r="L107" s="214"/>
      <c r="M107" s="214"/>
      <c r="N107" s="214"/>
      <c r="O107" s="214"/>
      <c r="P107" s="214"/>
      <c r="Q107" s="214"/>
      <c r="R107" s="214"/>
      <c r="S107" s="214"/>
      <c r="T107" s="214"/>
      <c r="U107" s="214"/>
      <c r="V107" s="214"/>
      <c r="W107" s="214"/>
      <c r="X107" s="214"/>
      <c r="Y107" s="214"/>
      <c r="Z107" s="214"/>
      <c r="AA107" s="214"/>
      <c r="AB107" s="214"/>
      <c r="AC107" s="214"/>
    </row>
    <row r="108" ht="45.0" customHeight="1">
      <c r="A108" s="405" t="s">
        <v>280</v>
      </c>
      <c r="B108" s="237"/>
      <c r="C108" s="237"/>
      <c r="D108" s="237"/>
      <c r="E108" s="237"/>
      <c r="F108" s="237"/>
      <c r="G108" s="237"/>
      <c r="H108" s="406"/>
      <c r="I108" s="407"/>
      <c r="J108" s="214"/>
      <c r="K108" s="214"/>
      <c r="L108" s="214"/>
      <c r="M108" s="214"/>
      <c r="N108" s="214"/>
      <c r="O108" s="214"/>
      <c r="P108" s="214"/>
      <c r="Q108" s="214"/>
      <c r="R108" s="214"/>
      <c r="S108" s="214"/>
      <c r="T108" s="214"/>
      <c r="U108" s="214"/>
      <c r="V108" s="214"/>
      <c r="W108" s="214"/>
      <c r="X108" s="214"/>
      <c r="Y108" s="214"/>
      <c r="Z108" s="214"/>
      <c r="AA108" s="214"/>
      <c r="AB108" s="214"/>
      <c r="AC108" s="214"/>
    </row>
    <row r="109">
      <c r="A109" s="408" t="s">
        <v>281</v>
      </c>
      <c r="B109" s="409" t="s">
        <v>282</v>
      </c>
      <c r="C109" s="410">
        <f>sum(E109:E113)</f>
        <v>12</v>
      </c>
      <c r="D109" s="299" t="s">
        <v>143</v>
      </c>
      <c r="E109" s="299">
        <v>5.0</v>
      </c>
      <c r="F109" s="251"/>
      <c r="G109" s="251"/>
      <c r="H109" s="312" t="s">
        <v>145</v>
      </c>
      <c r="I109" s="253" t="s">
        <v>144</v>
      </c>
      <c r="J109" s="214"/>
      <c r="K109" s="214"/>
      <c r="L109" s="214"/>
      <c r="M109" s="214"/>
      <c r="N109" s="214"/>
      <c r="O109" s="214"/>
      <c r="P109" s="214"/>
      <c r="Q109" s="214"/>
      <c r="R109" s="214"/>
      <c r="S109" s="214"/>
      <c r="T109" s="214"/>
      <c r="U109" s="214"/>
      <c r="V109" s="214"/>
      <c r="W109" s="214"/>
      <c r="X109" s="214"/>
      <c r="Y109" s="214"/>
      <c r="Z109" s="214"/>
      <c r="AA109" s="214"/>
      <c r="AB109" s="214"/>
      <c r="AC109" s="214"/>
    </row>
    <row r="110">
      <c r="A110" s="222"/>
      <c r="D110" s="286" t="s">
        <v>64</v>
      </c>
      <c r="E110" s="286">
        <v>3.0</v>
      </c>
      <c r="F110" s="261"/>
      <c r="G110" s="261"/>
      <c r="H110" s="262" t="s">
        <v>69</v>
      </c>
      <c r="I110" s="263" t="s">
        <v>65</v>
      </c>
      <c r="J110" s="214"/>
      <c r="K110" s="214"/>
      <c r="L110" s="214"/>
      <c r="M110" s="214"/>
      <c r="N110" s="214"/>
      <c r="O110" s="214"/>
      <c r="P110" s="214"/>
      <c r="Q110" s="214"/>
      <c r="R110" s="214"/>
      <c r="S110" s="214"/>
      <c r="T110" s="214"/>
      <c r="U110" s="214"/>
      <c r="V110" s="214"/>
      <c r="W110" s="214"/>
      <c r="X110" s="214"/>
      <c r="Y110" s="214"/>
      <c r="Z110" s="214"/>
      <c r="AA110" s="214"/>
      <c r="AB110" s="214"/>
      <c r="AC110" s="214"/>
    </row>
    <row r="111">
      <c r="A111" s="222"/>
      <c r="D111" s="227" t="s">
        <v>19</v>
      </c>
      <c r="E111" s="227">
        <v>2.0</v>
      </c>
      <c r="F111" s="228"/>
      <c r="G111" s="228"/>
      <c r="H111" s="229" t="s">
        <v>20</v>
      </c>
      <c r="I111" s="230" t="s">
        <v>7</v>
      </c>
      <c r="J111" s="214"/>
      <c r="K111" s="214"/>
      <c r="L111" s="214"/>
      <c r="M111" s="214"/>
      <c r="N111" s="214"/>
      <c r="O111" s="214"/>
      <c r="P111" s="214"/>
      <c r="Q111" s="214"/>
      <c r="R111" s="214"/>
      <c r="S111" s="214"/>
      <c r="T111" s="214"/>
      <c r="U111" s="214"/>
      <c r="V111" s="214"/>
      <c r="W111" s="214"/>
      <c r="X111" s="214"/>
      <c r="Y111" s="214"/>
      <c r="Z111" s="214"/>
      <c r="AA111" s="214"/>
      <c r="AB111" s="214"/>
      <c r="AC111" s="214"/>
    </row>
    <row r="112">
      <c r="A112" s="222"/>
      <c r="D112" s="339" t="s">
        <v>120</v>
      </c>
      <c r="E112" s="339">
        <v>1.0</v>
      </c>
      <c r="F112" s="254"/>
      <c r="G112" s="233"/>
      <c r="H112" s="340" t="s">
        <v>121</v>
      </c>
      <c r="I112" s="298" t="s">
        <v>105</v>
      </c>
      <c r="J112" s="214"/>
      <c r="K112" s="214"/>
      <c r="L112" s="214"/>
      <c r="M112" s="214"/>
      <c r="N112" s="214"/>
      <c r="O112" s="214"/>
      <c r="P112" s="214"/>
      <c r="Q112" s="214"/>
      <c r="R112" s="214"/>
      <c r="S112" s="214"/>
      <c r="T112" s="214"/>
      <c r="U112" s="214"/>
      <c r="V112" s="214"/>
      <c r="W112" s="214"/>
      <c r="X112" s="214"/>
      <c r="Y112" s="214"/>
      <c r="Z112" s="214"/>
      <c r="AA112" s="214"/>
      <c r="AB112" s="214"/>
      <c r="AC112" s="214"/>
    </row>
    <row r="113">
      <c r="A113" s="236"/>
      <c r="B113" s="237"/>
      <c r="C113" s="237"/>
      <c r="D113" s="287" t="s">
        <v>239</v>
      </c>
      <c r="E113" s="287">
        <v>1.0</v>
      </c>
      <c r="F113" s="288"/>
      <c r="G113" s="288"/>
      <c r="H113" s="289" t="s">
        <v>115</v>
      </c>
      <c r="I113" s="290" t="s">
        <v>105</v>
      </c>
      <c r="J113" s="214"/>
      <c r="K113" s="214"/>
      <c r="L113" s="214"/>
      <c r="M113" s="214"/>
      <c r="N113" s="214"/>
      <c r="O113" s="214"/>
      <c r="P113" s="214"/>
      <c r="Q113" s="214"/>
      <c r="R113" s="214"/>
      <c r="S113" s="214"/>
      <c r="T113" s="214"/>
      <c r="U113" s="214"/>
      <c r="V113" s="214"/>
      <c r="W113" s="214"/>
      <c r="X113" s="214"/>
      <c r="Y113" s="214"/>
      <c r="Z113" s="214"/>
      <c r="AA113" s="214"/>
      <c r="AB113" s="214"/>
      <c r="AC113" s="214"/>
    </row>
    <row r="114">
      <c r="A114" s="242" t="s">
        <v>283</v>
      </c>
      <c r="B114" s="243" t="s">
        <v>284</v>
      </c>
      <c r="C114" s="411">
        <f>sum(E114:E121)</f>
        <v>12</v>
      </c>
      <c r="D114" s="356" t="s">
        <v>17</v>
      </c>
      <c r="E114" s="356">
        <v>2.0</v>
      </c>
      <c r="F114" s="357"/>
      <c r="G114" s="357"/>
      <c r="H114" s="358" t="s">
        <v>260</v>
      </c>
      <c r="I114" s="359" t="s">
        <v>7</v>
      </c>
      <c r="J114" s="214"/>
      <c r="K114" s="214"/>
      <c r="L114" s="214"/>
      <c r="M114" s="214"/>
      <c r="N114" s="214"/>
      <c r="O114" s="214"/>
      <c r="P114" s="214"/>
      <c r="Q114" s="214"/>
      <c r="R114" s="214"/>
      <c r="S114" s="214"/>
      <c r="T114" s="214"/>
      <c r="U114" s="214"/>
      <c r="V114" s="214"/>
      <c r="W114" s="214"/>
      <c r="X114" s="214"/>
      <c r="Y114" s="214"/>
      <c r="Z114" s="214"/>
      <c r="AA114" s="214"/>
      <c r="AB114" s="214"/>
      <c r="AC114" s="214"/>
    </row>
    <row r="115">
      <c r="A115" s="222"/>
      <c r="D115" s="369" t="s">
        <v>22</v>
      </c>
      <c r="E115" s="369">
        <v>2.0</v>
      </c>
      <c r="F115" s="370"/>
      <c r="G115" s="370"/>
      <c r="H115" s="372" t="s">
        <v>265</v>
      </c>
      <c r="I115" s="373" t="s">
        <v>23</v>
      </c>
      <c r="J115" s="214"/>
      <c r="K115" s="214"/>
      <c r="L115" s="214"/>
      <c r="M115" s="214"/>
      <c r="N115" s="214"/>
      <c r="O115" s="214"/>
      <c r="P115" s="214"/>
      <c r="Q115" s="214"/>
      <c r="R115" s="214"/>
      <c r="S115" s="214"/>
      <c r="T115" s="214"/>
      <c r="U115" s="214"/>
      <c r="V115" s="214"/>
      <c r="W115" s="214"/>
      <c r="X115" s="214"/>
      <c r="Y115" s="214"/>
      <c r="Z115" s="214"/>
      <c r="AA115" s="214"/>
      <c r="AB115" s="214"/>
      <c r="AC115" s="214"/>
    </row>
    <row r="116">
      <c r="A116" s="222"/>
      <c r="D116" s="279" t="s">
        <v>49</v>
      </c>
      <c r="E116" s="279">
        <v>2.0</v>
      </c>
      <c r="F116" s="280"/>
      <c r="G116" s="280"/>
      <c r="H116" s="281" t="s">
        <v>50</v>
      </c>
      <c r="I116" s="282" t="s">
        <v>43</v>
      </c>
      <c r="J116" s="214"/>
      <c r="K116" s="214"/>
      <c r="L116" s="214"/>
      <c r="M116" s="214"/>
      <c r="N116" s="214"/>
      <c r="O116" s="214"/>
      <c r="P116" s="214"/>
      <c r="Q116" s="214"/>
      <c r="R116" s="214"/>
      <c r="S116" s="214"/>
      <c r="T116" s="214"/>
      <c r="U116" s="214"/>
      <c r="V116" s="214"/>
      <c r="W116" s="214"/>
      <c r="X116" s="214"/>
      <c r="Y116" s="214"/>
      <c r="Z116" s="214"/>
      <c r="AA116" s="214"/>
      <c r="AB116" s="214"/>
      <c r="AC116" s="214"/>
    </row>
    <row r="117">
      <c r="A117" s="222"/>
      <c r="D117" s="279" t="s">
        <v>52</v>
      </c>
      <c r="E117" s="279">
        <v>1.0</v>
      </c>
      <c r="F117" s="280"/>
      <c r="G117" s="280"/>
      <c r="H117" s="281" t="s">
        <v>53</v>
      </c>
      <c r="I117" s="282" t="s">
        <v>43</v>
      </c>
      <c r="J117" s="214"/>
      <c r="K117" s="214"/>
      <c r="L117" s="214"/>
      <c r="M117" s="214"/>
      <c r="N117" s="214"/>
      <c r="O117" s="214"/>
      <c r="P117" s="214"/>
      <c r="Q117" s="214"/>
      <c r="R117" s="214"/>
      <c r="S117" s="214"/>
      <c r="T117" s="214"/>
      <c r="U117" s="214"/>
      <c r="V117" s="214"/>
      <c r="W117" s="214"/>
      <c r="X117" s="214"/>
      <c r="Y117" s="214"/>
      <c r="Z117" s="214"/>
      <c r="AA117" s="214"/>
      <c r="AB117" s="214"/>
      <c r="AC117" s="214"/>
    </row>
    <row r="118">
      <c r="A118" s="222"/>
      <c r="D118" s="232" t="s">
        <v>117</v>
      </c>
      <c r="E118" s="232">
        <v>1.0</v>
      </c>
      <c r="F118" s="233"/>
      <c r="G118" s="233"/>
      <c r="H118" s="234" t="s">
        <v>238</v>
      </c>
      <c r="I118" s="235" t="s">
        <v>105</v>
      </c>
      <c r="J118" s="214"/>
      <c r="K118" s="214"/>
      <c r="L118" s="214"/>
      <c r="M118" s="214"/>
      <c r="N118" s="214"/>
      <c r="O118" s="214"/>
      <c r="P118" s="214"/>
      <c r="Q118" s="214"/>
      <c r="R118" s="214"/>
      <c r="S118" s="214"/>
      <c r="T118" s="214"/>
      <c r="U118" s="214"/>
      <c r="V118" s="214"/>
      <c r="W118" s="214"/>
      <c r="X118" s="214"/>
      <c r="Y118" s="214"/>
      <c r="Z118" s="214"/>
      <c r="AA118" s="214"/>
      <c r="AB118" s="214"/>
      <c r="AC118" s="214"/>
    </row>
    <row r="119">
      <c r="A119" s="222"/>
      <c r="D119" s="232" t="s">
        <v>129</v>
      </c>
      <c r="E119" s="232">
        <v>1.0</v>
      </c>
      <c r="F119" s="254"/>
      <c r="G119" s="254"/>
      <c r="H119" s="234" t="s">
        <v>130</v>
      </c>
      <c r="I119" s="298" t="s">
        <v>105</v>
      </c>
      <c r="J119" s="214"/>
      <c r="K119" s="214"/>
      <c r="L119" s="214"/>
      <c r="M119" s="214"/>
      <c r="N119" s="214"/>
      <c r="O119" s="214"/>
      <c r="P119" s="214"/>
      <c r="Q119" s="214"/>
      <c r="R119" s="214"/>
      <c r="S119" s="214"/>
      <c r="T119" s="214"/>
      <c r="U119" s="214"/>
      <c r="V119" s="214"/>
      <c r="W119" s="214"/>
      <c r="X119" s="214"/>
      <c r="Y119" s="214"/>
      <c r="Z119" s="214"/>
      <c r="AA119" s="214"/>
      <c r="AB119" s="214"/>
      <c r="AC119" s="214"/>
    </row>
    <row r="120">
      <c r="A120" s="222"/>
      <c r="D120" s="286" t="s">
        <v>79</v>
      </c>
      <c r="E120" s="286">
        <v>2.0</v>
      </c>
      <c r="F120" s="261"/>
      <c r="G120" s="261"/>
      <c r="H120" s="262" t="s">
        <v>80</v>
      </c>
      <c r="I120" s="263" t="s">
        <v>65</v>
      </c>
      <c r="J120" s="214"/>
      <c r="K120" s="214"/>
      <c r="L120" s="214"/>
      <c r="M120" s="214"/>
      <c r="N120" s="214"/>
      <c r="O120" s="214"/>
      <c r="P120" s="214"/>
      <c r="Q120" s="214"/>
      <c r="R120" s="214"/>
      <c r="S120" s="214"/>
      <c r="T120" s="214"/>
      <c r="U120" s="214"/>
      <c r="V120" s="214"/>
      <c r="W120" s="214"/>
      <c r="X120" s="214"/>
      <c r="Y120" s="214"/>
      <c r="Z120" s="214"/>
      <c r="AA120" s="214"/>
      <c r="AB120" s="214"/>
      <c r="AC120" s="214"/>
    </row>
    <row r="121">
      <c r="A121" s="236"/>
      <c r="B121" s="237"/>
      <c r="C121" s="237"/>
      <c r="D121" s="320" t="s">
        <v>159</v>
      </c>
      <c r="E121" s="320">
        <v>1.0</v>
      </c>
      <c r="F121" s="321"/>
      <c r="G121" s="321"/>
      <c r="H121" s="322" t="s">
        <v>160</v>
      </c>
      <c r="I121" s="323" t="s">
        <v>144</v>
      </c>
      <c r="J121" s="214"/>
      <c r="K121" s="214"/>
      <c r="L121" s="214"/>
      <c r="M121" s="214"/>
      <c r="N121" s="214"/>
      <c r="O121" s="214"/>
      <c r="P121" s="214"/>
      <c r="Q121" s="214"/>
      <c r="R121" s="214"/>
      <c r="S121" s="214"/>
      <c r="T121" s="214"/>
      <c r="U121" s="214"/>
      <c r="V121" s="214"/>
      <c r="W121" s="214"/>
      <c r="X121" s="214"/>
      <c r="Y121" s="214"/>
      <c r="Z121" s="214"/>
      <c r="AA121" s="214"/>
      <c r="AB121" s="214"/>
      <c r="AC121" s="214"/>
    </row>
    <row r="122">
      <c r="A122" s="215" t="s">
        <v>285</v>
      </c>
      <c r="B122" s="216" t="s">
        <v>286</v>
      </c>
      <c r="C122" s="411">
        <f>sum(E122:E128)</f>
        <v>12</v>
      </c>
      <c r="D122" s="245" t="s">
        <v>55</v>
      </c>
      <c r="E122" s="245">
        <v>1.0</v>
      </c>
      <c r="F122" s="412"/>
      <c r="G122" s="412"/>
      <c r="H122" s="247" t="s">
        <v>56</v>
      </c>
      <c r="I122" s="248" t="s">
        <v>43</v>
      </c>
      <c r="J122" s="214"/>
      <c r="K122" s="214"/>
      <c r="L122" s="214"/>
      <c r="M122" s="214"/>
      <c r="N122" s="214"/>
      <c r="O122" s="214"/>
      <c r="P122" s="214"/>
      <c r="Q122" s="214"/>
      <c r="R122" s="214"/>
      <c r="S122" s="214"/>
      <c r="T122" s="214"/>
      <c r="U122" s="214"/>
      <c r="V122" s="214"/>
      <c r="W122" s="214"/>
      <c r="X122" s="214"/>
      <c r="Y122" s="214"/>
      <c r="Z122" s="214"/>
      <c r="AA122" s="214"/>
      <c r="AB122" s="214"/>
      <c r="AC122" s="214"/>
    </row>
    <row r="123">
      <c r="A123" s="222"/>
      <c r="D123" s="413" t="s">
        <v>287</v>
      </c>
      <c r="E123" s="286">
        <v>4.0</v>
      </c>
      <c r="F123" s="261"/>
      <c r="G123" s="261"/>
      <c r="H123" s="414" t="s">
        <v>288</v>
      </c>
      <c r="I123" s="263" t="s">
        <v>65</v>
      </c>
      <c r="J123" s="214"/>
      <c r="K123" s="214"/>
      <c r="L123" s="214"/>
      <c r="M123" s="214"/>
      <c r="N123" s="214"/>
      <c r="O123" s="214"/>
      <c r="P123" s="214"/>
      <c r="Q123" s="214"/>
      <c r="R123" s="214"/>
      <c r="S123" s="214"/>
      <c r="T123" s="214"/>
      <c r="U123" s="214"/>
      <c r="V123" s="214"/>
      <c r="W123" s="214"/>
      <c r="X123" s="214"/>
      <c r="Y123" s="214"/>
      <c r="Z123" s="214"/>
      <c r="AA123" s="214"/>
      <c r="AB123" s="214"/>
      <c r="AC123" s="214"/>
    </row>
    <row r="124">
      <c r="A124" s="222"/>
      <c r="D124" s="271" t="s">
        <v>162</v>
      </c>
      <c r="E124" s="271">
        <v>2.0</v>
      </c>
      <c r="F124" s="317"/>
      <c r="G124" s="272"/>
      <c r="H124" s="273" t="s">
        <v>164</v>
      </c>
      <c r="I124" s="274" t="s">
        <v>163</v>
      </c>
      <c r="J124" s="214"/>
      <c r="K124" s="214"/>
      <c r="L124" s="214"/>
      <c r="M124" s="214"/>
      <c r="N124" s="214"/>
      <c r="O124" s="214"/>
      <c r="P124" s="214"/>
      <c r="Q124" s="214"/>
      <c r="R124" s="214"/>
      <c r="S124" s="214"/>
      <c r="T124" s="214"/>
      <c r="U124" s="214"/>
      <c r="V124" s="214"/>
      <c r="W124" s="214"/>
      <c r="X124" s="214"/>
      <c r="Y124" s="214"/>
      <c r="Z124" s="214"/>
      <c r="AA124" s="214"/>
      <c r="AB124" s="214"/>
      <c r="AC124" s="214"/>
    </row>
    <row r="125">
      <c r="A125" s="222"/>
      <c r="D125" s="249" t="s">
        <v>150</v>
      </c>
      <c r="E125" s="249">
        <v>2.0</v>
      </c>
      <c r="F125" s="251"/>
      <c r="G125" s="251"/>
      <c r="H125" s="252" t="s">
        <v>151</v>
      </c>
      <c r="I125" s="415" t="s">
        <v>144</v>
      </c>
      <c r="J125" s="214"/>
      <c r="K125" s="214"/>
      <c r="L125" s="214"/>
      <c r="M125" s="214"/>
      <c r="N125" s="214"/>
      <c r="O125" s="214"/>
      <c r="P125" s="214"/>
      <c r="Q125" s="214"/>
      <c r="R125" s="214"/>
      <c r="S125" s="214"/>
      <c r="T125" s="214"/>
      <c r="U125" s="214"/>
      <c r="V125" s="214"/>
      <c r="W125" s="214"/>
      <c r="X125" s="214"/>
      <c r="Y125" s="214"/>
      <c r="Z125" s="214"/>
      <c r="AA125" s="214"/>
      <c r="AB125" s="214"/>
      <c r="AC125" s="214"/>
    </row>
    <row r="126">
      <c r="A126" s="222"/>
      <c r="D126" s="232" t="s">
        <v>248</v>
      </c>
      <c r="E126" s="232">
        <v>1.0</v>
      </c>
      <c r="F126" s="233"/>
      <c r="G126" s="233"/>
      <c r="H126" s="234" t="s">
        <v>249</v>
      </c>
      <c r="I126" s="235" t="s">
        <v>105</v>
      </c>
      <c r="J126" s="214"/>
      <c r="K126" s="214"/>
      <c r="L126" s="214"/>
      <c r="M126" s="214"/>
      <c r="N126" s="214"/>
      <c r="O126" s="214"/>
      <c r="P126" s="214"/>
      <c r="Q126" s="214"/>
      <c r="R126" s="214"/>
      <c r="S126" s="214"/>
      <c r="T126" s="214"/>
      <c r="U126" s="214"/>
      <c r="V126" s="214"/>
      <c r="W126" s="214"/>
      <c r="X126" s="214"/>
      <c r="Y126" s="214"/>
      <c r="Z126" s="214"/>
      <c r="AA126" s="214"/>
      <c r="AB126" s="214"/>
      <c r="AC126" s="214"/>
    </row>
    <row r="127">
      <c r="A127" s="222"/>
      <c r="D127" s="339" t="s">
        <v>137</v>
      </c>
      <c r="E127" s="339">
        <v>1.0</v>
      </c>
      <c r="F127" s="254"/>
      <c r="G127" s="233"/>
      <c r="H127" s="340" t="s">
        <v>138</v>
      </c>
      <c r="I127" s="298" t="s">
        <v>105</v>
      </c>
      <c r="J127" s="214"/>
      <c r="K127" s="214"/>
      <c r="L127" s="214"/>
      <c r="M127" s="214"/>
      <c r="N127" s="214"/>
      <c r="O127" s="214"/>
      <c r="P127" s="214"/>
      <c r="Q127" s="214"/>
      <c r="R127" s="214"/>
      <c r="S127" s="214"/>
      <c r="T127" s="214"/>
      <c r="U127" s="214"/>
      <c r="V127" s="214"/>
      <c r="W127" s="214"/>
      <c r="X127" s="214"/>
      <c r="Y127" s="214"/>
      <c r="Z127" s="214"/>
      <c r="AA127" s="214"/>
      <c r="AB127" s="214"/>
      <c r="AC127" s="214"/>
    </row>
    <row r="128">
      <c r="A128" s="236"/>
      <c r="B128" s="237"/>
      <c r="C128" s="237"/>
      <c r="D128" s="232" t="s">
        <v>120</v>
      </c>
      <c r="E128" s="232">
        <v>1.0</v>
      </c>
      <c r="F128" s="233"/>
      <c r="G128" s="233"/>
      <c r="H128" s="234" t="s">
        <v>289</v>
      </c>
      <c r="I128" s="235" t="s">
        <v>105</v>
      </c>
      <c r="J128" s="214"/>
      <c r="K128" s="214"/>
      <c r="L128" s="214"/>
      <c r="M128" s="214"/>
      <c r="N128" s="214"/>
      <c r="O128" s="214"/>
      <c r="P128" s="214"/>
      <c r="Q128" s="214"/>
      <c r="R128" s="214"/>
      <c r="S128" s="214"/>
      <c r="T128" s="214"/>
      <c r="U128" s="214"/>
      <c r="V128" s="214"/>
      <c r="W128" s="214"/>
      <c r="X128" s="214"/>
      <c r="Y128" s="214"/>
      <c r="Z128" s="214"/>
      <c r="AA128" s="214"/>
      <c r="AB128" s="214"/>
      <c r="AC128" s="214"/>
    </row>
    <row r="129">
      <c r="A129" s="242" t="s">
        <v>290</v>
      </c>
      <c r="B129" s="216" t="s">
        <v>291</v>
      </c>
      <c r="C129" s="411">
        <f>sum(E129:E134)</f>
        <v>12</v>
      </c>
      <c r="D129" s="378" t="s">
        <v>97</v>
      </c>
      <c r="E129" s="378">
        <v>2.0</v>
      </c>
      <c r="F129" s="379"/>
      <c r="G129" s="379"/>
      <c r="H129" s="380" t="s">
        <v>99</v>
      </c>
      <c r="I129" s="381" t="s">
        <v>98</v>
      </c>
      <c r="J129" s="214"/>
      <c r="K129" s="214"/>
      <c r="L129" s="214"/>
      <c r="M129" s="214"/>
      <c r="N129" s="214"/>
      <c r="O129" s="214"/>
      <c r="P129" s="214"/>
      <c r="Q129" s="214"/>
      <c r="R129" s="214"/>
      <c r="S129" s="214"/>
      <c r="T129" s="214"/>
      <c r="U129" s="214"/>
      <c r="V129" s="214"/>
      <c r="W129" s="214"/>
      <c r="X129" s="214"/>
      <c r="Y129" s="214"/>
      <c r="Z129" s="214"/>
      <c r="AA129" s="214"/>
      <c r="AB129" s="214"/>
      <c r="AC129" s="214"/>
    </row>
    <row r="130">
      <c r="A130" s="222"/>
      <c r="D130" s="227" t="s">
        <v>254</v>
      </c>
      <c r="E130" s="227">
        <v>2.0</v>
      </c>
      <c r="F130" s="228"/>
      <c r="G130" s="228"/>
      <c r="H130" s="229" t="s">
        <v>255</v>
      </c>
      <c r="I130" s="230" t="s">
        <v>7</v>
      </c>
      <c r="J130" s="214"/>
      <c r="K130" s="214"/>
      <c r="L130" s="214"/>
      <c r="M130" s="214"/>
      <c r="N130" s="214"/>
      <c r="O130" s="214"/>
      <c r="P130" s="214"/>
      <c r="Q130" s="214"/>
      <c r="R130" s="214"/>
      <c r="S130" s="214"/>
      <c r="T130" s="214"/>
      <c r="U130" s="214"/>
      <c r="V130" s="214"/>
      <c r="W130" s="214"/>
      <c r="X130" s="214"/>
      <c r="Y130" s="214"/>
      <c r="Z130" s="214"/>
      <c r="AA130" s="214"/>
      <c r="AB130" s="214"/>
      <c r="AC130" s="214"/>
    </row>
    <row r="131">
      <c r="A131" s="222"/>
      <c r="D131" s="271" t="s">
        <v>162</v>
      </c>
      <c r="E131" s="271">
        <v>2.0</v>
      </c>
      <c r="F131" s="317"/>
      <c r="G131" s="272"/>
      <c r="H131" s="273" t="s">
        <v>164</v>
      </c>
      <c r="I131" s="274" t="s">
        <v>163</v>
      </c>
      <c r="J131" s="214"/>
      <c r="K131" s="214"/>
      <c r="L131" s="214"/>
      <c r="M131" s="214"/>
      <c r="N131" s="214"/>
      <c r="O131" s="214"/>
      <c r="P131" s="214"/>
      <c r="Q131" s="214"/>
      <c r="R131" s="214"/>
      <c r="S131" s="214"/>
      <c r="T131" s="214"/>
      <c r="U131" s="214"/>
      <c r="V131" s="214"/>
      <c r="W131" s="214"/>
      <c r="X131" s="214"/>
      <c r="Y131" s="214"/>
      <c r="Z131" s="214"/>
      <c r="AA131" s="214"/>
      <c r="AB131" s="214"/>
      <c r="AC131" s="214"/>
    </row>
    <row r="132">
      <c r="A132" s="222"/>
      <c r="D132" s="223" t="s">
        <v>182</v>
      </c>
      <c r="E132" s="223">
        <v>3.0</v>
      </c>
      <c r="F132" s="224"/>
      <c r="G132" s="224"/>
      <c r="H132" s="225" t="s">
        <v>183</v>
      </c>
      <c r="I132" s="226" t="s">
        <v>176</v>
      </c>
      <c r="J132" s="214"/>
      <c r="K132" s="214"/>
      <c r="L132" s="214"/>
      <c r="M132" s="214"/>
      <c r="N132" s="214"/>
      <c r="O132" s="214"/>
      <c r="P132" s="214"/>
      <c r="Q132" s="214"/>
      <c r="R132" s="214"/>
      <c r="S132" s="214"/>
      <c r="T132" s="214"/>
      <c r="U132" s="214"/>
      <c r="V132" s="214"/>
      <c r="W132" s="214"/>
      <c r="X132" s="214"/>
      <c r="Y132" s="214"/>
      <c r="Z132" s="214"/>
      <c r="AA132" s="214"/>
      <c r="AB132" s="214"/>
      <c r="AC132" s="214"/>
    </row>
    <row r="133">
      <c r="A133" s="222"/>
      <c r="D133" s="299" t="s">
        <v>159</v>
      </c>
      <c r="E133" s="299">
        <v>1.0</v>
      </c>
      <c r="F133" s="251"/>
      <c r="G133" s="251"/>
      <c r="H133" s="312" t="s">
        <v>145</v>
      </c>
      <c r="I133" s="253" t="s">
        <v>144</v>
      </c>
      <c r="J133" s="214"/>
      <c r="K133" s="214"/>
      <c r="L133" s="214"/>
      <c r="M133" s="214"/>
      <c r="N133" s="214"/>
      <c r="O133" s="214"/>
      <c r="P133" s="214"/>
      <c r="Q133" s="214"/>
      <c r="R133" s="214"/>
      <c r="S133" s="214"/>
      <c r="T133" s="214"/>
      <c r="U133" s="214"/>
      <c r="V133" s="214"/>
      <c r="W133" s="214"/>
      <c r="X133" s="214"/>
      <c r="Y133" s="214"/>
      <c r="Z133" s="214"/>
      <c r="AA133" s="214"/>
      <c r="AB133" s="214"/>
      <c r="AC133" s="214"/>
    </row>
    <row r="134">
      <c r="A134" s="236"/>
      <c r="B134" s="237"/>
      <c r="C134" s="237"/>
      <c r="D134" s="238" t="s">
        <v>229</v>
      </c>
      <c r="E134" s="238">
        <v>2.0</v>
      </c>
      <c r="F134" s="239"/>
      <c r="G134" s="239"/>
      <c r="H134" s="262" t="s">
        <v>69</v>
      </c>
      <c r="I134" s="241" t="s">
        <v>65</v>
      </c>
      <c r="J134" s="214"/>
      <c r="K134" s="214"/>
      <c r="L134" s="214"/>
      <c r="M134" s="214"/>
      <c r="N134" s="214"/>
      <c r="O134" s="214"/>
      <c r="P134" s="214"/>
      <c r="Q134" s="214"/>
      <c r="R134" s="214"/>
      <c r="S134" s="214"/>
      <c r="T134" s="214"/>
      <c r="U134" s="214"/>
      <c r="V134" s="214"/>
      <c r="W134" s="214"/>
      <c r="X134" s="214"/>
      <c r="Y134" s="214"/>
      <c r="Z134" s="214"/>
      <c r="AA134" s="214"/>
      <c r="AB134" s="214"/>
      <c r="AC134" s="214"/>
    </row>
    <row r="135">
      <c r="A135" s="242" t="s">
        <v>292</v>
      </c>
      <c r="B135" s="243" t="s">
        <v>293</v>
      </c>
      <c r="C135" s="416">
        <f>sum(E135:E140)</f>
        <v>12</v>
      </c>
      <c r="D135" s="245" t="s">
        <v>52</v>
      </c>
      <c r="E135" s="245">
        <v>1.0</v>
      </c>
      <c r="F135" s="412"/>
      <c r="G135" s="246"/>
      <c r="H135" s="247" t="s">
        <v>53</v>
      </c>
      <c r="I135" s="248" t="s">
        <v>43</v>
      </c>
      <c r="J135" s="214"/>
      <c r="K135" s="214"/>
      <c r="L135" s="214"/>
      <c r="M135" s="214"/>
      <c r="N135" s="214"/>
      <c r="O135" s="214"/>
      <c r="P135" s="214"/>
      <c r="Q135" s="214"/>
      <c r="R135" s="214"/>
      <c r="S135" s="214"/>
      <c r="T135" s="214"/>
      <c r="U135" s="214"/>
      <c r="V135" s="214"/>
      <c r="W135" s="214"/>
      <c r="X135" s="214"/>
      <c r="Y135" s="214"/>
      <c r="Z135" s="214"/>
      <c r="AA135" s="214"/>
      <c r="AB135" s="214"/>
      <c r="AC135" s="214"/>
    </row>
    <row r="136">
      <c r="A136" s="222"/>
      <c r="D136" s="227" t="s">
        <v>11</v>
      </c>
      <c r="E136" s="227">
        <v>2.0</v>
      </c>
      <c r="F136" s="228"/>
      <c r="G136" s="228"/>
      <c r="H136" s="229" t="s">
        <v>294</v>
      </c>
      <c r="I136" s="230" t="s">
        <v>7</v>
      </c>
      <c r="J136" s="214"/>
      <c r="K136" s="214"/>
      <c r="L136" s="214"/>
      <c r="M136" s="214"/>
      <c r="N136" s="214"/>
      <c r="O136" s="214"/>
      <c r="P136" s="214"/>
      <c r="Q136" s="214"/>
      <c r="R136" s="214"/>
      <c r="S136" s="214"/>
      <c r="T136" s="214"/>
      <c r="U136" s="214"/>
      <c r="V136" s="214"/>
      <c r="W136" s="214"/>
      <c r="X136" s="214"/>
      <c r="Y136" s="214"/>
      <c r="Z136" s="214"/>
      <c r="AA136" s="214"/>
      <c r="AB136" s="214"/>
      <c r="AC136" s="214"/>
    </row>
    <row r="137">
      <c r="A137" s="222"/>
      <c r="D137" s="333" t="s">
        <v>97</v>
      </c>
      <c r="E137" s="333">
        <v>2.0</v>
      </c>
      <c r="F137" s="276"/>
      <c r="G137" s="276"/>
      <c r="H137" s="334" t="s">
        <v>99</v>
      </c>
      <c r="I137" s="278" t="s">
        <v>98</v>
      </c>
      <c r="J137" s="214"/>
      <c r="K137" s="214"/>
      <c r="L137" s="214"/>
      <c r="M137" s="214"/>
      <c r="N137" s="214"/>
      <c r="O137" s="214"/>
      <c r="P137" s="214"/>
      <c r="Q137" s="214"/>
      <c r="R137" s="214"/>
      <c r="S137" s="214"/>
      <c r="T137" s="214"/>
      <c r="U137" s="214"/>
      <c r="V137" s="214"/>
      <c r="W137" s="214"/>
      <c r="X137" s="214"/>
      <c r="Y137" s="214"/>
      <c r="Z137" s="214"/>
      <c r="AA137" s="214"/>
      <c r="AB137" s="214"/>
      <c r="AC137" s="214"/>
    </row>
    <row r="138">
      <c r="A138" s="222"/>
      <c r="D138" s="232" t="s">
        <v>239</v>
      </c>
      <c r="E138" s="232">
        <v>1.0</v>
      </c>
      <c r="F138" s="254"/>
      <c r="G138" s="233"/>
      <c r="H138" s="234" t="s">
        <v>115</v>
      </c>
      <c r="I138" s="235" t="s">
        <v>105</v>
      </c>
      <c r="J138" s="214"/>
      <c r="K138" s="214"/>
      <c r="L138" s="214"/>
      <c r="M138" s="214"/>
      <c r="N138" s="214"/>
      <c r="O138" s="214"/>
      <c r="P138" s="214"/>
      <c r="Q138" s="214"/>
      <c r="R138" s="214"/>
      <c r="S138" s="214"/>
      <c r="T138" s="214"/>
      <c r="U138" s="214"/>
      <c r="V138" s="214"/>
      <c r="W138" s="214"/>
      <c r="X138" s="214"/>
      <c r="Y138" s="214"/>
      <c r="Z138" s="214"/>
      <c r="AA138" s="214"/>
      <c r="AB138" s="214"/>
      <c r="AC138" s="214"/>
    </row>
    <row r="139">
      <c r="A139" s="222"/>
      <c r="D139" s="341" t="s">
        <v>175</v>
      </c>
      <c r="E139" s="341">
        <v>4.0</v>
      </c>
      <c r="F139" s="224"/>
      <c r="G139" s="342"/>
      <c r="H139" s="343" t="s">
        <v>232</v>
      </c>
      <c r="I139" s="226" t="s">
        <v>176</v>
      </c>
      <c r="J139" s="214"/>
      <c r="K139" s="214"/>
      <c r="L139" s="214"/>
      <c r="M139" s="214"/>
      <c r="N139" s="214"/>
      <c r="O139" s="214"/>
      <c r="P139" s="214"/>
      <c r="Q139" s="214"/>
      <c r="R139" s="214"/>
      <c r="S139" s="214"/>
      <c r="T139" s="214"/>
      <c r="U139" s="214"/>
      <c r="V139" s="214"/>
      <c r="W139" s="214"/>
      <c r="X139" s="214"/>
      <c r="Y139" s="214"/>
      <c r="Z139" s="214"/>
      <c r="AA139" s="214"/>
      <c r="AB139" s="214"/>
      <c r="AC139" s="214"/>
    </row>
    <row r="140">
      <c r="A140" s="236"/>
      <c r="B140" s="237"/>
      <c r="C140" s="237"/>
      <c r="D140" s="271" t="s">
        <v>162</v>
      </c>
      <c r="E140" s="271">
        <v>2.0</v>
      </c>
      <c r="F140" s="317"/>
      <c r="G140" s="317"/>
      <c r="H140" s="273" t="s">
        <v>164</v>
      </c>
      <c r="I140" s="393" t="s">
        <v>163</v>
      </c>
      <c r="J140" s="214"/>
      <c r="K140" s="214"/>
      <c r="L140" s="214"/>
      <c r="M140" s="214"/>
      <c r="N140" s="214"/>
      <c r="O140" s="214"/>
      <c r="P140" s="214"/>
      <c r="Q140" s="214"/>
      <c r="R140" s="214"/>
      <c r="S140" s="214"/>
      <c r="T140" s="214"/>
      <c r="U140" s="214"/>
      <c r="V140" s="214"/>
      <c r="W140" s="214"/>
      <c r="X140" s="214"/>
      <c r="Y140" s="214"/>
      <c r="Z140" s="214"/>
      <c r="AA140" s="214"/>
      <c r="AB140" s="214"/>
      <c r="AC140" s="214"/>
    </row>
    <row r="141">
      <c r="A141" s="215" t="s">
        <v>295</v>
      </c>
      <c r="B141" s="243" t="s">
        <v>296</v>
      </c>
      <c r="C141" s="244">
        <f>sum(E141:E146)</f>
        <v>12</v>
      </c>
      <c r="D141" s="390" t="s">
        <v>52</v>
      </c>
      <c r="E141" s="390">
        <v>1.0</v>
      </c>
      <c r="F141" s="246"/>
      <c r="G141" s="246"/>
      <c r="H141" s="391" t="s">
        <v>53</v>
      </c>
      <c r="I141" s="417" t="s">
        <v>43</v>
      </c>
      <c r="J141" s="214"/>
      <c r="K141" s="214"/>
      <c r="L141" s="214"/>
      <c r="M141" s="214"/>
      <c r="N141" s="214"/>
      <c r="O141" s="214"/>
      <c r="P141" s="214"/>
      <c r="Q141" s="214"/>
      <c r="R141" s="214"/>
      <c r="S141" s="214"/>
      <c r="T141" s="214"/>
      <c r="U141" s="214"/>
      <c r="V141" s="214"/>
      <c r="W141" s="214"/>
      <c r="X141" s="214"/>
      <c r="Y141" s="214"/>
      <c r="Z141" s="214"/>
      <c r="AA141" s="214"/>
      <c r="AB141" s="214"/>
      <c r="AC141" s="214"/>
    </row>
    <row r="142">
      <c r="A142" s="222"/>
      <c r="D142" s="227" t="s">
        <v>297</v>
      </c>
      <c r="E142" s="227">
        <v>3.0</v>
      </c>
      <c r="F142" s="228"/>
      <c r="G142" s="228"/>
      <c r="H142" s="229" t="s">
        <v>16</v>
      </c>
      <c r="I142" s="230" t="s">
        <v>7</v>
      </c>
      <c r="J142" s="214"/>
      <c r="K142" s="214"/>
      <c r="L142" s="214"/>
      <c r="M142" s="214"/>
      <c r="N142" s="214"/>
      <c r="O142" s="214"/>
      <c r="P142" s="214"/>
      <c r="Q142" s="214"/>
      <c r="R142" s="214"/>
      <c r="S142" s="214"/>
      <c r="T142" s="214"/>
      <c r="U142" s="214"/>
      <c r="V142" s="214"/>
      <c r="W142" s="214"/>
      <c r="X142" s="214"/>
      <c r="Y142" s="214"/>
      <c r="Z142" s="214"/>
      <c r="AA142" s="214"/>
      <c r="AB142" s="214"/>
      <c r="AC142" s="214"/>
    </row>
    <row r="143">
      <c r="A143" s="222"/>
      <c r="D143" s="232" t="s">
        <v>117</v>
      </c>
      <c r="E143" s="232">
        <v>1.0</v>
      </c>
      <c r="F143" s="233"/>
      <c r="G143" s="233"/>
      <c r="H143" s="234" t="s">
        <v>238</v>
      </c>
      <c r="I143" s="235" t="s">
        <v>105</v>
      </c>
      <c r="J143" s="214"/>
      <c r="K143" s="214"/>
      <c r="L143" s="214"/>
      <c r="M143" s="214"/>
      <c r="N143" s="214"/>
      <c r="O143" s="214"/>
      <c r="P143" s="214"/>
      <c r="Q143" s="214"/>
      <c r="R143" s="214"/>
      <c r="S143" s="214"/>
      <c r="T143" s="214"/>
      <c r="U143" s="214"/>
      <c r="V143" s="214"/>
      <c r="W143" s="214"/>
      <c r="X143" s="214"/>
      <c r="Y143" s="214"/>
      <c r="Z143" s="214"/>
      <c r="AA143" s="214"/>
      <c r="AB143" s="214"/>
      <c r="AC143" s="214"/>
    </row>
    <row r="144">
      <c r="A144" s="222"/>
      <c r="D144" s="271" t="s">
        <v>162</v>
      </c>
      <c r="E144" s="271">
        <v>2.0</v>
      </c>
      <c r="F144" s="317"/>
      <c r="G144" s="272"/>
      <c r="H144" s="273" t="s">
        <v>164</v>
      </c>
      <c r="I144" s="274" t="s">
        <v>163</v>
      </c>
      <c r="J144" s="214"/>
      <c r="K144" s="214"/>
      <c r="L144" s="214"/>
      <c r="M144" s="214"/>
      <c r="N144" s="214"/>
      <c r="O144" s="214"/>
      <c r="P144" s="214"/>
      <c r="Q144" s="214"/>
      <c r="R144" s="214"/>
      <c r="S144" s="214"/>
      <c r="T144" s="214"/>
      <c r="U144" s="214"/>
      <c r="V144" s="214"/>
      <c r="W144" s="214"/>
      <c r="X144" s="214"/>
      <c r="Y144" s="214"/>
      <c r="Z144" s="214"/>
      <c r="AA144" s="214"/>
      <c r="AB144" s="214"/>
      <c r="AC144" s="214"/>
    </row>
    <row r="145">
      <c r="A145" s="222"/>
      <c r="D145" s="223" t="s">
        <v>179</v>
      </c>
      <c r="E145" s="223">
        <v>2.0</v>
      </c>
      <c r="F145" s="342"/>
      <c r="G145" s="342"/>
      <c r="H145" s="225" t="s">
        <v>180</v>
      </c>
      <c r="I145" s="344" t="s">
        <v>176</v>
      </c>
      <c r="J145" s="214"/>
      <c r="K145" s="214"/>
      <c r="L145" s="214"/>
      <c r="M145" s="214"/>
      <c r="N145" s="214"/>
      <c r="O145" s="214"/>
      <c r="P145" s="214"/>
      <c r="Q145" s="214"/>
      <c r="R145" s="214"/>
      <c r="S145" s="214"/>
      <c r="T145" s="214"/>
      <c r="U145" s="214"/>
      <c r="V145" s="214"/>
      <c r="W145" s="214"/>
      <c r="X145" s="214"/>
      <c r="Y145" s="214"/>
      <c r="Z145" s="214"/>
      <c r="AA145" s="214"/>
      <c r="AB145" s="214"/>
      <c r="AC145" s="214"/>
    </row>
    <row r="146">
      <c r="A146" s="236"/>
      <c r="B146" s="237"/>
      <c r="C146" s="237"/>
      <c r="D146" s="286" t="s">
        <v>64</v>
      </c>
      <c r="E146" s="286">
        <v>3.0</v>
      </c>
      <c r="F146" s="318"/>
      <c r="G146" s="261"/>
      <c r="H146" s="262" t="s">
        <v>66</v>
      </c>
      <c r="I146" s="263" t="s">
        <v>65</v>
      </c>
      <c r="J146" s="214"/>
      <c r="K146" s="214"/>
      <c r="L146" s="214"/>
      <c r="M146" s="214"/>
      <c r="N146" s="214"/>
      <c r="O146" s="214"/>
      <c r="P146" s="214"/>
      <c r="Q146" s="214"/>
      <c r="R146" s="214"/>
      <c r="S146" s="214"/>
      <c r="T146" s="214"/>
      <c r="U146" s="214"/>
      <c r="V146" s="214"/>
      <c r="W146" s="214"/>
      <c r="X146" s="214"/>
      <c r="Y146" s="214"/>
      <c r="Z146" s="214"/>
      <c r="AA146" s="214"/>
      <c r="AB146" s="214"/>
      <c r="AC146" s="214"/>
    </row>
    <row r="147">
      <c r="A147" s="215" t="s">
        <v>298</v>
      </c>
      <c r="B147" s="216" t="s">
        <v>299</v>
      </c>
      <c r="C147" s="291">
        <f>sum(E147:E152)</f>
        <v>11</v>
      </c>
      <c r="D147" s="245" t="s">
        <v>49</v>
      </c>
      <c r="E147" s="245">
        <v>2.0</v>
      </c>
      <c r="F147" s="412"/>
      <c r="G147" s="246"/>
      <c r="H147" s="247" t="s">
        <v>50</v>
      </c>
      <c r="I147" s="248" t="s">
        <v>43</v>
      </c>
      <c r="J147" s="214"/>
      <c r="K147" s="214"/>
      <c r="L147" s="214"/>
      <c r="M147" s="214"/>
      <c r="N147" s="214"/>
      <c r="O147" s="214"/>
      <c r="P147" s="214"/>
      <c r="Q147" s="214"/>
      <c r="R147" s="214"/>
      <c r="S147" s="214"/>
      <c r="T147" s="214"/>
      <c r="U147" s="214"/>
      <c r="V147" s="214"/>
      <c r="W147" s="214"/>
      <c r="X147" s="214"/>
      <c r="Y147" s="214"/>
      <c r="Z147" s="214"/>
      <c r="AA147" s="214"/>
      <c r="AB147" s="214"/>
      <c r="AC147" s="214"/>
    </row>
    <row r="148">
      <c r="A148" s="222"/>
      <c r="D148" s="279" t="s">
        <v>55</v>
      </c>
      <c r="E148" s="279">
        <v>1.0</v>
      </c>
      <c r="F148" s="280"/>
      <c r="G148" s="280"/>
      <c r="H148" s="281" t="s">
        <v>56</v>
      </c>
      <c r="I148" s="282" t="s">
        <v>43</v>
      </c>
      <c r="J148" s="214"/>
      <c r="K148" s="214"/>
      <c r="L148" s="214"/>
      <c r="M148" s="214"/>
      <c r="N148" s="214"/>
      <c r="O148" s="214"/>
      <c r="P148" s="214"/>
      <c r="Q148" s="214"/>
      <c r="R148" s="214"/>
      <c r="S148" s="214"/>
      <c r="T148" s="214"/>
      <c r="U148" s="214"/>
      <c r="V148" s="214"/>
      <c r="W148" s="214"/>
      <c r="X148" s="214"/>
      <c r="Y148" s="214"/>
      <c r="Z148" s="214"/>
      <c r="AA148" s="214"/>
      <c r="AB148" s="214"/>
      <c r="AC148" s="214"/>
    </row>
    <row r="149">
      <c r="A149" s="222"/>
      <c r="D149" s="286" t="s">
        <v>79</v>
      </c>
      <c r="E149" s="286">
        <v>2.0</v>
      </c>
      <c r="F149" s="261"/>
      <c r="G149" s="261"/>
      <c r="H149" s="262" t="s">
        <v>80</v>
      </c>
      <c r="I149" s="263" t="s">
        <v>65</v>
      </c>
      <c r="J149" s="214"/>
      <c r="K149" s="214"/>
      <c r="L149" s="214"/>
      <c r="M149" s="214"/>
      <c r="N149" s="214"/>
      <c r="O149" s="214"/>
      <c r="P149" s="214"/>
      <c r="Q149" s="214"/>
      <c r="R149" s="214"/>
      <c r="S149" s="214"/>
      <c r="T149" s="214"/>
      <c r="U149" s="214"/>
      <c r="V149" s="214"/>
      <c r="W149" s="214"/>
      <c r="X149" s="214"/>
      <c r="Y149" s="214"/>
      <c r="Z149" s="214"/>
      <c r="AA149" s="214"/>
      <c r="AB149" s="214"/>
      <c r="AC149" s="214"/>
    </row>
    <row r="150">
      <c r="A150" s="222"/>
      <c r="D150" s="333" t="s">
        <v>97</v>
      </c>
      <c r="E150" s="333">
        <v>2.0</v>
      </c>
      <c r="F150" s="276"/>
      <c r="G150" s="276"/>
      <c r="H150" s="334" t="s">
        <v>99</v>
      </c>
      <c r="I150" s="297" t="s">
        <v>98</v>
      </c>
      <c r="J150" s="214"/>
      <c r="K150" s="214"/>
      <c r="L150" s="214"/>
      <c r="M150" s="214"/>
      <c r="N150" s="214"/>
      <c r="O150" s="214"/>
      <c r="P150" s="214"/>
      <c r="Q150" s="214"/>
      <c r="R150" s="214"/>
      <c r="S150" s="214"/>
      <c r="T150" s="214"/>
      <c r="U150" s="214"/>
      <c r="V150" s="214"/>
      <c r="W150" s="214"/>
      <c r="X150" s="214"/>
      <c r="Y150" s="214"/>
      <c r="Z150" s="214"/>
      <c r="AA150" s="214"/>
      <c r="AB150" s="214"/>
      <c r="AC150" s="214"/>
    </row>
    <row r="151">
      <c r="A151" s="222"/>
      <c r="D151" s="402" t="s">
        <v>162</v>
      </c>
      <c r="E151" s="402">
        <v>2.0</v>
      </c>
      <c r="F151" s="317"/>
      <c r="G151" s="272"/>
      <c r="H151" s="403" t="s">
        <v>164</v>
      </c>
      <c r="I151" s="393" t="s">
        <v>163</v>
      </c>
      <c r="J151" s="214"/>
      <c r="K151" s="214"/>
      <c r="L151" s="214"/>
      <c r="M151" s="214"/>
      <c r="N151" s="214"/>
      <c r="O151" s="214"/>
      <c r="P151" s="214"/>
      <c r="Q151" s="214"/>
      <c r="R151" s="214"/>
      <c r="S151" s="214"/>
      <c r="T151" s="214"/>
      <c r="U151" s="214"/>
      <c r="V151" s="214"/>
      <c r="W151" s="214"/>
      <c r="X151" s="214"/>
      <c r="Y151" s="214"/>
      <c r="Z151" s="214"/>
      <c r="AA151" s="214"/>
      <c r="AB151" s="214"/>
      <c r="AC151" s="214"/>
    </row>
    <row r="152">
      <c r="A152" s="236"/>
      <c r="B152" s="237"/>
      <c r="C152" s="237"/>
      <c r="D152" s="418" t="s">
        <v>22</v>
      </c>
      <c r="E152" s="418">
        <v>2.0</v>
      </c>
      <c r="F152" s="419"/>
      <c r="G152" s="419"/>
      <c r="H152" s="420" t="s">
        <v>265</v>
      </c>
      <c r="I152" s="421" t="s">
        <v>23</v>
      </c>
      <c r="J152" s="214"/>
      <c r="K152" s="214"/>
      <c r="L152" s="214"/>
      <c r="M152" s="214"/>
      <c r="N152" s="214"/>
      <c r="O152" s="214"/>
      <c r="P152" s="214"/>
      <c r="Q152" s="214"/>
      <c r="R152" s="214"/>
      <c r="S152" s="214"/>
      <c r="T152" s="214"/>
      <c r="U152" s="214"/>
      <c r="V152" s="214"/>
      <c r="W152" s="214"/>
      <c r="X152" s="214"/>
      <c r="Y152" s="214"/>
      <c r="Z152" s="214"/>
      <c r="AA152" s="214"/>
      <c r="AB152" s="214"/>
      <c r="AC152" s="214"/>
    </row>
    <row r="153">
      <c r="A153" s="364" t="s">
        <v>300</v>
      </c>
      <c r="B153" s="422" t="s">
        <v>301</v>
      </c>
      <c r="C153" s="423">
        <f>sum(E153:E158)</f>
        <v>11</v>
      </c>
      <c r="D153" s="279" t="s">
        <v>55</v>
      </c>
      <c r="E153" s="279">
        <v>1.0</v>
      </c>
      <c r="F153" s="280"/>
      <c r="G153" s="316"/>
      <c r="H153" s="281" t="s">
        <v>56</v>
      </c>
      <c r="I153" s="282" t="s">
        <v>43</v>
      </c>
      <c r="J153" s="214"/>
      <c r="K153" s="214"/>
      <c r="L153" s="214"/>
      <c r="M153" s="214"/>
      <c r="N153" s="214"/>
      <c r="O153" s="214"/>
      <c r="P153" s="214"/>
      <c r="Q153" s="214"/>
      <c r="R153" s="214"/>
      <c r="S153" s="214"/>
      <c r="T153" s="214"/>
      <c r="U153" s="214"/>
      <c r="V153" s="214"/>
      <c r="W153" s="214"/>
      <c r="X153" s="214"/>
      <c r="Y153" s="214"/>
      <c r="Z153" s="214"/>
      <c r="AA153" s="214"/>
      <c r="AB153" s="214"/>
      <c r="AC153" s="214"/>
    </row>
    <row r="154">
      <c r="A154" s="222"/>
      <c r="D154" s="369" t="s">
        <v>22</v>
      </c>
      <c r="E154" s="369">
        <v>2.0</v>
      </c>
      <c r="F154" s="370"/>
      <c r="G154" s="370"/>
      <c r="H154" s="372" t="s">
        <v>265</v>
      </c>
      <c r="I154" s="424" t="s">
        <v>23</v>
      </c>
      <c r="J154" s="214"/>
      <c r="K154" s="214"/>
      <c r="L154" s="214"/>
      <c r="M154" s="214"/>
      <c r="N154" s="214"/>
      <c r="O154" s="214"/>
      <c r="P154" s="214"/>
      <c r="Q154" s="214"/>
      <c r="R154" s="214"/>
      <c r="S154" s="214"/>
      <c r="T154" s="214"/>
      <c r="U154" s="214"/>
      <c r="V154" s="214"/>
      <c r="W154" s="214"/>
      <c r="X154" s="214"/>
      <c r="Y154" s="214"/>
      <c r="Z154" s="214"/>
      <c r="AA154" s="214"/>
      <c r="AB154" s="214"/>
      <c r="AC154" s="214"/>
    </row>
    <row r="155">
      <c r="A155" s="222"/>
      <c r="D155" s="279" t="s">
        <v>58</v>
      </c>
      <c r="E155" s="279">
        <v>1.0</v>
      </c>
      <c r="F155" s="280"/>
      <c r="G155" s="280"/>
      <c r="H155" s="281" t="s">
        <v>59</v>
      </c>
      <c r="I155" s="282" t="s">
        <v>43</v>
      </c>
      <c r="J155" s="214"/>
      <c r="K155" s="214"/>
      <c r="L155" s="214"/>
      <c r="M155" s="214"/>
      <c r="N155" s="214"/>
      <c r="O155" s="214"/>
      <c r="P155" s="214"/>
      <c r="Q155" s="214"/>
      <c r="R155" s="214"/>
      <c r="S155" s="214"/>
      <c r="T155" s="214"/>
      <c r="U155" s="214"/>
      <c r="V155" s="214"/>
      <c r="W155" s="214"/>
      <c r="X155" s="214"/>
      <c r="Y155" s="214"/>
      <c r="Z155" s="214"/>
      <c r="AA155" s="214"/>
      <c r="AB155" s="214"/>
      <c r="AC155" s="214"/>
    </row>
    <row r="156">
      <c r="A156" s="222"/>
      <c r="D156" s="271" t="s">
        <v>166</v>
      </c>
      <c r="E156" s="271">
        <v>2.0</v>
      </c>
      <c r="F156" s="317"/>
      <c r="G156" s="272"/>
      <c r="H156" s="273" t="s">
        <v>167</v>
      </c>
      <c r="I156" s="274" t="s">
        <v>163</v>
      </c>
      <c r="J156" s="214"/>
      <c r="K156" s="214"/>
      <c r="L156" s="214"/>
      <c r="M156" s="214"/>
      <c r="N156" s="214"/>
      <c r="O156" s="214"/>
      <c r="P156" s="214"/>
      <c r="Q156" s="214"/>
      <c r="R156" s="214"/>
      <c r="S156" s="214"/>
      <c r="T156" s="214"/>
      <c r="U156" s="214"/>
      <c r="V156" s="214"/>
      <c r="W156" s="214"/>
      <c r="X156" s="214"/>
      <c r="Y156" s="214"/>
      <c r="Z156" s="214"/>
      <c r="AA156" s="214"/>
      <c r="AB156" s="214"/>
      <c r="AC156" s="214"/>
    </row>
    <row r="157">
      <c r="A157" s="222"/>
      <c r="D157" s="223" t="s">
        <v>175</v>
      </c>
      <c r="E157" s="425">
        <v>4.0</v>
      </c>
      <c r="F157" s="342"/>
      <c r="G157" s="342"/>
      <c r="H157" s="225" t="s">
        <v>232</v>
      </c>
      <c r="I157" s="344" t="s">
        <v>176</v>
      </c>
      <c r="J157" s="214"/>
      <c r="K157" s="214"/>
      <c r="L157" s="214"/>
      <c r="M157" s="214"/>
      <c r="N157" s="214"/>
      <c r="O157" s="214"/>
      <c r="P157" s="214"/>
      <c r="Q157" s="214"/>
      <c r="R157" s="214"/>
      <c r="S157" s="214"/>
      <c r="T157" s="214"/>
      <c r="U157" s="214"/>
      <c r="V157" s="214"/>
      <c r="W157" s="214"/>
      <c r="X157" s="214"/>
      <c r="Y157" s="214"/>
      <c r="Z157" s="214"/>
      <c r="AA157" s="214"/>
      <c r="AB157" s="214"/>
      <c r="AC157" s="214"/>
    </row>
    <row r="158">
      <c r="A158" s="236"/>
      <c r="B158" s="237"/>
      <c r="C158" s="237"/>
      <c r="D158" s="287" t="s">
        <v>131</v>
      </c>
      <c r="E158" s="287">
        <v>1.0</v>
      </c>
      <c r="F158" s="288"/>
      <c r="G158" s="288"/>
      <c r="H158" s="289" t="s">
        <v>132</v>
      </c>
      <c r="I158" s="290" t="s">
        <v>105</v>
      </c>
      <c r="J158" s="214"/>
      <c r="K158" s="214"/>
      <c r="L158" s="214"/>
      <c r="M158" s="214"/>
      <c r="N158" s="214"/>
      <c r="O158" s="214"/>
      <c r="P158" s="214"/>
      <c r="Q158" s="214"/>
      <c r="R158" s="214"/>
      <c r="S158" s="214"/>
      <c r="T158" s="214"/>
      <c r="U158" s="214"/>
      <c r="V158" s="214"/>
      <c r="W158" s="214"/>
      <c r="X158" s="214"/>
      <c r="Y158" s="214"/>
      <c r="Z158" s="214"/>
      <c r="AA158" s="214"/>
      <c r="AB158" s="214"/>
      <c r="AC158" s="214"/>
    </row>
    <row r="159">
      <c r="A159" s="215" t="s">
        <v>302</v>
      </c>
      <c r="B159" s="243" t="s">
        <v>303</v>
      </c>
      <c r="C159" s="291">
        <f>sum(E159:E164)</f>
        <v>11</v>
      </c>
      <c r="D159" s="426" t="s">
        <v>22</v>
      </c>
      <c r="E159" s="426">
        <v>2.0</v>
      </c>
      <c r="F159" s="396"/>
      <c r="G159" s="396"/>
      <c r="H159" s="427" t="s">
        <v>265</v>
      </c>
      <c r="I159" s="428" t="s">
        <v>23</v>
      </c>
      <c r="J159" s="214"/>
      <c r="K159" s="214"/>
      <c r="L159" s="214"/>
      <c r="M159" s="214"/>
      <c r="N159" s="214"/>
      <c r="O159" s="214"/>
      <c r="P159" s="214"/>
      <c r="Q159" s="214"/>
      <c r="R159" s="214"/>
      <c r="S159" s="214"/>
      <c r="T159" s="214"/>
      <c r="U159" s="214"/>
      <c r="V159" s="214"/>
      <c r="W159" s="214"/>
      <c r="X159" s="214"/>
      <c r="Y159" s="214"/>
      <c r="Z159" s="214"/>
      <c r="AA159" s="214"/>
      <c r="AB159" s="214"/>
      <c r="AC159" s="214"/>
    </row>
    <row r="160">
      <c r="A160" s="222"/>
      <c r="D160" s="382" t="s">
        <v>39</v>
      </c>
      <c r="E160" s="382">
        <v>1.0</v>
      </c>
      <c r="F160" s="384"/>
      <c r="G160" s="384"/>
      <c r="H160" s="385" t="s">
        <v>40</v>
      </c>
      <c r="I160" s="429" t="s">
        <v>30</v>
      </c>
      <c r="J160" s="214"/>
      <c r="K160" s="214"/>
      <c r="L160" s="214"/>
      <c r="M160" s="214"/>
      <c r="N160" s="214"/>
      <c r="O160" s="214"/>
      <c r="P160" s="214"/>
      <c r="Q160" s="214"/>
      <c r="R160" s="214"/>
      <c r="S160" s="214"/>
      <c r="T160" s="214"/>
      <c r="U160" s="214"/>
      <c r="V160" s="214"/>
      <c r="W160" s="214"/>
      <c r="X160" s="214"/>
      <c r="Y160" s="214"/>
      <c r="Z160" s="214"/>
      <c r="AA160" s="214"/>
      <c r="AB160" s="214"/>
      <c r="AC160" s="214"/>
    </row>
    <row r="161">
      <c r="A161" s="222"/>
      <c r="D161" s="271" t="s">
        <v>162</v>
      </c>
      <c r="E161" s="271">
        <v>2.0</v>
      </c>
      <c r="F161" s="272"/>
      <c r="G161" s="272"/>
      <c r="H161" s="273" t="s">
        <v>164</v>
      </c>
      <c r="I161" s="274" t="s">
        <v>163</v>
      </c>
      <c r="J161" s="214"/>
      <c r="K161" s="214"/>
      <c r="L161" s="214"/>
      <c r="M161" s="214"/>
      <c r="N161" s="214"/>
      <c r="O161" s="214"/>
      <c r="P161" s="214"/>
      <c r="Q161" s="214"/>
      <c r="R161" s="214"/>
      <c r="S161" s="214"/>
      <c r="T161" s="214"/>
      <c r="U161" s="214"/>
      <c r="V161" s="214"/>
      <c r="W161" s="214"/>
      <c r="X161" s="214"/>
      <c r="Y161" s="214"/>
      <c r="Z161" s="214"/>
      <c r="AA161" s="214"/>
      <c r="AB161" s="214"/>
      <c r="AC161" s="214"/>
    </row>
    <row r="162">
      <c r="A162" s="222"/>
      <c r="D162" s="279" t="s">
        <v>49</v>
      </c>
      <c r="E162" s="279">
        <v>2.0</v>
      </c>
      <c r="F162" s="280"/>
      <c r="G162" s="280"/>
      <c r="H162" s="281" t="s">
        <v>50</v>
      </c>
      <c r="I162" s="282" t="s">
        <v>43</v>
      </c>
      <c r="J162" s="214"/>
      <c r="K162" s="214"/>
      <c r="L162" s="214"/>
      <c r="M162" s="214"/>
      <c r="N162" s="214"/>
      <c r="O162" s="214"/>
      <c r="P162" s="214"/>
      <c r="Q162" s="214"/>
      <c r="R162" s="214"/>
      <c r="S162" s="214"/>
      <c r="T162" s="214"/>
      <c r="U162" s="214"/>
      <c r="V162" s="214"/>
      <c r="W162" s="214"/>
      <c r="X162" s="214"/>
      <c r="Y162" s="214"/>
      <c r="Z162" s="214"/>
      <c r="AA162" s="214"/>
      <c r="AB162" s="214"/>
      <c r="AC162" s="214"/>
    </row>
    <row r="163">
      <c r="A163" s="222"/>
      <c r="D163" s="271" t="s">
        <v>162</v>
      </c>
      <c r="E163" s="271">
        <v>2.0</v>
      </c>
      <c r="F163" s="272"/>
      <c r="G163" s="272"/>
      <c r="H163" s="273" t="s">
        <v>164</v>
      </c>
      <c r="I163" s="274" t="s">
        <v>163</v>
      </c>
      <c r="J163" s="214"/>
      <c r="K163" s="214"/>
      <c r="L163" s="214"/>
      <c r="M163" s="214"/>
      <c r="N163" s="214"/>
      <c r="O163" s="214"/>
      <c r="P163" s="214"/>
      <c r="Q163" s="214"/>
      <c r="R163" s="214"/>
      <c r="S163" s="214"/>
      <c r="T163" s="214"/>
      <c r="U163" s="214"/>
      <c r="V163" s="214"/>
      <c r="W163" s="214"/>
      <c r="X163" s="214"/>
      <c r="Y163" s="214"/>
      <c r="Z163" s="214"/>
      <c r="AA163" s="214"/>
      <c r="AB163" s="214"/>
      <c r="AC163" s="214"/>
    </row>
    <row r="164">
      <c r="A164" s="236"/>
      <c r="B164" s="237"/>
      <c r="C164" s="237"/>
      <c r="D164" s="430" t="s">
        <v>97</v>
      </c>
      <c r="E164" s="430">
        <v>2.0</v>
      </c>
      <c r="F164" s="431"/>
      <c r="G164" s="431"/>
      <c r="H164" s="432" t="s">
        <v>99</v>
      </c>
      <c r="I164" s="433" t="s">
        <v>98</v>
      </c>
      <c r="J164" s="214"/>
      <c r="K164" s="214"/>
      <c r="L164" s="214"/>
      <c r="M164" s="214"/>
      <c r="N164" s="214"/>
      <c r="O164" s="214"/>
      <c r="P164" s="214"/>
      <c r="Q164" s="214"/>
      <c r="R164" s="214"/>
      <c r="S164" s="214"/>
      <c r="T164" s="214"/>
      <c r="U164" s="214"/>
      <c r="V164" s="214"/>
      <c r="W164" s="214"/>
      <c r="X164" s="214"/>
      <c r="Y164" s="214"/>
      <c r="Z164" s="214"/>
      <c r="AA164" s="214"/>
      <c r="AB164" s="214"/>
      <c r="AC164" s="214"/>
    </row>
    <row r="165">
      <c r="A165" s="242" t="s">
        <v>304</v>
      </c>
      <c r="B165" s="243" t="s">
        <v>305</v>
      </c>
      <c r="C165" s="394">
        <f>sum(E165:E169)</f>
        <v>11</v>
      </c>
      <c r="D165" s="218" t="s">
        <v>175</v>
      </c>
      <c r="E165" s="269">
        <v>4.0</v>
      </c>
      <c r="F165" s="219"/>
      <c r="G165" s="270"/>
      <c r="H165" s="220" t="s">
        <v>232</v>
      </c>
      <c r="I165" s="221" t="s">
        <v>176</v>
      </c>
      <c r="J165" s="214"/>
      <c r="K165" s="214"/>
      <c r="L165" s="214"/>
      <c r="M165" s="214"/>
      <c r="N165" s="214"/>
      <c r="O165" s="214"/>
      <c r="P165" s="214"/>
      <c r="Q165" s="214"/>
      <c r="R165" s="214"/>
      <c r="S165" s="214"/>
      <c r="T165" s="214"/>
      <c r="U165" s="214"/>
      <c r="V165" s="214"/>
      <c r="W165" s="214"/>
      <c r="X165" s="214"/>
      <c r="Y165" s="214"/>
      <c r="Z165" s="214"/>
      <c r="AA165" s="214"/>
      <c r="AB165" s="214"/>
      <c r="AC165" s="214"/>
    </row>
    <row r="166">
      <c r="A166" s="222"/>
      <c r="D166" s="434" t="s">
        <v>306</v>
      </c>
      <c r="E166" s="434">
        <v>3.0</v>
      </c>
      <c r="F166" s="384"/>
      <c r="G166" s="384"/>
      <c r="H166" s="435" t="s">
        <v>31</v>
      </c>
      <c r="I166" s="429" t="s">
        <v>30</v>
      </c>
      <c r="J166" s="214"/>
      <c r="K166" s="214"/>
      <c r="L166" s="214"/>
      <c r="M166" s="214"/>
      <c r="N166" s="214"/>
      <c r="O166" s="214"/>
      <c r="P166" s="214"/>
      <c r="Q166" s="214"/>
      <c r="R166" s="214"/>
      <c r="S166" s="214"/>
      <c r="T166" s="214"/>
      <c r="U166" s="214"/>
      <c r="V166" s="214"/>
      <c r="W166" s="214"/>
      <c r="X166" s="214"/>
      <c r="Y166" s="214"/>
      <c r="Z166" s="214"/>
      <c r="AA166" s="214"/>
      <c r="AB166" s="214"/>
      <c r="AC166" s="214"/>
    </row>
    <row r="167">
      <c r="A167" s="222"/>
      <c r="D167" s="232" t="s">
        <v>131</v>
      </c>
      <c r="E167" s="232">
        <v>1.0</v>
      </c>
      <c r="F167" s="254"/>
      <c r="G167" s="233"/>
      <c r="H167" s="234" t="s">
        <v>132</v>
      </c>
      <c r="I167" s="235" t="s">
        <v>105</v>
      </c>
      <c r="J167" s="214"/>
      <c r="K167" s="214"/>
      <c r="L167" s="214"/>
      <c r="M167" s="214"/>
      <c r="N167" s="214"/>
      <c r="O167" s="214"/>
      <c r="P167" s="214"/>
      <c r="Q167" s="214"/>
      <c r="R167" s="214"/>
      <c r="S167" s="214"/>
      <c r="T167" s="214"/>
      <c r="U167" s="214"/>
      <c r="V167" s="214"/>
      <c r="W167" s="214"/>
      <c r="X167" s="214"/>
      <c r="Y167" s="214"/>
      <c r="Z167" s="214"/>
      <c r="AA167" s="214"/>
      <c r="AB167" s="214"/>
      <c r="AC167" s="214"/>
    </row>
    <row r="168">
      <c r="A168" s="222"/>
      <c r="D168" s="286" t="s">
        <v>229</v>
      </c>
      <c r="E168" s="286">
        <v>2.0</v>
      </c>
      <c r="F168" s="261"/>
      <c r="G168" s="261"/>
      <c r="H168" s="262" t="s">
        <v>69</v>
      </c>
      <c r="I168" s="319" t="s">
        <v>65</v>
      </c>
      <c r="J168" s="214"/>
      <c r="K168" s="214"/>
      <c r="L168" s="214"/>
      <c r="M168" s="214"/>
      <c r="N168" s="214"/>
      <c r="O168" s="214"/>
      <c r="P168" s="214"/>
      <c r="Q168" s="214"/>
      <c r="R168" s="214"/>
      <c r="S168" s="214"/>
      <c r="T168" s="214"/>
      <c r="U168" s="214"/>
      <c r="V168" s="214"/>
      <c r="W168" s="214"/>
      <c r="X168" s="214"/>
      <c r="Y168" s="214"/>
      <c r="Z168" s="214"/>
      <c r="AA168" s="214"/>
      <c r="AB168" s="214"/>
      <c r="AC168" s="214"/>
    </row>
    <row r="169">
      <c r="A169" s="236"/>
      <c r="B169" s="237"/>
      <c r="C169" s="237"/>
      <c r="D169" s="320" t="s">
        <v>159</v>
      </c>
      <c r="E169" s="320">
        <v>1.0</v>
      </c>
      <c r="F169" s="436"/>
      <c r="G169" s="321"/>
      <c r="H169" s="322" t="s">
        <v>160</v>
      </c>
      <c r="I169" s="437" t="s">
        <v>144</v>
      </c>
      <c r="J169" s="214"/>
      <c r="K169" s="214"/>
      <c r="L169" s="214"/>
      <c r="M169" s="214"/>
      <c r="N169" s="214"/>
      <c r="O169" s="214"/>
      <c r="P169" s="214"/>
      <c r="Q169" s="214"/>
      <c r="R169" s="214"/>
      <c r="S169" s="214"/>
      <c r="T169" s="214"/>
      <c r="U169" s="214"/>
      <c r="V169" s="214"/>
      <c r="W169" s="214"/>
      <c r="X169" s="214"/>
      <c r="Y169" s="214"/>
      <c r="Z169" s="214"/>
      <c r="AA169" s="214"/>
      <c r="AB169" s="214"/>
      <c r="AC169" s="214"/>
    </row>
    <row r="170">
      <c r="A170" s="242" t="s">
        <v>307</v>
      </c>
      <c r="B170" s="243" t="s">
        <v>308</v>
      </c>
      <c r="C170" s="394">
        <f>sum(E170:E175)</f>
        <v>11</v>
      </c>
      <c r="D170" s="308" t="s">
        <v>117</v>
      </c>
      <c r="E170" s="308">
        <v>1.0</v>
      </c>
      <c r="F170" s="309"/>
      <c r="G170" s="309"/>
      <c r="H170" s="310" t="s">
        <v>238</v>
      </c>
      <c r="I170" s="438" t="s">
        <v>105</v>
      </c>
      <c r="J170" s="214"/>
      <c r="K170" s="214"/>
      <c r="L170" s="214"/>
      <c r="M170" s="214"/>
      <c r="N170" s="214"/>
      <c r="O170" s="214"/>
      <c r="P170" s="214"/>
      <c r="Q170" s="214"/>
      <c r="R170" s="214"/>
      <c r="S170" s="214"/>
      <c r="T170" s="214"/>
      <c r="U170" s="214"/>
      <c r="V170" s="214"/>
      <c r="W170" s="214"/>
      <c r="X170" s="214"/>
      <c r="Y170" s="214"/>
      <c r="Z170" s="214"/>
      <c r="AA170" s="214"/>
      <c r="AB170" s="214"/>
      <c r="AC170" s="214"/>
    </row>
    <row r="171">
      <c r="A171" s="222"/>
      <c r="D171" s="279" t="s">
        <v>55</v>
      </c>
      <c r="E171" s="279">
        <v>1.0</v>
      </c>
      <c r="F171" s="280"/>
      <c r="G171" s="280"/>
      <c r="H171" s="281" t="s">
        <v>56</v>
      </c>
      <c r="I171" s="282" t="s">
        <v>43</v>
      </c>
      <c r="J171" s="214"/>
      <c r="K171" s="214"/>
      <c r="L171" s="214"/>
      <c r="M171" s="214"/>
      <c r="N171" s="214"/>
      <c r="O171" s="214"/>
      <c r="P171" s="214"/>
      <c r="Q171" s="214"/>
      <c r="R171" s="214"/>
      <c r="S171" s="214"/>
      <c r="T171" s="214"/>
      <c r="U171" s="214"/>
      <c r="V171" s="214"/>
      <c r="W171" s="214"/>
      <c r="X171" s="214"/>
      <c r="Y171" s="214"/>
      <c r="Z171" s="214"/>
      <c r="AA171" s="214"/>
      <c r="AB171" s="214"/>
      <c r="AC171" s="214"/>
    </row>
    <row r="172">
      <c r="A172" s="222"/>
      <c r="D172" s="275" t="s">
        <v>97</v>
      </c>
      <c r="E172" s="275">
        <v>2.0</v>
      </c>
      <c r="F172" s="296"/>
      <c r="G172" s="276"/>
      <c r="H172" s="277" t="s">
        <v>99</v>
      </c>
      <c r="I172" s="297" t="s">
        <v>98</v>
      </c>
      <c r="J172" s="214"/>
      <c r="K172" s="214"/>
      <c r="L172" s="214"/>
      <c r="M172" s="214"/>
      <c r="N172" s="214"/>
      <c r="O172" s="214"/>
      <c r="P172" s="214"/>
      <c r="Q172" s="214"/>
      <c r="R172" s="214"/>
      <c r="S172" s="214"/>
      <c r="T172" s="214"/>
      <c r="U172" s="214"/>
      <c r="V172" s="214"/>
      <c r="W172" s="214"/>
      <c r="X172" s="214"/>
      <c r="Y172" s="214"/>
      <c r="Z172" s="214"/>
      <c r="AA172" s="214"/>
      <c r="AB172" s="214"/>
      <c r="AC172" s="214"/>
    </row>
    <row r="173">
      <c r="A173" s="222"/>
      <c r="D173" s="223" t="s">
        <v>175</v>
      </c>
      <c r="E173" s="425">
        <v>4.0</v>
      </c>
      <c r="F173" s="342"/>
      <c r="G173" s="342"/>
      <c r="H173" s="225" t="s">
        <v>232</v>
      </c>
      <c r="I173" s="344" t="s">
        <v>176</v>
      </c>
      <c r="J173" s="214"/>
      <c r="K173" s="214"/>
      <c r="L173" s="214"/>
      <c r="M173" s="214"/>
      <c r="N173" s="214"/>
      <c r="O173" s="214"/>
      <c r="P173" s="214"/>
      <c r="Q173" s="214"/>
      <c r="R173" s="214"/>
      <c r="S173" s="214"/>
      <c r="T173" s="214"/>
      <c r="U173" s="214"/>
      <c r="V173" s="214"/>
      <c r="W173" s="214"/>
      <c r="X173" s="214"/>
      <c r="Y173" s="214"/>
      <c r="Z173" s="214"/>
      <c r="AA173" s="214"/>
      <c r="AB173" s="214"/>
      <c r="AC173" s="214"/>
    </row>
    <row r="174">
      <c r="A174" s="222"/>
      <c r="D174" s="271" t="s">
        <v>166</v>
      </c>
      <c r="E174" s="271">
        <v>2.0</v>
      </c>
      <c r="F174" s="317"/>
      <c r="G174" s="317"/>
      <c r="H174" s="273" t="s">
        <v>167</v>
      </c>
      <c r="I174" s="393" t="s">
        <v>163</v>
      </c>
      <c r="J174" s="214"/>
      <c r="K174" s="214"/>
      <c r="L174" s="214"/>
      <c r="M174" s="214"/>
      <c r="N174" s="214"/>
      <c r="O174" s="214"/>
      <c r="P174" s="214"/>
      <c r="Q174" s="214"/>
      <c r="R174" s="214"/>
      <c r="S174" s="214"/>
      <c r="T174" s="214"/>
      <c r="U174" s="214"/>
      <c r="V174" s="214"/>
      <c r="W174" s="214"/>
      <c r="X174" s="214"/>
      <c r="Y174" s="214"/>
      <c r="Z174" s="214"/>
      <c r="AA174" s="214"/>
      <c r="AB174" s="214"/>
      <c r="AC174" s="214"/>
    </row>
    <row r="175">
      <c r="A175" s="236"/>
      <c r="B175" s="237"/>
      <c r="C175" s="237"/>
      <c r="D175" s="287" t="s">
        <v>140</v>
      </c>
      <c r="E175" s="287">
        <v>1.0</v>
      </c>
      <c r="F175" s="288"/>
      <c r="G175" s="288"/>
      <c r="H175" s="289" t="s">
        <v>141</v>
      </c>
      <c r="I175" s="290" t="s">
        <v>105</v>
      </c>
      <c r="J175" s="214"/>
      <c r="K175" s="214"/>
      <c r="L175" s="214"/>
      <c r="M175" s="214"/>
      <c r="N175" s="214"/>
      <c r="O175" s="214"/>
      <c r="P175" s="214"/>
      <c r="Q175" s="214"/>
      <c r="R175" s="214"/>
      <c r="S175" s="214"/>
      <c r="T175" s="214"/>
      <c r="U175" s="214"/>
      <c r="V175" s="214"/>
      <c r="W175" s="214"/>
      <c r="X175" s="214"/>
      <c r="Y175" s="214"/>
      <c r="Z175" s="214"/>
      <c r="AA175" s="214"/>
      <c r="AB175" s="214"/>
      <c r="AC175" s="214"/>
    </row>
    <row r="176">
      <c r="A176" s="349" t="s">
        <v>309</v>
      </c>
      <c r="B176" s="439" t="s">
        <v>310</v>
      </c>
      <c r="C176" s="291">
        <f>sum(E176:E180)</f>
        <v>11</v>
      </c>
      <c r="D176" s="440" t="s">
        <v>189</v>
      </c>
      <c r="E176" s="440">
        <v>1.0</v>
      </c>
      <c r="F176" s="441"/>
      <c r="G176" s="441"/>
      <c r="H176" s="442" t="s">
        <v>190</v>
      </c>
      <c r="I176" s="443" t="s">
        <v>186</v>
      </c>
      <c r="J176" s="214"/>
      <c r="K176" s="214"/>
      <c r="L176" s="214"/>
      <c r="M176" s="214"/>
      <c r="N176" s="214"/>
      <c r="O176" s="214"/>
      <c r="P176" s="214"/>
      <c r="Q176" s="214"/>
      <c r="R176" s="214"/>
      <c r="S176" s="214"/>
      <c r="T176" s="214"/>
      <c r="U176" s="214"/>
      <c r="V176" s="214"/>
      <c r="W176" s="214"/>
      <c r="X176" s="214"/>
      <c r="Y176" s="214"/>
      <c r="Z176" s="214"/>
      <c r="AA176" s="214"/>
      <c r="AB176" s="214"/>
      <c r="AC176" s="214"/>
    </row>
    <row r="177">
      <c r="A177" s="222"/>
      <c r="D177" s="286" t="s">
        <v>229</v>
      </c>
      <c r="E177" s="286">
        <v>2.0</v>
      </c>
      <c r="F177" s="261"/>
      <c r="G177" s="261"/>
      <c r="H177" s="262" t="s">
        <v>69</v>
      </c>
      <c r="I177" s="319" t="s">
        <v>65</v>
      </c>
      <c r="J177" s="214"/>
      <c r="K177" s="214"/>
      <c r="L177" s="214"/>
      <c r="M177" s="214"/>
      <c r="N177" s="214"/>
      <c r="O177" s="214"/>
      <c r="P177" s="214"/>
      <c r="Q177" s="214"/>
      <c r="R177" s="214"/>
      <c r="S177" s="214"/>
      <c r="T177" s="214"/>
      <c r="U177" s="214"/>
      <c r="V177" s="214"/>
      <c r="W177" s="214"/>
      <c r="X177" s="214"/>
      <c r="Y177" s="214"/>
      <c r="Z177" s="214"/>
      <c r="AA177" s="214"/>
      <c r="AB177" s="214"/>
      <c r="AC177" s="214"/>
    </row>
    <row r="178">
      <c r="A178" s="222"/>
      <c r="D178" s="333" t="s">
        <v>101</v>
      </c>
      <c r="E178" s="333">
        <v>2.0</v>
      </c>
      <c r="F178" s="276"/>
      <c r="G178" s="276"/>
      <c r="H178" s="334" t="s">
        <v>102</v>
      </c>
      <c r="I178" s="297" t="s">
        <v>98</v>
      </c>
      <c r="J178" s="214"/>
      <c r="K178" s="214"/>
      <c r="L178" s="214"/>
      <c r="M178" s="214"/>
      <c r="N178" s="214"/>
      <c r="O178" s="214"/>
      <c r="P178" s="214"/>
      <c r="Q178" s="214"/>
      <c r="R178" s="214"/>
      <c r="S178" s="214"/>
      <c r="T178" s="214"/>
      <c r="U178" s="214"/>
      <c r="V178" s="214"/>
      <c r="W178" s="214"/>
      <c r="X178" s="214"/>
      <c r="Y178" s="214"/>
      <c r="Z178" s="214"/>
      <c r="AA178" s="214"/>
      <c r="AB178" s="214"/>
      <c r="AC178" s="214"/>
    </row>
    <row r="179">
      <c r="A179" s="222"/>
      <c r="D179" s="271" t="s">
        <v>166</v>
      </c>
      <c r="E179" s="271">
        <v>2.0</v>
      </c>
      <c r="F179" s="272"/>
      <c r="G179" s="272"/>
      <c r="H179" s="273" t="s">
        <v>167</v>
      </c>
      <c r="I179" s="393" t="s">
        <v>163</v>
      </c>
      <c r="J179" s="214"/>
      <c r="K179" s="214"/>
      <c r="L179" s="214"/>
      <c r="M179" s="214"/>
      <c r="N179" s="214"/>
      <c r="O179" s="214"/>
      <c r="P179" s="214"/>
      <c r="Q179" s="214"/>
      <c r="R179" s="214"/>
      <c r="S179" s="214"/>
      <c r="T179" s="214"/>
      <c r="U179" s="214"/>
      <c r="V179" s="214"/>
      <c r="W179" s="214"/>
      <c r="X179" s="214"/>
      <c r="Y179" s="214"/>
      <c r="Z179" s="214"/>
      <c r="AA179" s="214"/>
      <c r="AB179" s="214"/>
      <c r="AC179" s="214"/>
    </row>
    <row r="180">
      <c r="A180" s="236"/>
      <c r="B180" s="237"/>
      <c r="C180" s="237"/>
      <c r="D180" s="223" t="s">
        <v>175</v>
      </c>
      <c r="E180" s="425">
        <v>4.0</v>
      </c>
      <c r="F180" s="342"/>
      <c r="G180" s="342"/>
      <c r="H180" s="225" t="s">
        <v>232</v>
      </c>
      <c r="I180" s="226" t="s">
        <v>176</v>
      </c>
      <c r="J180" s="214"/>
      <c r="K180" s="214"/>
      <c r="L180" s="214"/>
      <c r="M180" s="214"/>
      <c r="N180" s="214"/>
      <c r="O180" s="214"/>
      <c r="P180" s="214"/>
      <c r="Q180" s="214"/>
      <c r="R180" s="214"/>
      <c r="S180" s="214"/>
      <c r="T180" s="214"/>
      <c r="U180" s="214"/>
      <c r="V180" s="214"/>
      <c r="W180" s="214"/>
      <c r="X180" s="214"/>
      <c r="Y180" s="214"/>
      <c r="Z180" s="214"/>
      <c r="AA180" s="214"/>
      <c r="AB180" s="214"/>
      <c r="AC180" s="214"/>
    </row>
    <row r="181">
      <c r="A181" s="215" t="s">
        <v>311</v>
      </c>
      <c r="B181" s="243" t="s">
        <v>312</v>
      </c>
      <c r="C181" s="291">
        <f>sum(E181:E184)</f>
        <v>11</v>
      </c>
      <c r="D181" s="335" t="s">
        <v>162</v>
      </c>
      <c r="E181" s="335">
        <v>2.0</v>
      </c>
      <c r="F181" s="336"/>
      <c r="G181" s="336"/>
      <c r="H181" s="337" t="s">
        <v>164</v>
      </c>
      <c r="I181" s="338" t="s">
        <v>163</v>
      </c>
      <c r="J181" s="214"/>
      <c r="K181" s="214"/>
      <c r="L181" s="214"/>
      <c r="M181" s="214"/>
      <c r="N181" s="214"/>
      <c r="O181" s="214"/>
      <c r="P181" s="214"/>
      <c r="Q181" s="214"/>
      <c r="R181" s="214"/>
      <c r="S181" s="214"/>
      <c r="T181" s="214"/>
      <c r="U181" s="214"/>
      <c r="V181" s="214"/>
      <c r="W181" s="214"/>
      <c r="X181" s="214"/>
      <c r="Y181" s="214"/>
      <c r="Z181" s="214"/>
      <c r="AA181" s="214"/>
      <c r="AB181" s="214"/>
      <c r="AC181" s="214"/>
    </row>
    <row r="182">
      <c r="A182" s="222"/>
      <c r="D182" s="232" t="s">
        <v>313</v>
      </c>
      <c r="E182" s="232">
        <v>3.0</v>
      </c>
      <c r="F182" s="233"/>
      <c r="G182" s="233"/>
      <c r="H182" s="234" t="s">
        <v>314</v>
      </c>
      <c r="I182" s="298" t="s">
        <v>105</v>
      </c>
      <c r="J182" s="214"/>
      <c r="K182" s="214"/>
      <c r="L182" s="214"/>
      <c r="M182" s="214"/>
      <c r="N182" s="214"/>
      <c r="O182" s="214"/>
      <c r="P182" s="214"/>
      <c r="Q182" s="214"/>
      <c r="R182" s="214"/>
      <c r="S182" s="214"/>
      <c r="T182" s="214"/>
      <c r="U182" s="214"/>
      <c r="V182" s="214"/>
      <c r="W182" s="214"/>
      <c r="X182" s="214"/>
      <c r="Y182" s="214"/>
      <c r="Z182" s="214"/>
      <c r="AA182" s="214"/>
      <c r="AB182" s="214"/>
      <c r="AC182" s="214"/>
    </row>
    <row r="183">
      <c r="A183" s="222"/>
      <c r="D183" s="299" t="s">
        <v>143</v>
      </c>
      <c r="E183" s="299">
        <v>5.0</v>
      </c>
      <c r="F183" s="251"/>
      <c r="G183" s="251"/>
      <c r="H183" s="252" t="s">
        <v>145</v>
      </c>
      <c r="I183" s="253" t="s">
        <v>144</v>
      </c>
      <c r="J183" s="214"/>
      <c r="K183" s="214"/>
      <c r="L183" s="214"/>
      <c r="M183" s="214"/>
      <c r="N183" s="214"/>
      <c r="O183" s="214"/>
      <c r="P183" s="214"/>
      <c r="Q183" s="214"/>
      <c r="R183" s="214"/>
      <c r="S183" s="214"/>
      <c r="T183" s="214"/>
      <c r="U183" s="214"/>
      <c r="V183" s="214"/>
      <c r="W183" s="214"/>
      <c r="X183" s="214"/>
      <c r="Y183" s="214"/>
      <c r="Z183" s="214"/>
      <c r="AA183" s="214"/>
      <c r="AB183" s="214"/>
      <c r="AC183" s="214"/>
    </row>
    <row r="184">
      <c r="A184" s="236"/>
      <c r="B184" s="237"/>
      <c r="C184" s="237"/>
      <c r="D184" s="232" t="s">
        <v>239</v>
      </c>
      <c r="E184" s="232">
        <v>1.0</v>
      </c>
      <c r="F184" s="233"/>
      <c r="G184" s="233"/>
      <c r="H184" s="234" t="s">
        <v>115</v>
      </c>
      <c r="I184" s="235" t="s">
        <v>105</v>
      </c>
      <c r="J184" s="214"/>
      <c r="K184" s="214"/>
      <c r="L184" s="214"/>
      <c r="M184" s="214"/>
      <c r="N184" s="214"/>
      <c r="O184" s="214"/>
      <c r="P184" s="214"/>
      <c r="Q184" s="214"/>
      <c r="R184" s="214"/>
      <c r="S184" s="214"/>
      <c r="T184" s="214"/>
      <c r="U184" s="214"/>
      <c r="V184" s="214"/>
      <c r="W184" s="214"/>
      <c r="X184" s="214"/>
      <c r="Y184" s="214"/>
      <c r="Z184" s="214"/>
      <c r="AA184" s="214"/>
      <c r="AB184" s="214"/>
      <c r="AC184" s="214"/>
    </row>
    <row r="185">
      <c r="A185" s="215" t="s">
        <v>315</v>
      </c>
      <c r="B185" s="444" t="s">
        <v>316</v>
      </c>
      <c r="C185" s="244">
        <f>sum(E185:E189)</f>
        <v>11</v>
      </c>
      <c r="D185" s="335" t="s">
        <v>162</v>
      </c>
      <c r="E185" s="335">
        <v>2.0</v>
      </c>
      <c r="F185" s="354"/>
      <c r="G185" s="354"/>
      <c r="H185" s="337" t="s">
        <v>164</v>
      </c>
      <c r="I185" s="355" t="s">
        <v>163</v>
      </c>
      <c r="J185" s="214"/>
      <c r="K185" s="214"/>
      <c r="L185" s="214"/>
      <c r="M185" s="214"/>
      <c r="N185" s="214"/>
      <c r="O185" s="214"/>
      <c r="P185" s="214"/>
      <c r="Q185" s="214"/>
      <c r="R185" s="214"/>
      <c r="S185" s="214"/>
      <c r="T185" s="214"/>
      <c r="U185" s="214"/>
      <c r="V185" s="214"/>
      <c r="W185" s="214"/>
      <c r="X185" s="214"/>
      <c r="Y185" s="214"/>
      <c r="Z185" s="214"/>
      <c r="AA185" s="214"/>
      <c r="AB185" s="214"/>
      <c r="AC185" s="214"/>
    </row>
    <row r="186">
      <c r="A186" s="222"/>
      <c r="D186" s="227" t="s">
        <v>17</v>
      </c>
      <c r="E186" s="227">
        <v>2.0</v>
      </c>
      <c r="F186" s="228"/>
      <c r="G186" s="228"/>
      <c r="H186" s="445" t="s">
        <v>260</v>
      </c>
      <c r="I186" s="230" t="s">
        <v>7</v>
      </c>
      <c r="J186" s="214"/>
      <c r="K186" s="214"/>
      <c r="L186" s="214"/>
      <c r="M186" s="214"/>
      <c r="N186" s="214"/>
      <c r="O186" s="214"/>
      <c r="P186" s="214"/>
      <c r="Q186" s="214"/>
      <c r="R186" s="214"/>
      <c r="S186" s="214"/>
      <c r="T186" s="214"/>
      <c r="U186" s="214"/>
      <c r="V186" s="214"/>
      <c r="W186" s="214"/>
      <c r="X186" s="214"/>
      <c r="Y186" s="214"/>
      <c r="Z186" s="214"/>
      <c r="AA186" s="214"/>
      <c r="AB186" s="214"/>
      <c r="AC186" s="214"/>
    </row>
    <row r="187">
      <c r="A187" s="222"/>
      <c r="D187" s="249" t="s">
        <v>147</v>
      </c>
      <c r="E187" s="249">
        <v>3.0</v>
      </c>
      <c r="F187" s="250"/>
      <c r="G187" s="251"/>
      <c r="H187" s="252" t="s">
        <v>145</v>
      </c>
      <c r="I187" s="253" t="s">
        <v>144</v>
      </c>
      <c r="J187" s="214"/>
      <c r="K187" s="214"/>
      <c r="L187" s="214"/>
      <c r="M187" s="214"/>
      <c r="N187" s="214"/>
      <c r="O187" s="214"/>
      <c r="P187" s="214"/>
      <c r="Q187" s="214"/>
      <c r="R187" s="214"/>
      <c r="S187" s="214"/>
      <c r="T187" s="214"/>
      <c r="U187" s="214"/>
      <c r="V187" s="214"/>
      <c r="W187" s="214"/>
      <c r="X187" s="214"/>
      <c r="Y187" s="214"/>
      <c r="Z187" s="214"/>
      <c r="AA187" s="214"/>
      <c r="AB187" s="214"/>
      <c r="AC187" s="214"/>
    </row>
    <row r="188">
      <c r="A188" s="222"/>
      <c r="D188" s="232" t="s">
        <v>239</v>
      </c>
      <c r="E188" s="232">
        <v>1.0</v>
      </c>
      <c r="F188" s="254"/>
      <c r="G188" s="254"/>
      <c r="H188" s="234" t="s">
        <v>115</v>
      </c>
      <c r="I188" s="298" t="s">
        <v>105</v>
      </c>
      <c r="J188" s="214"/>
      <c r="K188" s="214"/>
      <c r="L188" s="214"/>
      <c r="M188" s="214"/>
      <c r="N188" s="214"/>
      <c r="O188" s="214"/>
      <c r="P188" s="214"/>
      <c r="Q188" s="214"/>
      <c r="R188" s="214"/>
      <c r="S188" s="214"/>
      <c r="T188" s="214"/>
      <c r="U188" s="214"/>
      <c r="V188" s="214"/>
      <c r="W188" s="214"/>
      <c r="X188" s="214"/>
      <c r="Y188" s="214"/>
      <c r="Z188" s="214"/>
      <c r="AA188" s="214"/>
      <c r="AB188" s="214"/>
      <c r="AC188" s="214"/>
    </row>
    <row r="189">
      <c r="A189" s="236"/>
      <c r="B189" s="237"/>
      <c r="C189" s="237"/>
      <c r="D189" s="238" t="s">
        <v>64</v>
      </c>
      <c r="E189" s="238">
        <v>3.0</v>
      </c>
      <c r="F189" s="239"/>
      <c r="G189" s="239"/>
      <c r="H189" s="446" t="s">
        <v>66</v>
      </c>
      <c r="I189" s="241" t="s">
        <v>65</v>
      </c>
      <c r="J189" s="214"/>
      <c r="K189" s="214"/>
      <c r="L189" s="214"/>
      <c r="M189" s="214"/>
      <c r="N189" s="214"/>
      <c r="O189" s="214"/>
      <c r="P189" s="214"/>
      <c r="Q189" s="214"/>
      <c r="R189" s="214"/>
      <c r="S189" s="214"/>
      <c r="T189" s="214"/>
      <c r="U189" s="214"/>
      <c r="V189" s="214"/>
      <c r="W189" s="214"/>
      <c r="X189" s="214"/>
      <c r="Y189" s="214"/>
      <c r="Z189" s="214"/>
      <c r="AA189" s="214"/>
      <c r="AB189" s="214"/>
      <c r="AC189" s="214"/>
    </row>
    <row r="190">
      <c r="A190" s="242" t="s">
        <v>317</v>
      </c>
      <c r="B190" s="243" t="s">
        <v>318</v>
      </c>
      <c r="C190" s="394">
        <f>sum(E190:E196)</f>
        <v>11</v>
      </c>
      <c r="D190" s="356" t="s">
        <v>254</v>
      </c>
      <c r="E190" s="356">
        <v>2.0</v>
      </c>
      <c r="F190" s="357"/>
      <c r="G190" s="357"/>
      <c r="H190" s="447" t="s">
        <v>255</v>
      </c>
      <c r="I190" s="359" t="s">
        <v>7</v>
      </c>
      <c r="J190" s="214"/>
      <c r="K190" s="214"/>
      <c r="L190" s="214"/>
      <c r="M190" s="214"/>
      <c r="N190" s="214"/>
      <c r="O190" s="214"/>
      <c r="P190" s="214"/>
      <c r="Q190" s="214"/>
      <c r="R190" s="214"/>
      <c r="S190" s="214"/>
      <c r="T190" s="214"/>
      <c r="U190" s="214"/>
      <c r="V190" s="214"/>
      <c r="W190" s="214"/>
      <c r="X190" s="214"/>
      <c r="Y190" s="214"/>
      <c r="Z190" s="214"/>
      <c r="AA190" s="214"/>
      <c r="AB190" s="214"/>
      <c r="AC190" s="214"/>
    </row>
    <row r="191">
      <c r="A191" s="222"/>
      <c r="D191" s="341" t="s">
        <v>179</v>
      </c>
      <c r="E191" s="341">
        <v>2.0</v>
      </c>
      <c r="F191" s="342"/>
      <c r="G191" s="342"/>
      <c r="H191" s="343" t="s">
        <v>180</v>
      </c>
      <c r="I191" s="344" t="s">
        <v>176</v>
      </c>
      <c r="J191" s="214"/>
      <c r="K191" s="214"/>
      <c r="L191" s="214"/>
      <c r="M191" s="214"/>
      <c r="N191" s="214"/>
      <c r="O191" s="214"/>
      <c r="P191" s="214"/>
      <c r="Q191" s="214"/>
      <c r="R191" s="214"/>
      <c r="S191" s="214"/>
      <c r="T191" s="214"/>
      <c r="U191" s="214"/>
      <c r="V191" s="214"/>
      <c r="W191" s="214"/>
      <c r="X191" s="214"/>
      <c r="Y191" s="214"/>
      <c r="Z191" s="214"/>
      <c r="AA191" s="214"/>
      <c r="AB191" s="214"/>
      <c r="AC191" s="214"/>
    </row>
    <row r="192">
      <c r="A192" s="222"/>
      <c r="D192" s="286" t="s">
        <v>229</v>
      </c>
      <c r="E192" s="286">
        <v>2.0</v>
      </c>
      <c r="F192" s="318"/>
      <c r="G192" s="318"/>
      <c r="H192" s="262" t="s">
        <v>69</v>
      </c>
      <c r="I192" s="319" t="s">
        <v>65</v>
      </c>
      <c r="J192" s="214"/>
      <c r="K192" s="214"/>
      <c r="L192" s="214"/>
      <c r="M192" s="214"/>
      <c r="N192" s="214"/>
      <c r="O192" s="214"/>
      <c r="P192" s="214"/>
      <c r="Q192" s="214"/>
      <c r="R192" s="214"/>
      <c r="S192" s="214"/>
      <c r="T192" s="214"/>
      <c r="U192" s="214"/>
      <c r="V192" s="214"/>
      <c r="W192" s="214"/>
      <c r="X192" s="214"/>
      <c r="Y192" s="214"/>
      <c r="Z192" s="214"/>
      <c r="AA192" s="214"/>
      <c r="AB192" s="214"/>
      <c r="AC192" s="214"/>
    </row>
    <row r="193">
      <c r="A193" s="222"/>
      <c r="D193" s="232" t="s">
        <v>120</v>
      </c>
      <c r="E193" s="232">
        <v>1.0</v>
      </c>
      <c r="F193" s="254"/>
      <c r="G193" s="233"/>
      <c r="H193" s="234" t="s">
        <v>121</v>
      </c>
      <c r="I193" s="235" t="s">
        <v>105</v>
      </c>
      <c r="J193" s="214"/>
      <c r="K193" s="214"/>
      <c r="L193" s="214"/>
      <c r="M193" s="214"/>
      <c r="N193" s="214"/>
      <c r="O193" s="214"/>
      <c r="P193" s="214"/>
      <c r="Q193" s="214"/>
      <c r="R193" s="214"/>
      <c r="S193" s="214"/>
      <c r="T193" s="214"/>
      <c r="U193" s="214"/>
      <c r="V193" s="214"/>
      <c r="W193" s="214"/>
      <c r="X193" s="214"/>
      <c r="Y193" s="214"/>
      <c r="Z193" s="214"/>
      <c r="AA193" s="214"/>
      <c r="AB193" s="214"/>
      <c r="AC193" s="214"/>
    </row>
    <row r="194">
      <c r="A194" s="222"/>
      <c r="D194" s="279" t="s">
        <v>58</v>
      </c>
      <c r="E194" s="279">
        <v>1.0</v>
      </c>
      <c r="F194" s="316"/>
      <c r="G194" s="316"/>
      <c r="H194" s="281" t="s">
        <v>59</v>
      </c>
      <c r="I194" s="448" t="s">
        <v>43</v>
      </c>
      <c r="J194" s="214"/>
      <c r="K194" s="214"/>
      <c r="L194" s="214"/>
      <c r="M194" s="214"/>
      <c r="N194" s="214"/>
      <c r="O194" s="214"/>
      <c r="P194" s="214"/>
      <c r="Q194" s="214"/>
      <c r="R194" s="214"/>
      <c r="S194" s="214"/>
      <c r="T194" s="214"/>
      <c r="U194" s="214"/>
      <c r="V194" s="214"/>
      <c r="W194" s="214"/>
      <c r="X194" s="214"/>
      <c r="Y194" s="214"/>
      <c r="Z194" s="214"/>
      <c r="AA194" s="214"/>
      <c r="AB194" s="214"/>
      <c r="AC194" s="214"/>
    </row>
    <row r="195">
      <c r="A195" s="222"/>
      <c r="D195" s="256" t="s">
        <v>189</v>
      </c>
      <c r="E195" s="256">
        <v>1.0</v>
      </c>
      <c r="F195" s="257"/>
      <c r="G195" s="257"/>
      <c r="H195" s="258" t="s">
        <v>190</v>
      </c>
      <c r="I195" s="259" t="s">
        <v>186</v>
      </c>
      <c r="J195" s="214"/>
      <c r="K195" s="214"/>
      <c r="L195" s="214"/>
      <c r="M195" s="214"/>
      <c r="N195" s="214"/>
      <c r="O195" s="214"/>
      <c r="P195" s="214"/>
      <c r="Q195" s="214"/>
      <c r="R195" s="214"/>
      <c r="S195" s="214"/>
      <c r="T195" s="214"/>
      <c r="U195" s="214"/>
      <c r="V195" s="214"/>
      <c r="W195" s="214"/>
      <c r="X195" s="214"/>
      <c r="Y195" s="214"/>
      <c r="Z195" s="214"/>
      <c r="AA195" s="214"/>
      <c r="AB195" s="214"/>
      <c r="AC195" s="214"/>
    </row>
    <row r="196">
      <c r="A196" s="236"/>
      <c r="B196" s="237"/>
      <c r="C196" s="237"/>
      <c r="D196" s="449" t="s">
        <v>101</v>
      </c>
      <c r="E196" s="449">
        <v>2.0</v>
      </c>
      <c r="F196" s="450"/>
      <c r="G196" s="431"/>
      <c r="H196" s="451" t="s">
        <v>102</v>
      </c>
      <c r="I196" s="452" t="s">
        <v>98</v>
      </c>
      <c r="J196" s="214"/>
      <c r="K196" s="214"/>
      <c r="L196" s="214"/>
      <c r="M196" s="214"/>
      <c r="N196" s="214"/>
      <c r="O196" s="214"/>
      <c r="P196" s="214"/>
      <c r="Q196" s="214"/>
      <c r="R196" s="214"/>
      <c r="S196" s="214"/>
      <c r="T196" s="214"/>
      <c r="U196" s="214"/>
      <c r="V196" s="214"/>
      <c r="W196" s="214"/>
      <c r="X196" s="214"/>
      <c r="Y196" s="214"/>
      <c r="Z196" s="214"/>
      <c r="AA196" s="214"/>
      <c r="AB196" s="214"/>
      <c r="AC196" s="214"/>
    </row>
    <row r="197">
      <c r="A197" s="453" t="s">
        <v>319</v>
      </c>
      <c r="B197" s="409" t="s">
        <v>218</v>
      </c>
      <c r="C197" s="454">
        <f>sum(E197:E201)</f>
        <v>10</v>
      </c>
      <c r="D197" s="227" t="s">
        <v>19</v>
      </c>
      <c r="E197" s="227">
        <v>2.0</v>
      </c>
      <c r="F197" s="327"/>
      <c r="G197" s="228"/>
      <c r="H197" s="229" t="s">
        <v>20</v>
      </c>
      <c r="I197" s="230" t="s">
        <v>7</v>
      </c>
      <c r="J197" s="214"/>
      <c r="K197" s="214"/>
      <c r="L197" s="214"/>
      <c r="M197" s="214"/>
      <c r="N197" s="214"/>
      <c r="O197" s="214"/>
      <c r="P197" s="214"/>
      <c r="Q197" s="214"/>
      <c r="R197" s="214"/>
      <c r="S197" s="214"/>
      <c r="T197" s="214"/>
      <c r="U197" s="214"/>
      <c r="V197" s="214"/>
      <c r="W197" s="214"/>
      <c r="X197" s="214"/>
      <c r="Y197" s="214"/>
      <c r="Z197" s="214"/>
      <c r="AA197" s="214"/>
      <c r="AB197" s="214"/>
      <c r="AC197" s="214"/>
    </row>
    <row r="198">
      <c r="A198" s="222"/>
      <c r="D198" s="286" t="s">
        <v>64</v>
      </c>
      <c r="E198" s="286">
        <v>3.0</v>
      </c>
      <c r="F198" s="261"/>
      <c r="G198" s="261"/>
      <c r="H198" s="262" t="s">
        <v>66</v>
      </c>
      <c r="I198" s="263" t="s">
        <v>65</v>
      </c>
      <c r="J198" s="214"/>
      <c r="K198" s="214"/>
      <c r="L198" s="214"/>
      <c r="M198" s="214"/>
      <c r="N198" s="214"/>
      <c r="O198" s="214"/>
      <c r="P198" s="214"/>
      <c r="Q198" s="214"/>
      <c r="R198" s="214"/>
      <c r="S198" s="214"/>
      <c r="T198" s="214"/>
      <c r="U198" s="214"/>
      <c r="V198" s="214"/>
      <c r="W198" s="214"/>
      <c r="X198" s="214"/>
      <c r="Y198" s="214"/>
      <c r="Z198" s="214"/>
      <c r="AA198" s="214"/>
      <c r="AB198" s="214"/>
      <c r="AC198" s="214"/>
    </row>
    <row r="199">
      <c r="A199" s="222"/>
      <c r="D199" s="279" t="s">
        <v>49</v>
      </c>
      <c r="E199" s="279">
        <v>2.0</v>
      </c>
      <c r="F199" s="280"/>
      <c r="G199" s="280"/>
      <c r="H199" s="281" t="s">
        <v>50</v>
      </c>
      <c r="I199" s="448" t="s">
        <v>43</v>
      </c>
      <c r="J199" s="214"/>
      <c r="K199" s="214"/>
      <c r="L199" s="214"/>
      <c r="M199" s="214"/>
      <c r="N199" s="214"/>
      <c r="O199" s="214"/>
      <c r="P199" s="214"/>
      <c r="Q199" s="214"/>
      <c r="R199" s="214"/>
      <c r="S199" s="214"/>
      <c r="T199" s="214"/>
      <c r="U199" s="214"/>
      <c r="V199" s="214"/>
      <c r="W199" s="214"/>
      <c r="X199" s="214"/>
      <c r="Y199" s="214"/>
      <c r="Z199" s="214"/>
      <c r="AA199" s="214"/>
      <c r="AB199" s="214"/>
      <c r="AC199" s="214"/>
    </row>
    <row r="200">
      <c r="A200" s="222"/>
      <c r="D200" s="279" t="s">
        <v>55</v>
      </c>
      <c r="E200" s="279">
        <v>1.0</v>
      </c>
      <c r="F200" s="280"/>
      <c r="G200" s="280"/>
      <c r="H200" s="281" t="s">
        <v>56</v>
      </c>
      <c r="I200" s="282" t="s">
        <v>43</v>
      </c>
      <c r="J200" s="214"/>
      <c r="K200" s="214"/>
      <c r="L200" s="214"/>
      <c r="M200" s="214"/>
      <c r="N200" s="214"/>
      <c r="O200" s="214"/>
      <c r="P200" s="214"/>
      <c r="Q200" s="214"/>
      <c r="R200" s="214"/>
      <c r="S200" s="214"/>
      <c r="T200" s="214"/>
      <c r="U200" s="214"/>
      <c r="V200" s="214"/>
      <c r="W200" s="214"/>
      <c r="X200" s="214"/>
      <c r="Y200" s="214"/>
      <c r="Z200" s="214"/>
      <c r="AA200" s="214"/>
      <c r="AB200" s="214"/>
      <c r="AC200" s="214"/>
    </row>
    <row r="201">
      <c r="A201" s="236"/>
      <c r="B201" s="237"/>
      <c r="C201" s="237"/>
      <c r="D201" s="227" t="s">
        <v>11</v>
      </c>
      <c r="E201" s="227">
        <v>2.0</v>
      </c>
      <c r="F201" s="228"/>
      <c r="G201" s="228"/>
      <c r="H201" s="229" t="s">
        <v>294</v>
      </c>
      <c r="I201" s="392" t="s">
        <v>7</v>
      </c>
      <c r="J201" s="214"/>
      <c r="K201" s="214"/>
      <c r="L201" s="214"/>
      <c r="M201" s="214"/>
      <c r="N201" s="214"/>
      <c r="O201" s="214"/>
      <c r="P201" s="214"/>
      <c r="Q201" s="214"/>
      <c r="R201" s="214"/>
      <c r="S201" s="214"/>
      <c r="T201" s="214"/>
      <c r="U201" s="214"/>
      <c r="V201" s="214"/>
      <c r="W201" s="214"/>
      <c r="X201" s="214"/>
      <c r="Y201" s="214"/>
      <c r="Z201" s="214"/>
      <c r="AA201" s="214"/>
      <c r="AB201" s="214"/>
      <c r="AC201" s="214"/>
    </row>
    <row r="202">
      <c r="A202" s="455" t="s">
        <v>320</v>
      </c>
      <c r="B202" s="456" t="s">
        <v>321</v>
      </c>
      <c r="C202" s="394">
        <f>sum(E202:E207)</f>
        <v>10</v>
      </c>
      <c r="D202" s="292" t="s">
        <v>79</v>
      </c>
      <c r="E202" s="292">
        <v>2.0</v>
      </c>
      <c r="F202" s="293"/>
      <c r="G202" s="293"/>
      <c r="H202" s="294" t="s">
        <v>80</v>
      </c>
      <c r="I202" s="457" t="s">
        <v>65</v>
      </c>
      <c r="J202" s="326"/>
      <c r="K202" s="214"/>
      <c r="L202" s="214"/>
      <c r="M202" s="214"/>
      <c r="N202" s="214"/>
      <c r="O202" s="214"/>
      <c r="P202" s="214"/>
      <c r="Q202" s="214"/>
      <c r="R202" s="214"/>
      <c r="S202" s="214"/>
      <c r="T202" s="214"/>
      <c r="U202" s="214"/>
      <c r="V202" s="214"/>
      <c r="W202" s="214"/>
      <c r="X202" s="214"/>
      <c r="Y202" s="214"/>
      <c r="Z202" s="214"/>
      <c r="AA202" s="214"/>
      <c r="AB202" s="214"/>
      <c r="AC202" s="214"/>
    </row>
    <row r="203">
      <c r="A203" s="222"/>
      <c r="D203" s="279" t="s">
        <v>52</v>
      </c>
      <c r="E203" s="279">
        <v>1.0</v>
      </c>
      <c r="F203" s="316"/>
      <c r="G203" s="316"/>
      <c r="H203" s="281" t="s">
        <v>53</v>
      </c>
      <c r="I203" s="448" t="s">
        <v>43</v>
      </c>
      <c r="J203" s="214"/>
      <c r="K203" s="214"/>
      <c r="L203" s="214"/>
      <c r="M203" s="214"/>
      <c r="N203" s="214"/>
      <c r="O203" s="214"/>
      <c r="P203" s="214"/>
      <c r="Q203" s="214"/>
      <c r="R203" s="214"/>
      <c r="S203" s="214"/>
      <c r="T203" s="214"/>
      <c r="U203" s="214"/>
      <c r="V203" s="214"/>
      <c r="W203" s="214"/>
      <c r="X203" s="214"/>
      <c r="Y203" s="214"/>
      <c r="Z203" s="214"/>
      <c r="AA203" s="214"/>
      <c r="AB203" s="214"/>
      <c r="AC203" s="214"/>
    </row>
    <row r="204">
      <c r="A204" s="222"/>
      <c r="D204" s="299" t="s">
        <v>156</v>
      </c>
      <c r="E204" s="299">
        <v>2.0</v>
      </c>
      <c r="F204" s="250"/>
      <c r="G204" s="250"/>
      <c r="H204" s="312" t="s">
        <v>157</v>
      </c>
      <c r="I204" s="253" t="s">
        <v>144</v>
      </c>
      <c r="J204" s="214"/>
      <c r="K204" s="214"/>
      <c r="L204" s="214"/>
      <c r="M204" s="214"/>
      <c r="N204" s="214"/>
      <c r="O204" s="214"/>
      <c r="P204" s="214"/>
      <c r="Q204" s="214"/>
      <c r="R204" s="214"/>
      <c r="S204" s="214"/>
      <c r="T204" s="214"/>
      <c r="U204" s="214"/>
      <c r="V204" s="214"/>
      <c r="W204" s="214"/>
      <c r="X204" s="214"/>
      <c r="Y204" s="214"/>
      <c r="Z204" s="214"/>
      <c r="AA204" s="214"/>
      <c r="AB204" s="214"/>
      <c r="AC204" s="214"/>
    </row>
    <row r="205">
      <c r="A205" s="222"/>
      <c r="D205" s="271" t="s">
        <v>162</v>
      </c>
      <c r="E205" s="271">
        <v>2.0</v>
      </c>
      <c r="F205" s="317"/>
      <c r="G205" s="317"/>
      <c r="H205" s="273" t="s">
        <v>164</v>
      </c>
      <c r="I205" s="393" t="s">
        <v>163</v>
      </c>
      <c r="J205" s="214"/>
      <c r="K205" s="214"/>
      <c r="L205" s="214"/>
      <c r="M205" s="214"/>
      <c r="N205" s="214"/>
      <c r="O205" s="214"/>
      <c r="P205" s="214"/>
      <c r="Q205" s="214"/>
      <c r="R205" s="214"/>
      <c r="S205" s="214"/>
      <c r="T205" s="214"/>
      <c r="U205" s="214"/>
      <c r="V205" s="214"/>
      <c r="W205" s="214"/>
      <c r="X205" s="214"/>
      <c r="Y205" s="214"/>
      <c r="Z205" s="214"/>
      <c r="AA205" s="214"/>
      <c r="AB205" s="214"/>
      <c r="AC205" s="214"/>
    </row>
    <row r="206">
      <c r="A206" s="222"/>
      <c r="D206" s="232" t="s">
        <v>129</v>
      </c>
      <c r="E206" s="232">
        <v>1.0</v>
      </c>
      <c r="F206" s="233"/>
      <c r="G206" s="233"/>
      <c r="H206" s="234" t="s">
        <v>130</v>
      </c>
      <c r="I206" s="235" t="s">
        <v>105</v>
      </c>
      <c r="J206" s="214"/>
      <c r="K206" s="214"/>
      <c r="L206" s="214"/>
      <c r="M206" s="214"/>
      <c r="N206" s="214"/>
      <c r="O206" s="214"/>
      <c r="P206" s="214"/>
      <c r="Q206" s="214"/>
      <c r="R206" s="214"/>
      <c r="S206" s="214"/>
      <c r="T206" s="214"/>
      <c r="U206" s="214"/>
      <c r="V206" s="214"/>
      <c r="W206" s="214"/>
      <c r="X206" s="214"/>
      <c r="Y206" s="214"/>
      <c r="Z206" s="214"/>
      <c r="AA206" s="214"/>
      <c r="AB206" s="214"/>
      <c r="AC206" s="214"/>
    </row>
    <row r="207">
      <c r="A207" s="236"/>
      <c r="B207" s="237"/>
      <c r="C207" s="237"/>
      <c r="D207" s="374" t="s">
        <v>17</v>
      </c>
      <c r="E207" s="374">
        <v>2.0</v>
      </c>
      <c r="F207" s="375"/>
      <c r="G207" s="375"/>
      <c r="H207" s="458" t="s">
        <v>260</v>
      </c>
      <c r="I207" s="377" t="s">
        <v>7</v>
      </c>
      <c r="J207" s="214"/>
      <c r="K207" s="214"/>
      <c r="L207" s="214"/>
      <c r="M207" s="214"/>
      <c r="N207" s="214"/>
      <c r="O207" s="214"/>
      <c r="P207" s="214"/>
      <c r="Q207" s="214"/>
      <c r="R207" s="214"/>
      <c r="S207" s="214"/>
      <c r="T207" s="214"/>
      <c r="U207" s="214"/>
      <c r="V207" s="214"/>
      <c r="W207" s="214"/>
      <c r="X207" s="214"/>
      <c r="Y207" s="214"/>
      <c r="Z207" s="214"/>
      <c r="AA207" s="214"/>
      <c r="AB207" s="214"/>
      <c r="AC207" s="214"/>
    </row>
    <row r="208">
      <c r="A208" s="242" t="s">
        <v>322</v>
      </c>
      <c r="B208" s="243" t="s">
        <v>323</v>
      </c>
      <c r="C208" s="394">
        <f>sum(E208:E212)</f>
        <v>10</v>
      </c>
      <c r="D208" s="245" t="s">
        <v>52</v>
      </c>
      <c r="E208" s="245">
        <v>1.0</v>
      </c>
      <c r="F208" s="246"/>
      <c r="G208" s="246"/>
      <c r="H208" s="247" t="s">
        <v>53</v>
      </c>
      <c r="I208" s="417" t="s">
        <v>43</v>
      </c>
      <c r="J208" s="214"/>
      <c r="K208" s="214"/>
      <c r="L208" s="214"/>
      <c r="M208" s="214"/>
      <c r="N208" s="214"/>
      <c r="O208" s="214"/>
      <c r="P208" s="214"/>
      <c r="Q208" s="214"/>
      <c r="R208" s="214"/>
      <c r="S208" s="214"/>
      <c r="T208" s="214"/>
      <c r="U208" s="214"/>
      <c r="V208" s="214"/>
      <c r="W208" s="214"/>
      <c r="X208" s="214"/>
      <c r="Y208" s="214"/>
      <c r="Z208" s="214"/>
      <c r="AA208" s="214"/>
      <c r="AB208" s="214"/>
      <c r="AC208" s="214"/>
    </row>
    <row r="209">
      <c r="A209" s="222"/>
      <c r="D209" s="333" t="s">
        <v>97</v>
      </c>
      <c r="E209" s="333">
        <v>2.0</v>
      </c>
      <c r="F209" s="276"/>
      <c r="G209" s="276"/>
      <c r="H209" s="334" t="s">
        <v>99</v>
      </c>
      <c r="I209" s="297" t="s">
        <v>98</v>
      </c>
      <c r="J209" s="214"/>
      <c r="K209" s="214"/>
      <c r="L209" s="214"/>
      <c r="M209" s="214"/>
      <c r="N209" s="214"/>
      <c r="O209" s="214"/>
      <c r="P209" s="214"/>
      <c r="Q209" s="214"/>
      <c r="R209" s="214"/>
      <c r="S209" s="214"/>
      <c r="T209" s="214"/>
      <c r="U209" s="214"/>
      <c r="V209" s="214"/>
      <c r="W209" s="214"/>
      <c r="X209" s="214"/>
      <c r="Y209" s="214"/>
      <c r="Z209" s="214"/>
      <c r="AA209" s="214"/>
      <c r="AB209" s="214"/>
      <c r="AC209" s="214"/>
    </row>
    <row r="210">
      <c r="A210" s="222"/>
      <c r="D210" s="299" t="s">
        <v>143</v>
      </c>
      <c r="E210" s="299">
        <v>5.0</v>
      </c>
      <c r="F210" s="250"/>
      <c r="G210" s="250"/>
      <c r="H210" s="312" t="s">
        <v>145</v>
      </c>
      <c r="I210" s="253" t="s">
        <v>144</v>
      </c>
      <c r="J210" s="214"/>
      <c r="K210" s="214"/>
      <c r="L210" s="214"/>
      <c r="M210" s="214"/>
      <c r="N210" s="214"/>
      <c r="O210" s="214"/>
      <c r="P210" s="214"/>
      <c r="Q210" s="214"/>
      <c r="R210" s="214"/>
      <c r="S210" s="214"/>
      <c r="T210" s="214"/>
      <c r="U210" s="214"/>
      <c r="V210" s="214"/>
      <c r="W210" s="214"/>
      <c r="X210" s="214"/>
      <c r="Y210" s="214"/>
      <c r="Z210" s="214"/>
      <c r="AA210" s="214"/>
      <c r="AB210" s="214"/>
      <c r="AC210" s="214"/>
    </row>
    <row r="211">
      <c r="A211" s="222"/>
      <c r="D211" s="339" t="s">
        <v>129</v>
      </c>
      <c r="E211" s="339">
        <v>1.0</v>
      </c>
      <c r="F211" s="254"/>
      <c r="G211" s="233"/>
      <c r="H211" s="340" t="s">
        <v>130</v>
      </c>
      <c r="I211" s="235" t="s">
        <v>105</v>
      </c>
      <c r="J211" s="214"/>
      <c r="K211" s="214"/>
      <c r="L211" s="214"/>
      <c r="M211" s="214"/>
      <c r="N211" s="214"/>
      <c r="O211" s="214"/>
      <c r="P211" s="214"/>
      <c r="Q211" s="214"/>
      <c r="R211" s="214"/>
      <c r="S211" s="214"/>
      <c r="T211" s="214"/>
      <c r="U211" s="214"/>
      <c r="V211" s="214"/>
      <c r="W211" s="214"/>
      <c r="X211" s="214"/>
      <c r="Y211" s="214"/>
      <c r="Z211" s="214"/>
      <c r="AA211" s="214"/>
      <c r="AB211" s="214"/>
      <c r="AC211" s="214"/>
    </row>
    <row r="212">
      <c r="A212" s="236"/>
      <c r="B212" s="237"/>
      <c r="C212" s="237"/>
      <c r="D212" s="459" t="s">
        <v>117</v>
      </c>
      <c r="E212" s="459">
        <v>1.0</v>
      </c>
      <c r="F212" s="404"/>
      <c r="G212" s="288"/>
      <c r="H212" s="460" t="s">
        <v>238</v>
      </c>
      <c r="I212" s="461" t="s">
        <v>105</v>
      </c>
      <c r="J212" s="214"/>
      <c r="K212" s="214"/>
      <c r="L212" s="214"/>
      <c r="M212" s="214"/>
      <c r="N212" s="214"/>
      <c r="O212" s="214"/>
      <c r="P212" s="214"/>
      <c r="Q212" s="214"/>
      <c r="R212" s="214"/>
      <c r="S212" s="214"/>
      <c r="T212" s="214"/>
      <c r="U212" s="214"/>
      <c r="V212" s="214"/>
      <c r="W212" s="214"/>
      <c r="X212" s="214"/>
      <c r="Y212" s="214"/>
      <c r="Z212" s="214"/>
      <c r="AA212" s="214"/>
      <c r="AB212" s="214"/>
      <c r="AC212" s="214"/>
    </row>
    <row r="213">
      <c r="A213" s="242" t="s">
        <v>324</v>
      </c>
      <c r="B213" s="243" t="s">
        <v>325</v>
      </c>
      <c r="C213" s="394">
        <f>sum(E213:E219)</f>
        <v>10</v>
      </c>
      <c r="D213" s="245" t="s">
        <v>55</v>
      </c>
      <c r="E213" s="245">
        <v>1.0</v>
      </c>
      <c r="F213" s="246"/>
      <c r="G213" s="246"/>
      <c r="H213" s="247" t="s">
        <v>56</v>
      </c>
      <c r="I213" s="248" t="s">
        <v>43</v>
      </c>
      <c r="J213" s="214"/>
      <c r="K213" s="214"/>
      <c r="L213" s="214"/>
      <c r="M213" s="214"/>
      <c r="N213" s="214"/>
      <c r="O213" s="214"/>
      <c r="P213" s="214"/>
      <c r="Q213" s="214"/>
      <c r="R213" s="214"/>
      <c r="S213" s="214"/>
      <c r="T213" s="214"/>
      <c r="U213" s="214"/>
      <c r="V213" s="214"/>
      <c r="W213" s="214"/>
      <c r="X213" s="214"/>
      <c r="Y213" s="214"/>
      <c r="Z213" s="214"/>
      <c r="AA213" s="214"/>
      <c r="AB213" s="214"/>
      <c r="AC213" s="214"/>
    </row>
    <row r="214">
      <c r="A214" s="222"/>
      <c r="D214" s="260" t="s">
        <v>326</v>
      </c>
      <c r="E214" s="260">
        <v>3.0</v>
      </c>
      <c r="F214" s="261"/>
      <c r="G214" s="261"/>
      <c r="H214" s="262" t="s">
        <v>66</v>
      </c>
      <c r="I214" s="263" t="s">
        <v>65</v>
      </c>
      <c r="J214" s="214"/>
      <c r="K214" s="214"/>
      <c r="L214" s="214"/>
      <c r="M214" s="214"/>
      <c r="N214" s="214"/>
      <c r="O214" s="214"/>
      <c r="P214" s="214"/>
      <c r="Q214" s="214"/>
      <c r="R214" s="214"/>
      <c r="S214" s="214"/>
      <c r="T214" s="214"/>
      <c r="U214" s="214"/>
      <c r="V214" s="214"/>
      <c r="W214" s="214"/>
      <c r="X214" s="214"/>
      <c r="Y214" s="214"/>
      <c r="Z214" s="214"/>
      <c r="AA214" s="214"/>
      <c r="AB214" s="214"/>
      <c r="AC214" s="214"/>
    </row>
    <row r="215">
      <c r="A215" s="222"/>
      <c r="D215" s="333" t="s">
        <v>97</v>
      </c>
      <c r="E215" s="333">
        <v>2.0</v>
      </c>
      <c r="F215" s="276"/>
      <c r="G215" s="276"/>
      <c r="H215" s="334" t="s">
        <v>99</v>
      </c>
      <c r="I215" s="278" t="s">
        <v>98</v>
      </c>
      <c r="J215" s="214"/>
      <c r="K215" s="214"/>
      <c r="L215" s="214"/>
      <c r="M215" s="214"/>
      <c r="N215" s="214"/>
      <c r="O215" s="214"/>
      <c r="P215" s="214"/>
      <c r="Q215" s="214"/>
      <c r="R215" s="214"/>
      <c r="S215" s="214"/>
      <c r="T215" s="214"/>
      <c r="U215" s="214"/>
      <c r="V215" s="214"/>
      <c r="W215" s="214"/>
      <c r="X215" s="214"/>
      <c r="Y215" s="214"/>
      <c r="Z215" s="214"/>
      <c r="AA215" s="214"/>
      <c r="AB215" s="214"/>
      <c r="AC215" s="214"/>
    </row>
    <row r="216">
      <c r="A216" s="222"/>
      <c r="D216" s="299" t="s">
        <v>327</v>
      </c>
      <c r="E216" s="299">
        <v>0.0</v>
      </c>
      <c r="F216" s="251"/>
      <c r="G216" s="251"/>
      <c r="H216" s="462" t="s">
        <v>328</v>
      </c>
      <c r="I216" s="300" t="s">
        <v>144</v>
      </c>
      <c r="J216" s="214"/>
      <c r="K216" s="214"/>
      <c r="L216" s="214"/>
      <c r="M216" s="214"/>
      <c r="N216" s="214"/>
      <c r="O216" s="214"/>
      <c r="P216" s="214"/>
      <c r="Q216" s="214"/>
      <c r="R216" s="214"/>
      <c r="S216" s="214"/>
      <c r="T216" s="214"/>
      <c r="U216" s="214"/>
      <c r="V216" s="214"/>
      <c r="W216" s="214"/>
      <c r="X216" s="214"/>
      <c r="Y216" s="214"/>
      <c r="Z216" s="214"/>
      <c r="AA216" s="214"/>
      <c r="AB216" s="214"/>
      <c r="AC216" s="214"/>
    </row>
    <row r="217">
      <c r="A217" s="222"/>
      <c r="D217" s="223" t="s">
        <v>179</v>
      </c>
      <c r="E217" s="223">
        <v>2.0</v>
      </c>
      <c r="F217" s="342"/>
      <c r="G217" s="342"/>
      <c r="H217" s="225" t="s">
        <v>180</v>
      </c>
      <c r="I217" s="344" t="s">
        <v>176</v>
      </c>
      <c r="J217" s="214"/>
      <c r="K217" s="214"/>
      <c r="L217" s="214"/>
      <c r="M217" s="214"/>
      <c r="N217" s="214"/>
      <c r="O217" s="214"/>
      <c r="P217" s="214"/>
      <c r="Q217" s="214"/>
      <c r="R217" s="214"/>
      <c r="S217" s="214"/>
      <c r="T217" s="214"/>
      <c r="U217" s="214"/>
      <c r="V217" s="214"/>
      <c r="W217" s="214"/>
      <c r="X217" s="214"/>
      <c r="Y217" s="214"/>
      <c r="Z217" s="214"/>
      <c r="AA217" s="214"/>
      <c r="AB217" s="214"/>
      <c r="AC217" s="214"/>
    </row>
    <row r="218">
      <c r="A218" s="222"/>
      <c r="D218" s="232" t="s">
        <v>329</v>
      </c>
      <c r="E218" s="232">
        <v>0.0</v>
      </c>
      <c r="F218" s="254"/>
      <c r="G218" s="254"/>
      <c r="H218" s="234" t="s">
        <v>330</v>
      </c>
      <c r="I218" s="235" t="s">
        <v>105</v>
      </c>
      <c r="J218" s="214"/>
      <c r="K218" s="214"/>
      <c r="L218" s="214"/>
      <c r="M218" s="214"/>
      <c r="N218" s="214"/>
      <c r="O218" s="214"/>
      <c r="P218" s="214"/>
      <c r="Q218" s="214"/>
      <c r="R218" s="214"/>
      <c r="S218" s="214"/>
      <c r="T218" s="214"/>
      <c r="U218" s="214"/>
      <c r="V218" s="214"/>
      <c r="W218" s="214"/>
      <c r="X218" s="214"/>
      <c r="Y218" s="214"/>
      <c r="Z218" s="214"/>
      <c r="AA218" s="214"/>
      <c r="AB218" s="214"/>
      <c r="AC218" s="214"/>
    </row>
    <row r="219">
      <c r="A219" s="236"/>
      <c r="B219" s="237"/>
      <c r="C219" s="237"/>
      <c r="D219" s="374" t="s">
        <v>11</v>
      </c>
      <c r="E219" s="374">
        <v>2.0</v>
      </c>
      <c r="F219" s="375"/>
      <c r="G219" s="375"/>
      <c r="H219" s="376" t="s">
        <v>294</v>
      </c>
      <c r="I219" s="377" t="s">
        <v>7</v>
      </c>
      <c r="J219" s="214"/>
      <c r="K219" s="214"/>
      <c r="L219" s="214"/>
      <c r="M219" s="214"/>
      <c r="N219" s="214"/>
      <c r="O219" s="214"/>
      <c r="P219" s="214"/>
      <c r="Q219" s="214"/>
      <c r="R219" s="214"/>
      <c r="S219" s="214"/>
      <c r="T219" s="214"/>
      <c r="U219" s="214"/>
      <c r="V219" s="214"/>
      <c r="W219" s="214"/>
      <c r="X219" s="214"/>
      <c r="Y219" s="214"/>
      <c r="Z219" s="214"/>
      <c r="AA219" s="214"/>
      <c r="AB219" s="214"/>
      <c r="AC219" s="214"/>
    </row>
    <row r="220">
      <c r="A220" s="242" t="s">
        <v>331</v>
      </c>
      <c r="B220" s="243" t="s">
        <v>332</v>
      </c>
      <c r="C220" s="394">
        <f>sum(E220:E224)</f>
        <v>10</v>
      </c>
      <c r="D220" s="292" t="s">
        <v>64</v>
      </c>
      <c r="E220" s="292">
        <v>3.0</v>
      </c>
      <c r="F220" s="324"/>
      <c r="G220" s="324"/>
      <c r="H220" s="262" t="s">
        <v>66</v>
      </c>
      <c r="I220" s="295" t="s">
        <v>65</v>
      </c>
      <c r="J220" s="214"/>
      <c r="K220" s="214"/>
      <c r="L220" s="214"/>
      <c r="M220" s="214"/>
      <c r="N220" s="214"/>
      <c r="O220" s="214"/>
      <c r="P220" s="214"/>
      <c r="Q220" s="214"/>
      <c r="R220" s="214"/>
      <c r="S220" s="214"/>
      <c r="T220" s="214"/>
      <c r="U220" s="214"/>
      <c r="V220" s="214"/>
      <c r="W220" s="214"/>
      <c r="X220" s="214"/>
      <c r="Y220" s="214"/>
      <c r="Z220" s="214"/>
      <c r="AA220" s="214"/>
      <c r="AB220" s="214"/>
      <c r="AC220" s="214"/>
    </row>
    <row r="221">
      <c r="A221" s="222"/>
      <c r="D221" s="333" t="s">
        <v>97</v>
      </c>
      <c r="E221" s="333">
        <v>2.0</v>
      </c>
      <c r="F221" s="276"/>
      <c r="G221" s="276"/>
      <c r="H221" s="334" t="s">
        <v>99</v>
      </c>
      <c r="I221" s="278" t="s">
        <v>98</v>
      </c>
      <c r="J221" s="214"/>
      <c r="K221" s="214"/>
      <c r="L221" s="214"/>
      <c r="M221" s="214"/>
      <c r="N221" s="214"/>
      <c r="O221" s="214"/>
      <c r="P221" s="214"/>
      <c r="Q221" s="214"/>
      <c r="R221" s="214"/>
      <c r="S221" s="214"/>
      <c r="T221" s="214"/>
      <c r="U221" s="214"/>
      <c r="V221" s="214"/>
      <c r="W221" s="214"/>
      <c r="X221" s="214"/>
      <c r="Y221" s="214"/>
      <c r="Z221" s="214"/>
      <c r="AA221" s="214"/>
      <c r="AB221" s="214"/>
      <c r="AC221" s="214"/>
    </row>
    <row r="222">
      <c r="A222" s="222"/>
      <c r="D222" s="341" t="s">
        <v>182</v>
      </c>
      <c r="E222" s="341">
        <v>3.0</v>
      </c>
      <c r="F222" s="342"/>
      <c r="G222" s="342"/>
      <c r="H222" s="343" t="s">
        <v>183</v>
      </c>
      <c r="I222" s="226" t="s">
        <v>176</v>
      </c>
      <c r="J222" s="214"/>
      <c r="K222" s="214"/>
      <c r="L222" s="214"/>
      <c r="M222" s="214"/>
      <c r="N222" s="214"/>
      <c r="O222" s="214"/>
      <c r="P222" s="214"/>
      <c r="Q222" s="214"/>
      <c r="R222" s="214"/>
      <c r="S222" s="214"/>
      <c r="T222" s="214"/>
      <c r="U222" s="214"/>
      <c r="V222" s="214"/>
      <c r="W222" s="214"/>
      <c r="X222" s="214"/>
      <c r="Y222" s="214"/>
      <c r="Z222" s="214"/>
      <c r="AA222" s="214"/>
      <c r="AB222" s="214"/>
      <c r="AC222" s="214"/>
    </row>
    <row r="223">
      <c r="A223" s="222"/>
      <c r="D223" s="256" t="s">
        <v>185</v>
      </c>
      <c r="E223" s="256">
        <v>1.0</v>
      </c>
      <c r="F223" s="301"/>
      <c r="G223" s="257"/>
      <c r="H223" s="258" t="s">
        <v>187</v>
      </c>
      <c r="I223" s="259" t="s">
        <v>186</v>
      </c>
      <c r="J223" s="214"/>
      <c r="K223" s="214"/>
      <c r="L223" s="214"/>
      <c r="M223" s="214"/>
      <c r="N223" s="214"/>
      <c r="O223" s="214"/>
      <c r="P223" s="214"/>
      <c r="Q223" s="214"/>
      <c r="R223" s="214"/>
      <c r="S223" s="214"/>
      <c r="T223" s="214"/>
      <c r="U223" s="214"/>
      <c r="V223" s="214"/>
      <c r="W223" s="214"/>
      <c r="X223" s="214"/>
      <c r="Y223" s="214"/>
      <c r="Z223" s="214"/>
      <c r="AA223" s="214"/>
      <c r="AB223" s="214"/>
      <c r="AC223" s="214"/>
    </row>
    <row r="224">
      <c r="A224" s="236"/>
      <c r="B224" s="237"/>
      <c r="C224" s="237"/>
      <c r="D224" s="287" t="s">
        <v>120</v>
      </c>
      <c r="E224" s="287">
        <v>1.0</v>
      </c>
      <c r="F224" s="404"/>
      <c r="G224" s="404"/>
      <c r="H224" s="289" t="s">
        <v>121</v>
      </c>
      <c r="I224" s="461" t="s">
        <v>105</v>
      </c>
      <c r="J224" s="214"/>
      <c r="K224" s="214"/>
      <c r="L224" s="214"/>
      <c r="M224" s="214"/>
      <c r="N224" s="214"/>
      <c r="O224" s="214"/>
      <c r="P224" s="214"/>
      <c r="Q224" s="214"/>
      <c r="R224" s="214"/>
      <c r="S224" s="214"/>
      <c r="T224" s="214"/>
      <c r="U224" s="214"/>
      <c r="V224" s="214"/>
      <c r="W224" s="214"/>
      <c r="X224" s="214"/>
      <c r="Y224" s="214"/>
      <c r="Z224" s="214"/>
      <c r="AA224" s="214"/>
      <c r="AB224" s="214"/>
      <c r="AC224" s="214"/>
    </row>
    <row r="225">
      <c r="A225" s="242" t="s">
        <v>333</v>
      </c>
      <c r="B225" s="243" t="s">
        <v>334</v>
      </c>
      <c r="C225" s="394">
        <f>sum(E225:E230)</f>
        <v>10</v>
      </c>
      <c r="D225" s="356" t="s">
        <v>254</v>
      </c>
      <c r="E225" s="356">
        <v>2.0</v>
      </c>
      <c r="F225" s="357"/>
      <c r="G225" s="357"/>
      <c r="H225" s="447" t="s">
        <v>255</v>
      </c>
      <c r="I225" s="359" t="s">
        <v>7</v>
      </c>
      <c r="J225" s="214"/>
      <c r="K225" s="214"/>
      <c r="L225" s="214"/>
      <c r="M225" s="214"/>
      <c r="N225" s="214"/>
      <c r="O225" s="214"/>
      <c r="P225" s="214"/>
      <c r="Q225" s="214"/>
      <c r="R225" s="214"/>
      <c r="S225" s="214"/>
      <c r="T225" s="214"/>
      <c r="U225" s="214"/>
      <c r="V225" s="214"/>
      <c r="W225" s="214"/>
      <c r="X225" s="214"/>
      <c r="Y225" s="214"/>
      <c r="Z225" s="214"/>
      <c r="AA225" s="214"/>
      <c r="AB225" s="214"/>
      <c r="AC225" s="214"/>
    </row>
    <row r="226">
      <c r="A226" s="222"/>
      <c r="D226" s="256" t="s">
        <v>189</v>
      </c>
      <c r="E226" s="256">
        <v>1.0</v>
      </c>
      <c r="F226" s="257"/>
      <c r="G226" s="257"/>
      <c r="H226" s="258" t="s">
        <v>190</v>
      </c>
      <c r="I226" s="259" t="s">
        <v>186</v>
      </c>
      <c r="J226" s="214"/>
      <c r="K226" s="214"/>
      <c r="L226" s="214"/>
      <c r="M226" s="214"/>
      <c r="N226" s="214"/>
      <c r="O226" s="214"/>
      <c r="P226" s="214"/>
      <c r="Q226" s="214"/>
      <c r="R226" s="214"/>
      <c r="S226" s="214"/>
      <c r="T226" s="214"/>
      <c r="U226" s="214"/>
      <c r="V226" s="214"/>
      <c r="W226" s="214"/>
      <c r="X226" s="214"/>
      <c r="Y226" s="214"/>
      <c r="Z226" s="214"/>
      <c r="AA226" s="214"/>
      <c r="AB226" s="214"/>
      <c r="AC226" s="214"/>
    </row>
    <row r="227">
      <c r="A227" s="222"/>
      <c r="D227" s="260" t="s">
        <v>73</v>
      </c>
      <c r="E227" s="260">
        <v>2.0</v>
      </c>
      <c r="F227" s="261"/>
      <c r="G227" s="261"/>
      <c r="H227" s="463" t="s">
        <v>74</v>
      </c>
      <c r="I227" s="464" t="s">
        <v>65</v>
      </c>
      <c r="J227" s="326"/>
      <c r="K227" s="214"/>
      <c r="L227" s="214"/>
      <c r="M227" s="214"/>
      <c r="N227" s="214"/>
      <c r="O227" s="214"/>
      <c r="P227" s="214"/>
      <c r="Q227" s="214"/>
      <c r="R227" s="214"/>
      <c r="S227" s="214"/>
      <c r="T227" s="214"/>
      <c r="U227" s="214"/>
      <c r="V227" s="214"/>
      <c r="W227" s="214"/>
      <c r="X227" s="214"/>
      <c r="Y227" s="214"/>
      <c r="Z227" s="214"/>
      <c r="AA227" s="214"/>
      <c r="AB227" s="214"/>
      <c r="AC227" s="214"/>
    </row>
    <row r="228">
      <c r="A228" s="222"/>
      <c r="D228" s="232" t="s">
        <v>129</v>
      </c>
      <c r="E228" s="232">
        <v>1.0</v>
      </c>
      <c r="F228" s="233"/>
      <c r="G228" s="233"/>
      <c r="H228" s="234" t="s">
        <v>130</v>
      </c>
      <c r="I228" s="298" t="s">
        <v>105</v>
      </c>
      <c r="J228" s="214"/>
      <c r="K228" s="214"/>
      <c r="L228" s="214"/>
      <c r="M228" s="214"/>
      <c r="N228" s="214"/>
      <c r="O228" s="214"/>
      <c r="P228" s="214"/>
      <c r="Q228" s="214"/>
      <c r="R228" s="214"/>
      <c r="S228" s="214"/>
      <c r="T228" s="214"/>
      <c r="U228" s="214"/>
      <c r="V228" s="214"/>
      <c r="W228" s="214"/>
      <c r="X228" s="214"/>
      <c r="Y228" s="214"/>
      <c r="Z228" s="214"/>
      <c r="AA228" s="214"/>
      <c r="AB228" s="214"/>
      <c r="AC228" s="214"/>
    </row>
    <row r="229">
      <c r="A229" s="222"/>
      <c r="D229" s="232" t="s">
        <v>134</v>
      </c>
      <c r="E229" s="232">
        <v>1.0</v>
      </c>
      <c r="F229" s="254"/>
      <c r="G229" s="254"/>
      <c r="H229" s="234" t="s">
        <v>135</v>
      </c>
      <c r="I229" s="298" t="s">
        <v>105</v>
      </c>
      <c r="J229" s="214"/>
      <c r="K229" s="214"/>
      <c r="L229" s="214"/>
      <c r="M229" s="214"/>
      <c r="N229" s="214"/>
      <c r="O229" s="214"/>
      <c r="P229" s="214"/>
      <c r="Q229" s="214"/>
      <c r="R229" s="214"/>
      <c r="S229" s="214"/>
      <c r="T229" s="214"/>
      <c r="U229" s="214"/>
      <c r="V229" s="214"/>
      <c r="W229" s="214"/>
      <c r="X229" s="214"/>
      <c r="Y229" s="214"/>
      <c r="Z229" s="214"/>
      <c r="AA229" s="214"/>
      <c r="AB229" s="214"/>
      <c r="AC229" s="214"/>
    </row>
    <row r="230">
      <c r="A230" s="236"/>
      <c r="B230" s="237"/>
      <c r="C230" s="237"/>
      <c r="D230" s="320" t="s">
        <v>335</v>
      </c>
      <c r="E230" s="320">
        <v>3.0</v>
      </c>
      <c r="F230" s="321"/>
      <c r="G230" s="321"/>
      <c r="H230" s="322" t="s">
        <v>336</v>
      </c>
      <c r="I230" s="437" t="s">
        <v>144</v>
      </c>
      <c r="J230" s="214"/>
      <c r="K230" s="214"/>
      <c r="L230" s="214"/>
      <c r="M230" s="214"/>
      <c r="N230" s="214"/>
      <c r="O230" s="214"/>
      <c r="P230" s="214"/>
      <c r="Q230" s="214"/>
      <c r="R230" s="214"/>
      <c r="S230" s="214"/>
      <c r="T230" s="214"/>
      <c r="U230" s="214"/>
      <c r="V230" s="214"/>
      <c r="W230" s="214"/>
      <c r="X230" s="214"/>
      <c r="Y230" s="214"/>
      <c r="Z230" s="214"/>
      <c r="AA230" s="214"/>
      <c r="AB230" s="214"/>
      <c r="AC230" s="214"/>
    </row>
    <row r="231">
      <c r="A231" s="242" t="s">
        <v>337</v>
      </c>
      <c r="B231" s="243" t="s">
        <v>338</v>
      </c>
      <c r="C231" s="394">
        <f>sum(E231:E235)</f>
        <v>10</v>
      </c>
      <c r="D231" s="245" t="s">
        <v>55</v>
      </c>
      <c r="E231" s="245">
        <v>1.0</v>
      </c>
      <c r="F231" s="465" t="s">
        <v>339</v>
      </c>
      <c r="G231" s="465" t="s">
        <v>340</v>
      </c>
      <c r="H231" s="247" t="s">
        <v>56</v>
      </c>
      <c r="I231" s="282" t="s">
        <v>43</v>
      </c>
      <c r="J231" s="214"/>
      <c r="K231" s="214"/>
      <c r="L231" s="214"/>
      <c r="M231" s="214"/>
      <c r="N231" s="214"/>
      <c r="O231" s="214"/>
      <c r="P231" s="214"/>
      <c r="Q231" s="214"/>
      <c r="R231" s="214"/>
      <c r="S231" s="214"/>
      <c r="T231" s="214"/>
      <c r="U231" s="214"/>
      <c r="V231" s="214"/>
      <c r="W231" s="214"/>
      <c r="X231" s="214"/>
      <c r="Y231" s="214"/>
      <c r="Z231" s="214"/>
      <c r="AA231" s="214"/>
      <c r="AB231" s="214"/>
      <c r="AC231" s="214"/>
    </row>
    <row r="232">
      <c r="A232" s="222"/>
      <c r="D232" s="232" t="s">
        <v>126</v>
      </c>
      <c r="E232" s="232">
        <v>1.0</v>
      </c>
      <c r="F232" s="466" t="s">
        <v>339</v>
      </c>
      <c r="G232" s="466" t="s">
        <v>340</v>
      </c>
      <c r="H232" s="234" t="s">
        <v>127</v>
      </c>
      <c r="I232" s="235" t="s">
        <v>105</v>
      </c>
      <c r="J232" s="214" t="s">
        <v>341</v>
      </c>
      <c r="K232" s="214"/>
      <c r="L232" s="214"/>
      <c r="M232" s="214"/>
      <c r="N232" s="214"/>
      <c r="O232" s="214"/>
      <c r="P232" s="214"/>
      <c r="Q232" s="214"/>
      <c r="R232" s="214"/>
      <c r="S232" s="214"/>
      <c r="T232" s="214"/>
      <c r="U232" s="214"/>
      <c r="V232" s="214"/>
      <c r="W232" s="214"/>
      <c r="X232" s="214"/>
      <c r="Y232" s="214"/>
      <c r="Z232" s="214"/>
      <c r="AA232" s="214"/>
      <c r="AB232" s="214"/>
      <c r="AC232" s="214"/>
    </row>
    <row r="233">
      <c r="A233" s="222"/>
      <c r="D233" s="402" t="s">
        <v>162</v>
      </c>
      <c r="E233" s="402">
        <v>2.0</v>
      </c>
      <c r="F233" s="467" t="s">
        <v>342</v>
      </c>
      <c r="G233" s="468" t="s">
        <v>343</v>
      </c>
      <c r="H233" s="403" t="s">
        <v>164</v>
      </c>
      <c r="I233" s="274" t="s">
        <v>163</v>
      </c>
      <c r="J233" s="214"/>
      <c r="K233" s="214"/>
      <c r="L233" s="214"/>
      <c r="M233" s="214"/>
      <c r="N233" s="214"/>
      <c r="O233" s="214"/>
      <c r="P233" s="214"/>
      <c r="Q233" s="214"/>
      <c r="R233" s="214"/>
      <c r="S233" s="214"/>
      <c r="T233" s="214"/>
      <c r="U233" s="214"/>
      <c r="V233" s="214"/>
      <c r="W233" s="214"/>
      <c r="X233" s="214"/>
      <c r="Y233" s="214"/>
      <c r="Z233" s="214"/>
      <c r="AA233" s="214"/>
      <c r="AB233" s="214"/>
      <c r="AC233" s="214"/>
    </row>
    <row r="234">
      <c r="A234" s="222"/>
      <c r="D234" s="299" t="s">
        <v>344</v>
      </c>
      <c r="E234" s="299">
        <v>4.0</v>
      </c>
      <c r="F234" s="469" t="s">
        <v>345</v>
      </c>
      <c r="G234" s="469" t="s">
        <v>346</v>
      </c>
      <c r="H234" s="312" t="s">
        <v>347</v>
      </c>
      <c r="I234" s="253" t="s">
        <v>144</v>
      </c>
      <c r="J234" s="214"/>
      <c r="K234" s="214"/>
      <c r="L234" s="214"/>
      <c r="M234" s="214"/>
      <c r="N234" s="214"/>
      <c r="O234" s="214"/>
      <c r="P234" s="214"/>
      <c r="Q234" s="214"/>
      <c r="R234" s="214"/>
      <c r="S234" s="214"/>
      <c r="T234" s="214"/>
      <c r="U234" s="214"/>
      <c r="V234" s="214"/>
      <c r="W234" s="214"/>
      <c r="X234" s="214"/>
      <c r="Y234" s="214"/>
      <c r="Z234" s="214"/>
      <c r="AA234" s="214"/>
      <c r="AB234" s="214"/>
      <c r="AC234" s="214"/>
    </row>
    <row r="235">
      <c r="A235" s="236"/>
      <c r="B235" s="237"/>
      <c r="C235" s="237"/>
      <c r="D235" s="418" t="s">
        <v>22</v>
      </c>
      <c r="E235" s="418">
        <v>2.0</v>
      </c>
      <c r="F235" s="470" t="s">
        <v>348</v>
      </c>
      <c r="G235" s="471" t="s">
        <v>340</v>
      </c>
      <c r="H235" s="420" t="s">
        <v>265</v>
      </c>
      <c r="I235" s="424" t="s">
        <v>23</v>
      </c>
      <c r="J235" s="214"/>
      <c r="K235" s="214"/>
      <c r="L235" s="214"/>
      <c r="M235" s="214"/>
      <c r="N235" s="214"/>
      <c r="O235" s="214"/>
      <c r="P235" s="214"/>
      <c r="Q235" s="214"/>
      <c r="R235" s="214"/>
      <c r="S235" s="214"/>
      <c r="T235" s="214"/>
      <c r="U235" s="214"/>
      <c r="V235" s="214"/>
      <c r="W235" s="214"/>
      <c r="X235" s="214"/>
      <c r="Y235" s="214"/>
      <c r="Z235" s="214"/>
      <c r="AA235" s="214"/>
      <c r="AB235" s="214"/>
      <c r="AC235" s="214"/>
    </row>
    <row r="236">
      <c r="A236" s="242" t="s">
        <v>349</v>
      </c>
      <c r="B236" s="243" t="s">
        <v>350</v>
      </c>
      <c r="C236" s="394">
        <f>sum(E236:E241)</f>
        <v>10</v>
      </c>
      <c r="D236" s="426" t="s">
        <v>22</v>
      </c>
      <c r="E236" s="426">
        <v>2.0</v>
      </c>
      <c r="F236" s="397"/>
      <c r="G236" s="397"/>
      <c r="H236" s="427" t="s">
        <v>265</v>
      </c>
      <c r="I236" s="428" t="s">
        <v>23</v>
      </c>
      <c r="J236" s="214"/>
      <c r="K236" s="214"/>
      <c r="L236" s="214"/>
      <c r="M236" s="214"/>
      <c r="N236" s="214"/>
      <c r="O236" s="214"/>
      <c r="P236" s="214"/>
      <c r="Q236" s="214"/>
      <c r="R236" s="214"/>
      <c r="S236" s="214"/>
      <c r="T236" s="214"/>
      <c r="U236" s="214"/>
      <c r="V236" s="214"/>
      <c r="W236" s="214"/>
      <c r="X236" s="214"/>
      <c r="Y236" s="214"/>
      <c r="Z236" s="214"/>
      <c r="AA236" s="214"/>
      <c r="AB236" s="214"/>
      <c r="AC236" s="214"/>
    </row>
    <row r="237">
      <c r="A237" s="222"/>
      <c r="D237" s="333" t="s">
        <v>97</v>
      </c>
      <c r="E237" s="333">
        <v>2.0</v>
      </c>
      <c r="F237" s="276"/>
      <c r="G237" s="276"/>
      <c r="H237" s="334" t="s">
        <v>99</v>
      </c>
      <c r="I237" s="278" t="s">
        <v>98</v>
      </c>
      <c r="J237" s="214"/>
      <c r="K237" s="214"/>
      <c r="L237" s="214"/>
      <c r="M237" s="214"/>
      <c r="N237" s="214"/>
      <c r="O237" s="214"/>
      <c r="P237" s="214"/>
      <c r="Q237" s="214"/>
      <c r="R237" s="214"/>
      <c r="S237" s="214"/>
      <c r="T237" s="214"/>
      <c r="U237" s="214"/>
      <c r="V237" s="214"/>
      <c r="W237" s="214"/>
      <c r="X237" s="214"/>
      <c r="Y237" s="214"/>
      <c r="Z237" s="214"/>
      <c r="AA237" s="214"/>
      <c r="AB237" s="214"/>
      <c r="AC237" s="214"/>
    </row>
    <row r="238">
      <c r="A238" s="222"/>
      <c r="D238" s="299" t="s">
        <v>159</v>
      </c>
      <c r="E238" s="299">
        <v>1.0</v>
      </c>
      <c r="F238" s="251"/>
      <c r="G238" s="251"/>
      <c r="H238" s="312" t="s">
        <v>160</v>
      </c>
      <c r="I238" s="300" t="s">
        <v>144</v>
      </c>
      <c r="J238" s="214"/>
      <c r="K238" s="214"/>
      <c r="L238" s="214"/>
      <c r="M238" s="214"/>
      <c r="N238" s="214"/>
      <c r="O238" s="214"/>
      <c r="P238" s="214"/>
      <c r="Q238" s="214"/>
      <c r="R238" s="214"/>
      <c r="S238" s="214"/>
      <c r="T238" s="214"/>
      <c r="U238" s="214"/>
      <c r="V238" s="214"/>
      <c r="W238" s="214"/>
      <c r="X238" s="214"/>
      <c r="Y238" s="214"/>
      <c r="Z238" s="214"/>
      <c r="AA238" s="214"/>
      <c r="AB238" s="214"/>
      <c r="AC238" s="214"/>
    </row>
    <row r="239">
      <c r="A239" s="222"/>
      <c r="D239" s="402" t="s">
        <v>162</v>
      </c>
      <c r="E239" s="402">
        <v>2.0</v>
      </c>
      <c r="F239" s="272"/>
      <c r="G239" s="272"/>
      <c r="H239" s="403" t="s">
        <v>164</v>
      </c>
      <c r="I239" s="274" t="s">
        <v>163</v>
      </c>
      <c r="J239" s="214"/>
      <c r="K239" s="214"/>
      <c r="L239" s="214"/>
      <c r="M239" s="214"/>
      <c r="N239" s="214"/>
      <c r="O239" s="214"/>
      <c r="P239" s="214"/>
      <c r="Q239" s="214"/>
      <c r="R239" s="214"/>
      <c r="S239" s="214"/>
      <c r="T239" s="214"/>
      <c r="U239" s="214"/>
      <c r="V239" s="214"/>
      <c r="W239" s="214"/>
      <c r="X239" s="214"/>
      <c r="Y239" s="214"/>
      <c r="Z239" s="214"/>
      <c r="AA239" s="214"/>
      <c r="AB239" s="214"/>
      <c r="AC239" s="214"/>
    </row>
    <row r="240">
      <c r="A240" s="222"/>
      <c r="D240" s="232" t="s">
        <v>134</v>
      </c>
      <c r="E240" s="232">
        <v>1.0</v>
      </c>
      <c r="F240" s="254"/>
      <c r="G240" s="254"/>
      <c r="H240" s="234" t="s">
        <v>135</v>
      </c>
      <c r="I240" s="298" t="s">
        <v>105</v>
      </c>
      <c r="J240" s="214"/>
      <c r="K240" s="214"/>
      <c r="L240" s="214"/>
      <c r="M240" s="214"/>
      <c r="N240" s="214"/>
      <c r="O240" s="214"/>
      <c r="P240" s="214"/>
      <c r="Q240" s="214"/>
      <c r="R240" s="214"/>
      <c r="S240" s="214"/>
      <c r="T240" s="214"/>
      <c r="U240" s="214"/>
      <c r="V240" s="214"/>
      <c r="W240" s="214"/>
      <c r="X240" s="214"/>
      <c r="Y240" s="214"/>
      <c r="Z240" s="214"/>
      <c r="AA240" s="214"/>
      <c r="AB240" s="214"/>
      <c r="AC240" s="214"/>
    </row>
    <row r="241">
      <c r="A241" s="236"/>
      <c r="B241" s="237"/>
      <c r="C241" s="237"/>
      <c r="D241" s="287" t="s">
        <v>351</v>
      </c>
      <c r="E241" s="287">
        <v>2.0</v>
      </c>
      <c r="F241" s="404"/>
      <c r="G241" s="404"/>
      <c r="H241" s="289" t="s">
        <v>352</v>
      </c>
      <c r="I241" s="461" t="s">
        <v>105</v>
      </c>
      <c r="J241" s="214"/>
      <c r="K241" s="214"/>
      <c r="L241" s="214"/>
      <c r="M241" s="214"/>
      <c r="N241" s="214"/>
      <c r="O241" s="214"/>
      <c r="P241" s="214"/>
      <c r="Q241" s="214"/>
      <c r="R241" s="214"/>
      <c r="S241" s="214"/>
      <c r="T241" s="214"/>
      <c r="U241" s="214"/>
      <c r="V241" s="214"/>
      <c r="W241" s="214"/>
      <c r="X241" s="214"/>
      <c r="Y241" s="214"/>
      <c r="Z241" s="214"/>
      <c r="AA241" s="214"/>
      <c r="AB241" s="214"/>
      <c r="AC241" s="214"/>
    </row>
    <row r="242">
      <c r="A242" s="242" t="s">
        <v>353</v>
      </c>
      <c r="B242" s="243" t="s">
        <v>354</v>
      </c>
      <c r="C242" s="394">
        <f>sum(E242:E246)</f>
        <v>10</v>
      </c>
      <c r="D242" s="472" t="s">
        <v>131</v>
      </c>
      <c r="E242" s="472">
        <v>1.0</v>
      </c>
      <c r="F242" s="473"/>
      <c r="G242" s="309"/>
      <c r="H242" s="474" t="s">
        <v>132</v>
      </c>
      <c r="I242" s="438" t="s">
        <v>105</v>
      </c>
      <c r="J242" s="214"/>
      <c r="K242" s="214"/>
      <c r="L242" s="214"/>
      <c r="M242" s="214"/>
      <c r="N242" s="214"/>
      <c r="O242" s="214"/>
      <c r="P242" s="214"/>
      <c r="Q242" s="214"/>
      <c r="R242" s="214"/>
      <c r="S242" s="214"/>
      <c r="T242" s="214"/>
      <c r="U242" s="214"/>
      <c r="V242" s="214"/>
      <c r="W242" s="214"/>
      <c r="X242" s="214"/>
      <c r="Y242" s="214"/>
      <c r="Z242" s="214"/>
      <c r="AA242" s="214"/>
      <c r="AB242" s="214"/>
      <c r="AC242" s="214"/>
    </row>
    <row r="243">
      <c r="A243" s="222"/>
      <c r="D243" s="232" t="s">
        <v>140</v>
      </c>
      <c r="E243" s="232">
        <v>1.0</v>
      </c>
      <c r="F243" s="233"/>
      <c r="G243" s="233"/>
      <c r="H243" s="234" t="s">
        <v>141</v>
      </c>
      <c r="I243" s="235" t="s">
        <v>105</v>
      </c>
      <c r="J243" s="214"/>
      <c r="K243" s="214"/>
      <c r="L243" s="214"/>
      <c r="M243" s="214"/>
      <c r="N243" s="214"/>
      <c r="O243" s="214"/>
      <c r="P243" s="214"/>
      <c r="Q243" s="214"/>
      <c r="R243" s="214"/>
      <c r="S243" s="214"/>
      <c r="T243" s="214"/>
      <c r="U243" s="214"/>
      <c r="V243" s="214"/>
      <c r="W243" s="214"/>
      <c r="X243" s="214"/>
      <c r="Y243" s="214"/>
      <c r="Z243" s="214"/>
      <c r="AA243" s="214"/>
      <c r="AB243" s="214"/>
      <c r="AC243" s="214"/>
    </row>
    <row r="244">
      <c r="A244" s="222"/>
      <c r="D244" s="339" t="s">
        <v>104</v>
      </c>
      <c r="E244" s="339">
        <v>2.0</v>
      </c>
      <c r="F244" s="254"/>
      <c r="G244" s="233"/>
      <c r="H244" s="340" t="s">
        <v>106</v>
      </c>
      <c r="I244" s="298" t="s">
        <v>105</v>
      </c>
      <c r="J244" s="214"/>
      <c r="K244" s="214"/>
      <c r="L244" s="214"/>
      <c r="M244" s="214"/>
      <c r="N244" s="214"/>
      <c r="O244" s="214"/>
      <c r="P244" s="214"/>
      <c r="Q244" s="214"/>
      <c r="R244" s="214"/>
      <c r="S244" s="214"/>
      <c r="T244" s="214"/>
      <c r="U244" s="214"/>
      <c r="V244" s="214"/>
      <c r="W244" s="214"/>
      <c r="X244" s="214"/>
      <c r="Y244" s="214"/>
      <c r="Z244" s="214"/>
      <c r="AA244" s="214"/>
      <c r="AB244" s="214"/>
      <c r="AC244" s="214"/>
    </row>
    <row r="245">
      <c r="A245" s="222"/>
      <c r="D245" s="286" t="s">
        <v>64</v>
      </c>
      <c r="E245" s="286">
        <v>3.0</v>
      </c>
      <c r="F245" s="318"/>
      <c r="G245" s="318"/>
      <c r="H245" s="262" t="s">
        <v>66</v>
      </c>
      <c r="I245" s="319" t="s">
        <v>65</v>
      </c>
      <c r="J245" s="214"/>
      <c r="K245" s="214"/>
      <c r="L245" s="214"/>
      <c r="M245" s="214"/>
      <c r="N245" s="214"/>
      <c r="O245" s="214"/>
      <c r="P245" s="214"/>
      <c r="Q245" s="214"/>
      <c r="R245" s="214"/>
      <c r="S245" s="214"/>
      <c r="T245" s="214"/>
      <c r="U245" s="214"/>
      <c r="V245" s="214"/>
      <c r="W245" s="214"/>
      <c r="X245" s="214"/>
      <c r="Y245" s="214"/>
      <c r="Z245" s="214"/>
      <c r="AA245" s="214"/>
      <c r="AB245" s="214"/>
      <c r="AC245" s="214"/>
    </row>
    <row r="246">
      <c r="A246" s="236"/>
      <c r="B246" s="237"/>
      <c r="C246" s="237"/>
      <c r="D246" s="320" t="s">
        <v>147</v>
      </c>
      <c r="E246" s="320">
        <v>3.0</v>
      </c>
      <c r="F246" s="436"/>
      <c r="G246" s="436"/>
      <c r="H246" s="322" t="s">
        <v>145</v>
      </c>
      <c r="I246" s="323" t="s">
        <v>144</v>
      </c>
      <c r="J246" s="214"/>
      <c r="K246" s="214"/>
      <c r="L246" s="214"/>
      <c r="M246" s="214"/>
      <c r="N246" s="214"/>
      <c r="O246" s="214"/>
      <c r="P246" s="214"/>
      <c r="Q246" s="214"/>
      <c r="R246" s="214"/>
      <c r="S246" s="214"/>
      <c r="T246" s="214"/>
      <c r="U246" s="214"/>
      <c r="V246" s="214"/>
      <c r="W246" s="214"/>
      <c r="X246" s="214"/>
      <c r="Y246" s="214"/>
      <c r="Z246" s="214"/>
      <c r="AA246" s="214"/>
      <c r="AB246" s="214"/>
      <c r="AC246" s="214"/>
    </row>
    <row r="247">
      <c r="A247" s="242" t="s">
        <v>355</v>
      </c>
      <c r="B247" s="243" t="s">
        <v>356</v>
      </c>
      <c r="C247" s="394">
        <f>sum(E247:E250)</f>
        <v>10</v>
      </c>
      <c r="D247" s="475" t="s">
        <v>97</v>
      </c>
      <c r="E247" s="475">
        <v>2.0</v>
      </c>
      <c r="F247" s="379"/>
      <c r="G247" s="379"/>
      <c r="H247" s="476" t="s">
        <v>99</v>
      </c>
      <c r="I247" s="381" t="s">
        <v>98</v>
      </c>
      <c r="J247" s="214"/>
      <c r="K247" s="214"/>
      <c r="L247" s="214"/>
      <c r="M247" s="214"/>
      <c r="N247" s="214"/>
      <c r="O247" s="214"/>
      <c r="P247" s="214"/>
      <c r="Q247" s="214"/>
      <c r="R247" s="214"/>
      <c r="S247" s="214"/>
      <c r="T247" s="214"/>
      <c r="U247" s="214"/>
      <c r="V247" s="214"/>
      <c r="W247" s="214"/>
      <c r="X247" s="214"/>
      <c r="Y247" s="214"/>
      <c r="Z247" s="214"/>
      <c r="AA247" s="214"/>
      <c r="AB247" s="214"/>
      <c r="AC247" s="214"/>
    </row>
    <row r="248">
      <c r="A248" s="222"/>
      <c r="D248" s="299" t="s">
        <v>147</v>
      </c>
      <c r="E248" s="299">
        <v>3.0</v>
      </c>
      <c r="F248" s="251"/>
      <c r="G248" s="251"/>
      <c r="H248" s="312" t="s">
        <v>145</v>
      </c>
      <c r="I248" s="253" t="s">
        <v>144</v>
      </c>
      <c r="J248" s="214"/>
      <c r="K248" s="214"/>
      <c r="L248" s="214"/>
      <c r="M248" s="214"/>
      <c r="N248" s="214"/>
      <c r="O248" s="214"/>
      <c r="P248" s="214"/>
      <c r="Q248" s="214"/>
      <c r="R248" s="214"/>
      <c r="S248" s="214"/>
      <c r="T248" s="214"/>
      <c r="U248" s="214"/>
      <c r="V248" s="214"/>
      <c r="W248" s="214"/>
      <c r="X248" s="214"/>
      <c r="Y248" s="214"/>
      <c r="Z248" s="214"/>
      <c r="AA248" s="214"/>
      <c r="AB248" s="214"/>
      <c r="AC248" s="214"/>
    </row>
    <row r="249" ht="24.75" customHeight="1">
      <c r="A249" s="222"/>
      <c r="D249" s="227" t="s">
        <v>17</v>
      </c>
      <c r="E249" s="227">
        <v>2.0</v>
      </c>
      <c r="F249" s="327"/>
      <c r="G249" s="327"/>
      <c r="H249" s="445" t="s">
        <v>260</v>
      </c>
      <c r="I249" s="230" t="s">
        <v>7</v>
      </c>
      <c r="J249" s="214"/>
      <c r="K249" s="214"/>
      <c r="L249" s="214"/>
      <c r="M249" s="214"/>
      <c r="N249" s="214"/>
      <c r="O249" s="214"/>
      <c r="P249" s="214"/>
      <c r="Q249" s="214"/>
      <c r="R249" s="214"/>
      <c r="S249" s="214"/>
      <c r="T249" s="214"/>
      <c r="U249" s="214"/>
      <c r="V249" s="214"/>
      <c r="W249" s="214"/>
      <c r="X249" s="214"/>
      <c r="Y249" s="214"/>
      <c r="Z249" s="214"/>
      <c r="AA249" s="214"/>
      <c r="AB249" s="214"/>
      <c r="AC249" s="214"/>
    </row>
    <row r="250">
      <c r="A250" s="236"/>
      <c r="B250" s="237"/>
      <c r="C250" s="237"/>
      <c r="D250" s="286" t="s">
        <v>64</v>
      </c>
      <c r="E250" s="238">
        <v>3.0</v>
      </c>
      <c r="F250" s="477"/>
      <c r="G250" s="477"/>
      <c r="H250" s="262" t="s">
        <v>66</v>
      </c>
      <c r="I250" s="241" t="s">
        <v>65</v>
      </c>
      <c r="J250" s="478"/>
      <c r="K250" s="214"/>
      <c r="L250" s="214"/>
      <c r="M250" s="214"/>
      <c r="N250" s="214"/>
      <c r="O250" s="214"/>
      <c r="P250" s="214"/>
      <c r="Q250" s="214"/>
      <c r="R250" s="214"/>
      <c r="S250" s="214"/>
      <c r="T250" s="214"/>
      <c r="U250" s="214"/>
      <c r="V250" s="214"/>
      <c r="W250" s="214"/>
      <c r="X250" s="214"/>
      <c r="Y250" s="214"/>
      <c r="Z250" s="214"/>
      <c r="AA250" s="214"/>
      <c r="AB250" s="214"/>
      <c r="AC250" s="214"/>
    </row>
    <row r="251">
      <c r="A251" s="242" t="s">
        <v>357</v>
      </c>
      <c r="B251" s="243" t="s">
        <v>358</v>
      </c>
      <c r="C251" s="394">
        <f>sum(E251:E256)</f>
        <v>10</v>
      </c>
      <c r="D251" s="426" t="s">
        <v>22</v>
      </c>
      <c r="E251" s="426">
        <v>2.0</v>
      </c>
      <c r="F251" s="396"/>
      <c r="G251" s="396"/>
      <c r="H251" s="427" t="s">
        <v>265</v>
      </c>
      <c r="I251" s="428" t="s">
        <v>23</v>
      </c>
      <c r="J251" s="214"/>
      <c r="K251" s="214"/>
      <c r="L251" s="214"/>
      <c r="M251" s="214"/>
      <c r="N251" s="214"/>
      <c r="O251" s="214"/>
      <c r="P251" s="214"/>
      <c r="Q251" s="214"/>
      <c r="R251" s="214"/>
      <c r="S251" s="214"/>
      <c r="T251" s="214"/>
      <c r="U251" s="214"/>
      <c r="V251" s="214"/>
      <c r="W251" s="214"/>
      <c r="X251" s="214"/>
      <c r="Y251" s="214"/>
      <c r="Z251" s="214"/>
      <c r="AA251" s="214"/>
      <c r="AB251" s="214"/>
      <c r="AC251" s="214"/>
    </row>
    <row r="252">
      <c r="A252" s="222"/>
      <c r="D252" s="279" t="s">
        <v>49</v>
      </c>
      <c r="E252" s="279">
        <v>2.0</v>
      </c>
      <c r="F252" s="316"/>
      <c r="G252" s="316"/>
      <c r="H252" s="281" t="s">
        <v>50</v>
      </c>
      <c r="I252" s="448" t="s">
        <v>43</v>
      </c>
      <c r="J252" s="214"/>
      <c r="K252" s="214"/>
      <c r="L252" s="214"/>
      <c r="M252" s="214"/>
      <c r="N252" s="214"/>
      <c r="O252" s="214"/>
      <c r="P252" s="214"/>
      <c r="Q252" s="214"/>
      <c r="R252" s="214"/>
      <c r="S252" s="214"/>
      <c r="T252" s="214"/>
      <c r="U252" s="214"/>
      <c r="V252" s="214"/>
      <c r="W252" s="214"/>
      <c r="X252" s="214"/>
      <c r="Y252" s="214"/>
      <c r="Z252" s="214"/>
      <c r="AA252" s="214"/>
      <c r="AB252" s="214"/>
      <c r="AC252" s="214"/>
    </row>
    <row r="253">
      <c r="A253" s="222"/>
      <c r="D253" s="286" t="s">
        <v>70</v>
      </c>
      <c r="E253" s="286">
        <v>2.0</v>
      </c>
      <c r="F253" s="318"/>
      <c r="G253" s="318"/>
      <c r="H253" s="262" t="s">
        <v>237</v>
      </c>
      <c r="I253" s="263" t="s">
        <v>65</v>
      </c>
      <c r="J253" s="214"/>
      <c r="K253" s="214"/>
      <c r="L253" s="214"/>
      <c r="M253" s="214"/>
      <c r="N253" s="214"/>
      <c r="O253" s="214"/>
      <c r="P253" s="214"/>
      <c r="Q253" s="214"/>
      <c r="R253" s="214"/>
      <c r="S253" s="214"/>
      <c r="T253" s="214"/>
      <c r="U253" s="214"/>
      <c r="V253" s="214"/>
      <c r="W253" s="214"/>
      <c r="X253" s="214"/>
      <c r="Y253" s="214"/>
      <c r="Z253" s="214"/>
      <c r="AA253" s="214"/>
      <c r="AB253" s="214"/>
      <c r="AC253" s="214"/>
    </row>
    <row r="254">
      <c r="A254" s="222"/>
      <c r="D254" s="232" t="s">
        <v>117</v>
      </c>
      <c r="E254" s="232">
        <v>1.0</v>
      </c>
      <c r="F254" s="254"/>
      <c r="G254" s="254"/>
      <c r="H254" s="234" t="s">
        <v>238</v>
      </c>
      <c r="I254" s="235" t="s">
        <v>105</v>
      </c>
      <c r="J254" s="214"/>
      <c r="K254" s="214"/>
      <c r="L254" s="214"/>
      <c r="M254" s="214"/>
      <c r="N254" s="214"/>
      <c r="O254" s="214"/>
      <c r="P254" s="214"/>
      <c r="Q254" s="214"/>
      <c r="R254" s="214"/>
      <c r="S254" s="214"/>
      <c r="T254" s="214"/>
      <c r="U254" s="214"/>
      <c r="V254" s="214"/>
      <c r="W254" s="214"/>
      <c r="X254" s="214"/>
      <c r="Y254" s="214"/>
      <c r="Z254" s="214"/>
      <c r="AA254" s="214"/>
      <c r="AB254" s="214"/>
      <c r="AC254" s="214"/>
    </row>
    <row r="255">
      <c r="A255" s="222"/>
      <c r="D255" s="249" t="s">
        <v>159</v>
      </c>
      <c r="E255" s="249">
        <v>1.0</v>
      </c>
      <c r="F255" s="251"/>
      <c r="G255" s="251"/>
      <c r="H255" s="252" t="s">
        <v>160</v>
      </c>
      <c r="I255" s="300" t="s">
        <v>144</v>
      </c>
      <c r="J255" s="214"/>
      <c r="K255" s="214"/>
      <c r="L255" s="214"/>
      <c r="M255" s="214"/>
      <c r="N255" s="214"/>
      <c r="O255" s="214"/>
      <c r="P255" s="214"/>
      <c r="Q255" s="214"/>
      <c r="R255" s="214"/>
      <c r="S255" s="214"/>
      <c r="T255" s="214"/>
      <c r="U255" s="214"/>
      <c r="V255" s="214"/>
      <c r="W255" s="214"/>
      <c r="X255" s="214"/>
      <c r="Y255" s="214"/>
      <c r="Z255" s="214"/>
      <c r="AA255" s="214"/>
      <c r="AB255" s="214"/>
      <c r="AC255" s="214"/>
    </row>
    <row r="256">
      <c r="A256" s="236"/>
      <c r="B256" s="237"/>
      <c r="C256" s="237"/>
      <c r="D256" s="264" t="s">
        <v>166</v>
      </c>
      <c r="E256" s="264">
        <v>2.0</v>
      </c>
      <c r="F256" s="479"/>
      <c r="G256" s="479"/>
      <c r="H256" s="266" t="s">
        <v>167</v>
      </c>
      <c r="I256" s="480" t="s">
        <v>163</v>
      </c>
      <c r="J256" s="214"/>
      <c r="K256" s="214"/>
      <c r="L256" s="214"/>
      <c r="M256" s="214"/>
      <c r="N256" s="214"/>
      <c r="O256" s="214"/>
      <c r="P256" s="214"/>
      <c r="Q256" s="214"/>
      <c r="R256" s="214"/>
      <c r="S256" s="214"/>
      <c r="T256" s="214"/>
      <c r="U256" s="214"/>
      <c r="V256" s="214"/>
      <c r="W256" s="214"/>
      <c r="X256" s="214"/>
      <c r="Y256" s="214"/>
      <c r="Z256" s="214"/>
      <c r="AA256" s="214"/>
      <c r="AB256" s="214"/>
      <c r="AC256" s="214"/>
    </row>
    <row r="257">
      <c r="A257" s="215" t="s">
        <v>359</v>
      </c>
      <c r="B257" s="243" t="s">
        <v>360</v>
      </c>
      <c r="C257" s="394">
        <f>sum(E257:E260)</f>
        <v>10</v>
      </c>
      <c r="D257" s="475" t="s">
        <v>97</v>
      </c>
      <c r="E257" s="475">
        <v>2.0</v>
      </c>
      <c r="F257" s="481"/>
      <c r="G257" s="379"/>
      <c r="H257" s="476" t="s">
        <v>99</v>
      </c>
      <c r="I257" s="381" t="s">
        <v>98</v>
      </c>
      <c r="J257" s="214"/>
      <c r="K257" s="214"/>
      <c r="L257" s="214"/>
      <c r="M257" s="214"/>
      <c r="N257" s="214"/>
      <c r="O257" s="214"/>
      <c r="P257" s="214"/>
      <c r="Q257" s="214"/>
      <c r="R257" s="214"/>
      <c r="S257" s="214"/>
      <c r="T257" s="214"/>
      <c r="U257" s="214"/>
      <c r="V257" s="214"/>
      <c r="W257" s="214"/>
      <c r="X257" s="214"/>
      <c r="Y257" s="214"/>
      <c r="Z257" s="214"/>
      <c r="AA257" s="214"/>
      <c r="AB257" s="214"/>
      <c r="AC257" s="214"/>
    </row>
    <row r="258">
      <c r="A258" s="222"/>
      <c r="D258" s="299" t="s">
        <v>143</v>
      </c>
      <c r="E258" s="299">
        <v>5.0</v>
      </c>
      <c r="F258" s="251"/>
      <c r="G258" s="251"/>
      <c r="H258" s="312" t="s">
        <v>145</v>
      </c>
      <c r="I258" s="300" t="s">
        <v>144</v>
      </c>
      <c r="J258" s="214"/>
      <c r="K258" s="214"/>
      <c r="L258" s="214"/>
      <c r="M258" s="214"/>
      <c r="N258" s="214"/>
      <c r="O258" s="214"/>
      <c r="P258" s="214"/>
      <c r="Q258" s="214"/>
      <c r="R258" s="214"/>
      <c r="S258" s="214"/>
      <c r="T258" s="214"/>
      <c r="U258" s="214"/>
      <c r="V258" s="214"/>
      <c r="W258" s="214"/>
      <c r="X258" s="214"/>
      <c r="Y258" s="214"/>
      <c r="Z258" s="214"/>
      <c r="AA258" s="214"/>
      <c r="AB258" s="214"/>
      <c r="AC258" s="214"/>
    </row>
    <row r="259">
      <c r="A259" s="222"/>
      <c r="D259" s="271" t="s">
        <v>162</v>
      </c>
      <c r="E259" s="271">
        <v>2.0</v>
      </c>
      <c r="F259" s="272"/>
      <c r="G259" s="272"/>
      <c r="H259" s="273" t="s">
        <v>164</v>
      </c>
      <c r="I259" s="274" t="s">
        <v>163</v>
      </c>
      <c r="J259" s="214"/>
      <c r="K259" s="214"/>
      <c r="L259" s="214"/>
      <c r="M259" s="214"/>
      <c r="N259" s="214"/>
      <c r="O259" s="214"/>
      <c r="P259" s="214"/>
      <c r="Q259" s="214"/>
      <c r="R259" s="214"/>
      <c r="S259" s="214"/>
      <c r="T259" s="214"/>
      <c r="U259" s="214"/>
      <c r="V259" s="214"/>
      <c r="W259" s="214"/>
      <c r="X259" s="214"/>
      <c r="Y259" s="214"/>
      <c r="Z259" s="214"/>
      <c r="AA259" s="214"/>
      <c r="AB259" s="214"/>
      <c r="AC259" s="214"/>
    </row>
    <row r="260">
      <c r="A260" s="236"/>
      <c r="B260" s="237"/>
      <c r="C260" s="237"/>
      <c r="D260" s="287" t="s">
        <v>131</v>
      </c>
      <c r="E260" s="287">
        <v>1.0</v>
      </c>
      <c r="F260" s="288"/>
      <c r="G260" s="288"/>
      <c r="H260" s="289" t="s">
        <v>132</v>
      </c>
      <c r="I260" s="290" t="s">
        <v>105</v>
      </c>
      <c r="J260" s="214"/>
      <c r="K260" s="214"/>
      <c r="L260" s="214"/>
      <c r="M260" s="214"/>
      <c r="N260" s="214"/>
      <c r="O260" s="214"/>
      <c r="P260" s="214"/>
      <c r="Q260" s="214"/>
      <c r="R260" s="214"/>
      <c r="S260" s="214"/>
      <c r="T260" s="214"/>
      <c r="U260" s="214"/>
      <c r="V260" s="214"/>
      <c r="W260" s="214"/>
      <c r="X260" s="214"/>
      <c r="Y260" s="214"/>
      <c r="Z260" s="214"/>
      <c r="AA260" s="214"/>
      <c r="AB260" s="214"/>
      <c r="AC260" s="214"/>
    </row>
    <row r="261">
      <c r="A261" s="242" t="s">
        <v>361</v>
      </c>
      <c r="B261" s="243" t="s">
        <v>362</v>
      </c>
      <c r="C261" s="394">
        <f>sum(E261:E266)</f>
        <v>10</v>
      </c>
      <c r="D261" s="245" t="s">
        <v>52</v>
      </c>
      <c r="E261" s="245">
        <v>1.0</v>
      </c>
      <c r="F261" s="246"/>
      <c r="G261" s="246"/>
      <c r="H261" s="247" t="s">
        <v>53</v>
      </c>
      <c r="I261" s="248" t="s">
        <v>43</v>
      </c>
      <c r="J261" s="214"/>
      <c r="K261" s="214"/>
      <c r="L261" s="214"/>
      <c r="M261" s="214"/>
      <c r="N261" s="214"/>
      <c r="O261" s="214"/>
      <c r="P261" s="214"/>
      <c r="Q261" s="214"/>
      <c r="R261" s="214"/>
      <c r="S261" s="214"/>
      <c r="T261" s="214"/>
      <c r="U261" s="214"/>
      <c r="V261" s="214"/>
      <c r="W261" s="214"/>
      <c r="X261" s="214"/>
      <c r="Y261" s="214"/>
      <c r="Z261" s="214"/>
      <c r="AA261" s="214"/>
      <c r="AB261" s="214"/>
      <c r="AC261" s="214"/>
    </row>
    <row r="262">
      <c r="A262" s="222"/>
      <c r="D262" s="286" t="s">
        <v>64</v>
      </c>
      <c r="E262" s="286">
        <v>3.0</v>
      </c>
      <c r="F262" s="261"/>
      <c r="G262" s="261"/>
      <c r="H262" s="262" t="s">
        <v>66</v>
      </c>
      <c r="I262" s="263" t="s">
        <v>65</v>
      </c>
      <c r="J262" s="214"/>
      <c r="K262" s="214"/>
      <c r="L262" s="214"/>
      <c r="M262" s="214"/>
      <c r="N262" s="214"/>
      <c r="O262" s="214"/>
      <c r="P262" s="214"/>
      <c r="Q262" s="214"/>
      <c r="R262" s="214"/>
      <c r="S262" s="214"/>
      <c r="T262" s="214"/>
      <c r="U262" s="214"/>
      <c r="V262" s="214"/>
      <c r="W262" s="214"/>
      <c r="X262" s="214"/>
      <c r="Y262" s="214"/>
      <c r="Z262" s="214"/>
      <c r="AA262" s="214"/>
      <c r="AB262" s="214"/>
      <c r="AC262" s="214"/>
    </row>
    <row r="263">
      <c r="A263" s="222"/>
      <c r="D263" s="333" t="s">
        <v>97</v>
      </c>
      <c r="E263" s="333">
        <v>2.0</v>
      </c>
      <c r="F263" s="276"/>
      <c r="G263" s="276"/>
      <c r="H263" s="334" t="s">
        <v>99</v>
      </c>
      <c r="I263" s="278" t="s">
        <v>98</v>
      </c>
      <c r="J263" s="214"/>
      <c r="K263" s="214"/>
      <c r="L263" s="214"/>
      <c r="M263" s="214"/>
      <c r="N263" s="214"/>
      <c r="O263" s="214"/>
      <c r="P263" s="214"/>
      <c r="Q263" s="214"/>
      <c r="R263" s="214"/>
      <c r="S263" s="214"/>
      <c r="T263" s="214"/>
      <c r="U263" s="214"/>
      <c r="V263" s="214"/>
      <c r="W263" s="214"/>
      <c r="X263" s="214"/>
      <c r="Y263" s="214"/>
      <c r="Z263" s="214"/>
      <c r="AA263" s="214"/>
      <c r="AB263" s="214"/>
      <c r="AC263" s="214"/>
    </row>
    <row r="264">
      <c r="A264" s="222"/>
      <c r="D264" s="271" t="s">
        <v>162</v>
      </c>
      <c r="E264" s="271">
        <v>2.0</v>
      </c>
      <c r="F264" s="272"/>
      <c r="G264" s="272"/>
      <c r="H264" s="273" t="s">
        <v>164</v>
      </c>
      <c r="I264" s="393" t="s">
        <v>163</v>
      </c>
      <c r="J264" s="214"/>
      <c r="K264" s="214"/>
      <c r="L264" s="214"/>
      <c r="M264" s="214"/>
      <c r="N264" s="214"/>
      <c r="O264" s="214"/>
      <c r="P264" s="214"/>
      <c r="Q264" s="214"/>
      <c r="R264" s="214"/>
      <c r="S264" s="214"/>
      <c r="T264" s="214"/>
      <c r="U264" s="214"/>
      <c r="V264" s="214"/>
      <c r="W264" s="214"/>
      <c r="X264" s="214"/>
      <c r="Y264" s="214"/>
      <c r="Z264" s="214"/>
      <c r="AA264" s="214"/>
      <c r="AB264" s="214"/>
      <c r="AC264" s="214"/>
    </row>
    <row r="265">
      <c r="A265" s="222"/>
      <c r="D265" s="256" t="s">
        <v>185</v>
      </c>
      <c r="E265" s="313">
        <v>1.0</v>
      </c>
      <c r="F265" s="257"/>
      <c r="G265" s="257"/>
      <c r="H265" s="314" t="s">
        <v>187</v>
      </c>
      <c r="I265" s="259" t="s">
        <v>186</v>
      </c>
      <c r="J265" s="214"/>
      <c r="K265" s="214"/>
      <c r="L265" s="214"/>
      <c r="M265" s="214"/>
      <c r="N265" s="214"/>
      <c r="O265" s="214"/>
      <c r="P265" s="214"/>
      <c r="Q265" s="214"/>
      <c r="R265" s="214"/>
      <c r="S265" s="214"/>
      <c r="T265" s="214"/>
      <c r="U265" s="214"/>
      <c r="V265" s="214"/>
      <c r="W265" s="214"/>
      <c r="X265" s="214"/>
      <c r="Y265" s="214"/>
      <c r="Z265" s="214"/>
      <c r="AA265" s="214"/>
      <c r="AB265" s="214"/>
      <c r="AC265" s="214"/>
    </row>
    <row r="266">
      <c r="A266" s="236"/>
      <c r="B266" s="237"/>
      <c r="C266" s="237"/>
      <c r="D266" s="287" t="s">
        <v>120</v>
      </c>
      <c r="E266" s="287">
        <v>1.0</v>
      </c>
      <c r="F266" s="288"/>
      <c r="G266" s="288"/>
      <c r="H266" s="289" t="s">
        <v>121</v>
      </c>
      <c r="I266" s="461" t="s">
        <v>105</v>
      </c>
      <c r="J266" s="214"/>
      <c r="K266" s="214"/>
      <c r="L266" s="214"/>
      <c r="M266" s="214"/>
      <c r="N266" s="214"/>
      <c r="O266" s="214"/>
      <c r="P266" s="214"/>
      <c r="Q266" s="214"/>
      <c r="R266" s="214"/>
      <c r="S266" s="214"/>
      <c r="T266" s="214"/>
      <c r="U266" s="214"/>
      <c r="V266" s="214"/>
      <c r="W266" s="214"/>
      <c r="X266" s="214"/>
      <c r="Y266" s="214"/>
      <c r="Z266" s="214"/>
      <c r="AA266" s="214"/>
      <c r="AB266" s="214"/>
      <c r="AC266" s="214"/>
    </row>
    <row r="267">
      <c r="A267" s="242" t="s">
        <v>363</v>
      </c>
      <c r="B267" s="216" t="s">
        <v>364</v>
      </c>
      <c r="C267" s="394">
        <f>sum(E267:E272)</f>
        <v>10</v>
      </c>
      <c r="D267" s="356" t="s">
        <v>11</v>
      </c>
      <c r="E267" s="356">
        <v>2.0</v>
      </c>
      <c r="F267" s="357"/>
      <c r="G267" s="357"/>
      <c r="H267" s="447" t="s">
        <v>294</v>
      </c>
      <c r="I267" s="359" t="s">
        <v>7</v>
      </c>
      <c r="J267" s="214"/>
      <c r="K267" s="214"/>
      <c r="L267" s="214"/>
      <c r="M267" s="214"/>
      <c r="N267" s="214"/>
      <c r="O267" s="214"/>
      <c r="P267" s="214"/>
      <c r="Q267" s="214"/>
      <c r="R267" s="214"/>
      <c r="S267" s="214"/>
      <c r="T267" s="214"/>
      <c r="U267" s="214"/>
      <c r="V267" s="214"/>
      <c r="W267" s="214"/>
      <c r="X267" s="214"/>
      <c r="Y267" s="214"/>
      <c r="Z267" s="214"/>
      <c r="AA267" s="214"/>
      <c r="AB267" s="214"/>
      <c r="AC267" s="214"/>
    </row>
    <row r="268">
      <c r="A268" s="222"/>
      <c r="D268" s="279" t="s">
        <v>49</v>
      </c>
      <c r="E268" s="279">
        <v>2.0</v>
      </c>
      <c r="F268" s="280"/>
      <c r="G268" s="280"/>
      <c r="H268" s="281" t="s">
        <v>50</v>
      </c>
      <c r="I268" s="282" t="s">
        <v>43</v>
      </c>
      <c r="J268" s="214"/>
      <c r="K268" s="214"/>
      <c r="L268" s="214"/>
      <c r="M268" s="214"/>
      <c r="N268" s="214"/>
      <c r="O268" s="214"/>
      <c r="P268" s="214"/>
      <c r="Q268" s="214"/>
      <c r="R268" s="214"/>
      <c r="S268" s="214"/>
      <c r="T268" s="214"/>
      <c r="U268" s="214"/>
      <c r="V268" s="214"/>
      <c r="W268" s="214"/>
      <c r="X268" s="214"/>
      <c r="Y268" s="214"/>
      <c r="Z268" s="214"/>
      <c r="AA268" s="214"/>
      <c r="AB268" s="214"/>
      <c r="AC268" s="214"/>
    </row>
    <row r="269">
      <c r="A269" s="222"/>
      <c r="D269" s="232" t="s">
        <v>117</v>
      </c>
      <c r="E269" s="232">
        <v>1.0</v>
      </c>
      <c r="F269" s="254"/>
      <c r="G269" s="233"/>
      <c r="H269" s="234" t="s">
        <v>238</v>
      </c>
      <c r="I269" s="235" t="s">
        <v>105</v>
      </c>
      <c r="J269" s="214"/>
      <c r="K269" s="214"/>
      <c r="L269" s="214"/>
      <c r="M269" s="214"/>
      <c r="N269" s="214"/>
      <c r="O269" s="214"/>
      <c r="P269" s="214"/>
      <c r="Q269" s="214"/>
      <c r="R269" s="214"/>
      <c r="S269" s="214"/>
      <c r="T269" s="214"/>
      <c r="U269" s="214"/>
      <c r="V269" s="214"/>
      <c r="W269" s="214"/>
      <c r="X269" s="214"/>
      <c r="Y269" s="214"/>
      <c r="Z269" s="214"/>
      <c r="AA269" s="214"/>
      <c r="AB269" s="214"/>
      <c r="AC269" s="214"/>
    </row>
    <row r="270">
      <c r="A270" s="222"/>
      <c r="D270" s="286" t="s">
        <v>70</v>
      </c>
      <c r="E270" s="286">
        <v>2.0</v>
      </c>
      <c r="F270" s="261"/>
      <c r="G270" s="261"/>
      <c r="H270" s="262" t="s">
        <v>237</v>
      </c>
      <c r="I270" s="263" t="s">
        <v>65</v>
      </c>
      <c r="J270" s="214"/>
      <c r="K270" s="214"/>
      <c r="L270" s="214"/>
      <c r="M270" s="214"/>
      <c r="N270" s="214"/>
      <c r="O270" s="214"/>
      <c r="P270" s="214"/>
      <c r="Q270" s="214"/>
      <c r="R270" s="214"/>
      <c r="S270" s="214"/>
      <c r="T270" s="214"/>
      <c r="U270" s="214"/>
      <c r="V270" s="214"/>
      <c r="W270" s="214"/>
      <c r="X270" s="214"/>
      <c r="Y270" s="214"/>
      <c r="Z270" s="214"/>
      <c r="AA270" s="214"/>
      <c r="AB270" s="214"/>
      <c r="AC270" s="214"/>
    </row>
    <row r="271">
      <c r="A271" s="222"/>
      <c r="D271" s="279" t="s">
        <v>58</v>
      </c>
      <c r="E271" s="279">
        <v>1.0</v>
      </c>
      <c r="F271" s="316"/>
      <c r="G271" s="316"/>
      <c r="H271" s="281" t="s">
        <v>59</v>
      </c>
      <c r="I271" s="448" t="s">
        <v>43</v>
      </c>
      <c r="J271" s="214"/>
      <c r="K271" s="214"/>
      <c r="L271" s="214"/>
      <c r="M271" s="214"/>
      <c r="N271" s="214"/>
      <c r="O271" s="214"/>
      <c r="P271" s="214"/>
      <c r="Q271" s="214"/>
      <c r="R271" s="214"/>
      <c r="S271" s="214"/>
      <c r="T271" s="214"/>
      <c r="U271" s="214"/>
      <c r="V271" s="214"/>
      <c r="W271" s="214"/>
      <c r="X271" s="214"/>
      <c r="Y271" s="214"/>
      <c r="Z271" s="214"/>
      <c r="AA271" s="214"/>
      <c r="AB271" s="214"/>
      <c r="AC271" s="214"/>
    </row>
    <row r="272">
      <c r="A272" s="236"/>
      <c r="B272" s="237"/>
      <c r="C272" s="237"/>
      <c r="D272" s="418" t="s">
        <v>22</v>
      </c>
      <c r="E272" s="418">
        <v>2.0</v>
      </c>
      <c r="F272" s="419"/>
      <c r="G272" s="419"/>
      <c r="H272" s="420" t="s">
        <v>265</v>
      </c>
      <c r="I272" s="421" t="s">
        <v>23</v>
      </c>
      <c r="J272" s="214"/>
      <c r="K272" s="214"/>
      <c r="L272" s="214"/>
      <c r="M272" s="214"/>
      <c r="N272" s="214"/>
      <c r="O272" s="214"/>
      <c r="P272" s="214"/>
      <c r="Q272" s="214"/>
      <c r="R272" s="214"/>
      <c r="S272" s="214"/>
      <c r="T272" s="214"/>
      <c r="U272" s="214"/>
      <c r="V272" s="214"/>
      <c r="W272" s="214"/>
      <c r="X272" s="214"/>
      <c r="Y272" s="214"/>
      <c r="Z272" s="214"/>
      <c r="AA272" s="214"/>
      <c r="AB272" s="214"/>
      <c r="AC272" s="214"/>
    </row>
    <row r="273">
      <c r="A273" s="242" t="s">
        <v>365</v>
      </c>
      <c r="B273" s="444" t="s">
        <v>366</v>
      </c>
      <c r="C273" s="394">
        <f>sum(E273:E276)</f>
        <v>10</v>
      </c>
      <c r="D273" s="356" t="s">
        <v>11</v>
      </c>
      <c r="E273" s="356">
        <v>2.0</v>
      </c>
      <c r="F273" s="357"/>
      <c r="G273" s="357"/>
      <c r="H273" s="447" t="s">
        <v>294</v>
      </c>
      <c r="I273" s="482" t="s">
        <v>7</v>
      </c>
      <c r="J273" s="214"/>
      <c r="K273" s="214"/>
      <c r="L273" s="214"/>
      <c r="M273" s="214"/>
      <c r="N273" s="214"/>
      <c r="O273" s="214"/>
      <c r="P273" s="214"/>
      <c r="Q273" s="214"/>
      <c r="R273" s="214"/>
      <c r="S273" s="214"/>
      <c r="T273" s="214"/>
      <c r="U273" s="214"/>
      <c r="V273" s="214"/>
      <c r="W273" s="214"/>
      <c r="X273" s="214"/>
      <c r="Y273" s="214"/>
      <c r="Z273" s="214"/>
      <c r="AA273" s="214"/>
      <c r="AB273" s="214"/>
      <c r="AC273" s="214"/>
    </row>
    <row r="274">
      <c r="A274" s="222"/>
      <c r="D274" s="333" t="s">
        <v>97</v>
      </c>
      <c r="E274" s="333">
        <v>2.0</v>
      </c>
      <c r="F274" s="276"/>
      <c r="G274" s="276"/>
      <c r="H274" s="334" t="s">
        <v>99</v>
      </c>
      <c r="I274" s="278" t="s">
        <v>98</v>
      </c>
      <c r="J274" s="214"/>
      <c r="K274" s="214"/>
      <c r="L274" s="214"/>
      <c r="M274" s="214"/>
      <c r="N274" s="214"/>
      <c r="O274" s="214"/>
      <c r="P274" s="214"/>
      <c r="Q274" s="214"/>
      <c r="R274" s="214"/>
      <c r="S274" s="214"/>
      <c r="T274" s="214"/>
      <c r="U274" s="214"/>
      <c r="V274" s="214"/>
      <c r="W274" s="214"/>
      <c r="X274" s="214"/>
      <c r="Y274" s="214"/>
      <c r="Z274" s="214"/>
      <c r="AA274" s="214"/>
      <c r="AB274" s="214"/>
      <c r="AC274" s="214"/>
    </row>
    <row r="275">
      <c r="A275" s="222"/>
      <c r="D275" s="339" t="s">
        <v>120</v>
      </c>
      <c r="E275" s="339">
        <v>1.0</v>
      </c>
      <c r="F275" s="233"/>
      <c r="G275" s="233"/>
      <c r="H275" s="340" t="s">
        <v>289</v>
      </c>
      <c r="I275" s="235" t="s">
        <v>105</v>
      </c>
      <c r="J275" s="214"/>
      <c r="K275" s="214"/>
      <c r="L275" s="214"/>
      <c r="M275" s="214"/>
      <c r="N275" s="214"/>
      <c r="O275" s="214"/>
      <c r="P275" s="214"/>
      <c r="Q275" s="214"/>
      <c r="R275" s="214"/>
      <c r="S275" s="214"/>
      <c r="T275" s="214"/>
      <c r="U275" s="214"/>
      <c r="V275" s="214"/>
      <c r="W275" s="214"/>
      <c r="X275" s="214"/>
      <c r="Y275" s="214"/>
      <c r="Z275" s="214"/>
      <c r="AA275" s="214"/>
      <c r="AB275" s="214"/>
      <c r="AC275" s="214"/>
    </row>
    <row r="276">
      <c r="A276" s="236"/>
      <c r="B276" s="237"/>
      <c r="C276" s="237"/>
      <c r="D276" s="320" t="s">
        <v>143</v>
      </c>
      <c r="E276" s="320">
        <v>5.0</v>
      </c>
      <c r="F276" s="321"/>
      <c r="G276" s="321"/>
      <c r="H276" s="322" t="s">
        <v>145</v>
      </c>
      <c r="I276" s="323" t="s">
        <v>144</v>
      </c>
      <c r="J276" s="214"/>
      <c r="K276" s="214"/>
      <c r="L276" s="214"/>
      <c r="M276" s="214"/>
      <c r="N276" s="214"/>
      <c r="O276" s="214"/>
      <c r="P276" s="214"/>
      <c r="Q276" s="214"/>
      <c r="R276" s="214"/>
      <c r="S276" s="214"/>
      <c r="T276" s="214"/>
      <c r="U276" s="214"/>
      <c r="V276" s="214"/>
      <c r="W276" s="214"/>
      <c r="X276" s="214"/>
      <c r="Y276" s="214"/>
      <c r="Z276" s="214"/>
      <c r="AA276" s="214"/>
      <c r="AB276" s="214"/>
      <c r="AC276" s="214"/>
    </row>
    <row r="277">
      <c r="A277" s="242" t="s">
        <v>367</v>
      </c>
      <c r="B277" s="216" t="s">
        <v>368</v>
      </c>
      <c r="C277" s="394">
        <f>sum(E277:E281)</f>
        <v>10</v>
      </c>
      <c r="D277" s="292" t="s">
        <v>64</v>
      </c>
      <c r="E277" s="292">
        <v>3.0</v>
      </c>
      <c r="F277" s="293"/>
      <c r="G277" s="324"/>
      <c r="H277" s="262" t="s">
        <v>66</v>
      </c>
      <c r="I277" s="295" t="s">
        <v>65</v>
      </c>
      <c r="J277" s="214"/>
      <c r="K277" s="214"/>
      <c r="L277" s="214"/>
      <c r="M277" s="214"/>
      <c r="N277" s="214"/>
      <c r="O277" s="214"/>
      <c r="P277" s="214"/>
      <c r="Q277" s="214"/>
      <c r="R277" s="214"/>
      <c r="S277" s="214"/>
      <c r="T277" s="214"/>
      <c r="U277" s="214"/>
      <c r="V277" s="214"/>
      <c r="W277" s="214"/>
      <c r="X277" s="214"/>
      <c r="Y277" s="214"/>
      <c r="Z277" s="214"/>
      <c r="AA277" s="214"/>
      <c r="AB277" s="214"/>
      <c r="AC277" s="214"/>
    </row>
    <row r="278">
      <c r="A278" s="222"/>
      <c r="D278" s="333" t="s">
        <v>101</v>
      </c>
      <c r="E278" s="333">
        <v>2.0</v>
      </c>
      <c r="F278" s="276"/>
      <c r="G278" s="276"/>
      <c r="H278" s="334" t="s">
        <v>102</v>
      </c>
      <c r="I278" s="278" t="s">
        <v>98</v>
      </c>
      <c r="J278" s="214"/>
      <c r="K278" s="214"/>
      <c r="L278" s="214"/>
      <c r="M278" s="214"/>
      <c r="N278" s="214"/>
      <c r="O278" s="214"/>
      <c r="P278" s="214"/>
      <c r="Q278" s="214"/>
      <c r="R278" s="214"/>
      <c r="S278" s="214"/>
      <c r="T278" s="214"/>
      <c r="U278" s="214"/>
      <c r="V278" s="214"/>
      <c r="W278" s="214"/>
      <c r="X278" s="214"/>
      <c r="Y278" s="214"/>
      <c r="Z278" s="214"/>
      <c r="AA278" s="214"/>
      <c r="AB278" s="214"/>
      <c r="AC278" s="214"/>
    </row>
    <row r="279">
      <c r="A279" s="222"/>
      <c r="D279" s="232" t="s">
        <v>129</v>
      </c>
      <c r="E279" s="232">
        <v>1.0</v>
      </c>
      <c r="F279" s="233"/>
      <c r="G279" s="233"/>
      <c r="H279" s="234" t="s">
        <v>130</v>
      </c>
      <c r="I279" s="235" t="s">
        <v>105</v>
      </c>
      <c r="J279" s="214"/>
      <c r="K279" s="214"/>
      <c r="L279" s="214"/>
      <c r="M279" s="214"/>
      <c r="N279" s="214"/>
      <c r="O279" s="214"/>
      <c r="P279" s="214"/>
      <c r="Q279" s="214"/>
      <c r="R279" s="214"/>
      <c r="S279" s="214"/>
      <c r="T279" s="214"/>
      <c r="U279" s="214"/>
      <c r="V279" s="214"/>
      <c r="W279" s="214"/>
      <c r="X279" s="214"/>
      <c r="Y279" s="214"/>
      <c r="Z279" s="214"/>
      <c r="AA279" s="214"/>
      <c r="AB279" s="214"/>
      <c r="AC279" s="214"/>
    </row>
    <row r="280">
      <c r="A280" s="222"/>
      <c r="D280" s="279" t="s">
        <v>369</v>
      </c>
      <c r="E280" s="279">
        <v>2.0</v>
      </c>
      <c r="F280" s="280"/>
      <c r="G280" s="280"/>
      <c r="H280" s="281" t="s">
        <v>370</v>
      </c>
      <c r="I280" s="282" t="s">
        <v>43</v>
      </c>
      <c r="J280" s="214"/>
      <c r="K280" s="214"/>
      <c r="L280" s="214"/>
      <c r="M280" s="214"/>
      <c r="N280" s="214"/>
      <c r="O280" s="214"/>
      <c r="P280" s="214"/>
      <c r="Q280" s="214"/>
      <c r="R280" s="214"/>
      <c r="S280" s="214"/>
      <c r="T280" s="214"/>
      <c r="U280" s="214"/>
      <c r="V280" s="214"/>
      <c r="W280" s="214"/>
      <c r="X280" s="214"/>
      <c r="Y280" s="214"/>
      <c r="Z280" s="214"/>
      <c r="AA280" s="214"/>
      <c r="AB280" s="214"/>
      <c r="AC280" s="214"/>
    </row>
    <row r="281">
      <c r="A281" s="236"/>
      <c r="B281" s="237"/>
      <c r="C281" s="237"/>
      <c r="D281" s="483" t="s">
        <v>371</v>
      </c>
      <c r="E281" s="483">
        <v>2.0</v>
      </c>
      <c r="F281" s="303"/>
      <c r="G281" s="303"/>
      <c r="H281" s="484" t="s">
        <v>372</v>
      </c>
      <c r="I281" s="485" t="s">
        <v>43</v>
      </c>
      <c r="J281" s="214"/>
      <c r="K281" s="214"/>
      <c r="L281" s="214"/>
      <c r="M281" s="214"/>
      <c r="N281" s="214"/>
      <c r="O281" s="214"/>
      <c r="P281" s="214"/>
      <c r="Q281" s="214"/>
      <c r="R281" s="214"/>
      <c r="S281" s="214"/>
      <c r="T281" s="214"/>
      <c r="U281" s="214"/>
      <c r="V281" s="214"/>
      <c r="W281" s="214"/>
      <c r="X281" s="214"/>
      <c r="Y281" s="214"/>
      <c r="Z281" s="214"/>
      <c r="AA281" s="214"/>
      <c r="AB281" s="214"/>
      <c r="AC281" s="214"/>
    </row>
    <row r="282">
      <c r="A282" s="242" t="s">
        <v>373</v>
      </c>
      <c r="B282" s="243" t="s">
        <v>259</v>
      </c>
      <c r="C282" s="394">
        <f>sum(E282:E288)</f>
        <v>10</v>
      </c>
      <c r="D282" s="335" t="s">
        <v>162</v>
      </c>
      <c r="E282" s="335">
        <v>2.0</v>
      </c>
      <c r="F282" s="336"/>
      <c r="G282" s="354"/>
      <c r="H282" s="337" t="s">
        <v>164</v>
      </c>
      <c r="I282" s="355" t="s">
        <v>163</v>
      </c>
      <c r="J282" s="214"/>
      <c r="K282" s="214"/>
      <c r="L282" s="214"/>
      <c r="M282" s="214"/>
      <c r="N282" s="214"/>
      <c r="O282" s="214"/>
      <c r="P282" s="214"/>
      <c r="Q282" s="214"/>
      <c r="R282" s="214"/>
      <c r="S282" s="214"/>
      <c r="T282" s="214"/>
      <c r="U282" s="214"/>
      <c r="V282" s="214"/>
      <c r="W282" s="214"/>
      <c r="X282" s="214"/>
      <c r="Y282" s="214"/>
      <c r="Z282" s="214"/>
      <c r="AA282" s="214"/>
      <c r="AB282" s="214"/>
      <c r="AC282" s="214"/>
    </row>
    <row r="283">
      <c r="A283" s="222"/>
      <c r="D283" s="249" t="s">
        <v>153</v>
      </c>
      <c r="E283" s="299">
        <v>2.0</v>
      </c>
      <c r="F283" s="250"/>
      <c r="G283" s="250"/>
      <c r="H283" s="312" t="s">
        <v>154</v>
      </c>
      <c r="I283" s="253" t="s">
        <v>144</v>
      </c>
      <c r="J283" s="214"/>
      <c r="K283" s="214"/>
      <c r="L283" s="214"/>
      <c r="M283" s="214"/>
      <c r="N283" s="214"/>
      <c r="O283" s="214"/>
      <c r="P283" s="214"/>
      <c r="Q283" s="214"/>
      <c r="R283" s="214"/>
      <c r="S283" s="214"/>
      <c r="T283" s="214"/>
      <c r="U283" s="214"/>
      <c r="V283" s="214"/>
      <c r="W283" s="214"/>
      <c r="X283" s="214"/>
      <c r="Y283" s="214"/>
      <c r="Z283" s="214"/>
      <c r="AA283" s="214"/>
      <c r="AB283" s="214"/>
      <c r="AC283" s="214"/>
    </row>
    <row r="284">
      <c r="A284" s="222"/>
      <c r="D284" s="260" t="s">
        <v>229</v>
      </c>
      <c r="E284" s="260">
        <v>2.0</v>
      </c>
      <c r="F284" s="318"/>
      <c r="G284" s="261"/>
      <c r="H284" s="262" t="s">
        <v>69</v>
      </c>
      <c r="I284" s="319" t="s">
        <v>65</v>
      </c>
      <c r="J284" s="214"/>
      <c r="K284" s="214"/>
      <c r="L284" s="214"/>
      <c r="M284" s="214"/>
      <c r="N284" s="214"/>
      <c r="O284" s="214"/>
      <c r="P284" s="214"/>
      <c r="Q284" s="214"/>
      <c r="R284" s="214"/>
      <c r="S284" s="214"/>
      <c r="T284" s="214"/>
      <c r="U284" s="214"/>
      <c r="V284" s="214"/>
      <c r="W284" s="214"/>
      <c r="X284" s="214"/>
      <c r="Y284" s="214"/>
      <c r="Z284" s="214"/>
      <c r="AA284" s="214"/>
      <c r="AB284" s="214"/>
      <c r="AC284" s="214"/>
    </row>
    <row r="285">
      <c r="A285" s="222"/>
      <c r="D285" s="256" t="s">
        <v>185</v>
      </c>
      <c r="E285" s="256">
        <v>1.0</v>
      </c>
      <c r="F285" s="257"/>
      <c r="G285" s="257"/>
      <c r="H285" s="258" t="s">
        <v>187</v>
      </c>
      <c r="I285" s="259" t="s">
        <v>186</v>
      </c>
      <c r="J285" s="214"/>
      <c r="K285" s="214"/>
      <c r="L285" s="214"/>
      <c r="M285" s="214"/>
      <c r="N285" s="214"/>
      <c r="O285" s="214"/>
      <c r="P285" s="214"/>
      <c r="Q285" s="214"/>
      <c r="R285" s="214"/>
      <c r="S285" s="214"/>
      <c r="T285" s="214"/>
      <c r="U285" s="214"/>
      <c r="V285" s="214"/>
      <c r="W285" s="214"/>
      <c r="X285" s="214"/>
      <c r="Y285" s="214"/>
      <c r="Z285" s="214"/>
      <c r="AA285" s="214"/>
      <c r="AB285" s="214"/>
      <c r="AC285" s="214"/>
    </row>
    <row r="286">
      <c r="A286" s="222"/>
      <c r="D286" s="232" t="s">
        <v>129</v>
      </c>
      <c r="E286" s="232">
        <v>1.0</v>
      </c>
      <c r="F286" s="233"/>
      <c r="G286" s="233"/>
      <c r="H286" s="234" t="s">
        <v>130</v>
      </c>
      <c r="I286" s="235" t="s">
        <v>105</v>
      </c>
      <c r="J286" s="214"/>
      <c r="K286" s="214"/>
      <c r="L286" s="214"/>
      <c r="M286" s="214"/>
      <c r="N286" s="214"/>
      <c r="O286" s="214"/>
      <c r="P286" s="214"/>
      <c r="Q286" s="214"/>
      <c r="R286" s="214"/>
      <c r="S286" s="214"/>
      <c r="T286" s="214"/>
      <c r="U286" s="214"/>
      <c r="V286" s="214"/>
      <c r="W286" s="214"/>
      <c r="X286" s="214"/>
      <c r="Y286" s="214"/>
      <c r="Z286" s="214"/>
      <c r="AA286" s="214"/>
      <c r="AB286" s="214"/>
      <c r="AC286" s="214"/>
    </row>
    <row r="287">
      <c r="A287" s="222"/>
      <c r="D287" s="232" t="s">
        <v>131</v>
      </c>
      <c r="E287" s="232">
        <v>1.0</v>
      </c>
      <c r="F287" s="233"/>
      <c r="G287" s="233"/>
      <c r="H287" s="234" t="s">
        <v>132</v>
      </c>
      <c r="I287" s="235" t="s">
        <v>105</v>
      </c>
      <c r="J287" s="214"/>
      <c r="K287" s="214"/>
      <c r="L287" s="214"/>
      <c r="M287" s="214"/>
      <c r="N287" s="214"/>
      <c r="O287" s="214"/>
      <c r="P287" s="214"/>
      <c r="Q287" s="214"/>
      <c r="R287" s="214"/>
      <c r="S287" s="214"/>
      <c r="T287" s="214"/>
      <c r="U287" s="214"/>
      <c r="V287" s="214"/>
      <c r="W287" s="214"/>
      <c r="X287" s="214"/>
      <c r="Y287" s="214"/>
      <c r="Z287" s="214"/>
      <c r="AA287" s="214"/>
      <c r="AB287" s="214"/>
      <c r="AC287" s="214"/>
    </row>
    <row r="288">
      <c r="A288" s="236"/>
      <c r="B288" s="237"/>
      <c r="C288" s="237"/>
      <c r="D288" s="287" t="s">
        <v>140</v>
      </c>
      <c r="E288" s="287">
        <v>1.0</v>
      </c>
      <c r="F288" s="404"/>
      <c r="G288" s="404"/>
      <c r="H288" s="289" t="s">
        <v>141</v>
      </c>
      <c r="I288" s="461" t="s">
        <v>105</v>
      </c>
      <c r="J288" s="214"/>
      <c r="K288" s="214"/>
      <c r="L288" s="214"/>
      <c r="M288" s="214"/>
      <c r="N288" s="214"/>
      <c r="O288" s="214"/>
      <c r="P288" s="214"/>
      <c r="Q288" s="214"/>
      <c r="R288" s="214"/>
      <c r="S288" s="214"/>
      <c r="T288" s="214"/>
      <c r="U288" s="214"/>
      <c r="V288" s="214"/>
      <c r="W288" s="214"/>
      <c r="X288" s="214"/>
      <c r="Y288" s="214"/>
      <c r="Z288" s="214"/>
      <c r="AA288" s="214"/>
      <c r="AB288" s="214"/>
      <c r="AC288" s="214"/>
    </row>
    <row r="289">
      <c r="A289" s="242" t="s">
        <v>374</v>
      </c>
      <c r="B289" s="243" t="s">
        <v>375</v>
      </c>
      <c r="C289" s="394">
        <f>sum(E289:E294)</f>
        <v>10</v>
      </c>
      <c r="D289" s="378" t="s">
        <v>97</v>
      </c>
      <c r="E289" s="378">
        <v>2.0</v>
      </c>
      <c r="F289" s="379"/>
      <c r="G289" s="379"/>
      <c r="H289" s="380" t="s">
        <v>99</v>
      </c>
      <c r="I289" s="381" t="s">
        <v>98</v>
      </c>
      <c r="J289" s="214"/>
      <c r="K289" s="214"/>
      <c r="L289" s="214"/>
      <c r="M289" s="214"/>
      <c r="N289" s="214"/>
      <c r="O289" s="214"/>
      <c r="P289" s="214"/>
      <c r="Q289" s="214"/>
      <c r="R289" s="214"/>
      <c r="S289" s="214"/>
      <c r="T289" s="214"/>
      <c r="U289" s="214"/>
      <c r="V289" s="214"/>
      <c r="W289" s="214"/>
      <c r="X289" s="214"/>
      <c r="Y289" s="214"/>
      <c r="Z289" s="214"/>
      <c r="AA289" s="214"/>
      <c r="AB289" s="214"/>
      <c r="AC289" s="214"/>
    </row>
    <row r="290">
      <c r="A290" s="222"/>
      <c r="D290" s="271" t="s">
        <v>162</v>
      </c>
      <c r="E290" s="271">
        <v>2.0</v>
      </c>
      <c r="F290" s="317"/>
      <c r="G290" s="317"/>
      <c r="H290" s="273" t="s">
        <v>164</v>
      </c>
      <c r="I290" s="274" t="s">
        <v>163</v>
      </c>
      <c r="J290" s="214"/>
      <c r="K290" s="214"/>
      <c r="L290" s="214"/>
      <c r="M290" s="214"/>
      <c r="N290" s="214"/>
      <c r="O290" s="214"/>
      <c r="P290" s="214"/>
      <c r="Q290" s="214"/>
      <c r="R290" s="214"/>
      <c r="S290" s="214"/>
      <c r="T290" s="214"/>
      <c r="U290" s="214"/>
      <c r="V290" s="214"/>
      <c r="W290" s="214"/>
      <c r="X290" s="214"/>
      <c r="Y290" s="214"/>
      <c r="Z290" s="214"/>
      <c r="AA290" s="214"/>
      <c r="AB290" s="214"/>
      <c r="AC290" s="214"/>
    </row>
    <row r="291">
      <c r="A291" s="222"/>
      <c r="D291" s="279" t="s">
        <v>55</v>
      </c>
      <c r="E291" s="279">
        <v>1.0</v>
      </c>
      <c r="F291" s="280"/>
      <c r="G291" s="280"/>
      <c r="H291" s="281" t="s">
        <v>56</v>
      </c>
      <c r="I291" s="282" t="s">
        <v>43</v>
      </c>
      <c r="J291" s="214"/>
      <c r="K291" s="214"/>
      <c r="L291" s="214"/>
      <c r="M291" s="214"/>
      <c r="N291" s="214"/>
      <c r="O291" s="214"/>
      <c r="P291" s="214"/>
      <c r="Q291" s="214"/>
      <c r="R291" s="214"/>
      <c r="S291" s="214"/>
      <c r="T291" s="214"/>
      <c r="U291" s="214"/>
      <c r="V291" s="214"/>
      <c r="W291" s="214"/>
      <c r="X291" s="214"/>
      <c r="Y291" s="214"/>
      <c r="Z291" s="214"/>
      <c r="AA291" s="214"/>
      <c r="AB291" s="214"/>
      <c r="AC291" s="214"/>
    </row>
    <row r="292">
      <c r="A292" s="222"/>
      <c r="D292" s="382" t="s">
        <v>306</v>
      </c>
      <c r="E292" s="382">
        <v>3.0</v>
      </c>
      <c r="F292" s="384"/>
      <c r="G292" s="384"/>
      <c r="H292" s="385" t="s">
        <v>31</v>
      </c>
      <c r="I292" s="429" t="s">
        <v>30</v>
      </c>
      <c r="J292" s="214"/>
      <c r="K292" s="214"/>
      <c r="L292" s="214"/>
      <c r="M292" s="214"/>
      <c r="N292" s="214"/>
      <c r="O292" s="214"/>
      <c r="P292" s="214"/>
      <c r="Q292" s="214"/>
      <c r="R292" s="214"/>
      <c r="S292" s="214"/>
      <c r="T292" s="214"/>
      <c r="U292" s="214"/>
      <c r="V292" s="214"/>
      <c r="W292" s="214"/>
      <c r="X292" s="214"/>
      <c r="Y292" s="214"/>
      <c r="Z292" s="214"/>
      <c r="AA292" s="214"/>
      <c r="AB292" s="214"/>
      <c r="AC292" s="214"/>
    </row>
    <row r="293">
      <c r="A293" s="222"/>
      <c r="D293" s="232" t="s">
        <v>134</v>
      </c>
      <c r="E293" s="232">
        <v>1.0</v>
      </c>
      <c r="F293" s="233"/>
      <c r="G293" s="233"/>
      <c r="H293" s="234" t="s">
        <v>135</v>
      </c>
      <c r="I293" s="235" t="s">
        <v>105</v>
      </c>
      <c r="J293" s="214"/>
      <c r="K293" s="214"/>
      <c r="L293" s="214"/>
      <c r="M293" s="214"/>
      <c r="N293" s="214"/>
      <c r="O293" s="214"/>
      <c r="P293" s="214"/>
      <c r="Q293" s="214"/>
      <c r="R293" s="214"/>
      <c r="S293" s="214"/>
      <c r="T293" s="214"/>
      <c r="U293" s="214"/>
      <c r="V293" s="214"/>
      <c r="W293" s="214"/>
      <c r="X293" s="214"/>
      <c r="Y293" s="214"/>
      <c r="Z293" s="214"/>
      <c r="AA293" s="214"/>
      <c r="AB293" s="214"/>
      <c r="AC293" s="214"/>
    </row>
    <row r="294">
      <c r="A294" s="236"/>
      <c r="B294" s="237"/>
      <c r="C294" s="237"/>
      <c r="D294" s="287" t="s">
        <v>137</v>
      </c>
      <c r="E294" s="287">
        <v>1.0</v>
      </c>
      <c r="F294" s="288"/>
      <c r="G294" s="288"/>
      <c r="H294" s="289" t="s">
        <v>138</v>
      </c>
      <c r="I294" s="461" t="s">
        <v>105</v>
      </c>
      <c r="J294" s="214"/>
      <c r="K294" s="214"/>
      <c r="L294" s="214"/>
      <c r="M294" s="214"/>
      <c r="N294" s="214"/>
      <c r="O294" s="214"/>
      <c r="P294" s="214"/>
      <c r="Q294" s="214"/>
      <c r="R294" s="214"/>
      <c r="S294" s="214"/>
      <c r="T294" s="214"/>
      <c r="U294" s="214"/>
      <c r="V294" s="214"/>
      <c r="W294" s="214"/>
      <c r="X294" s="214"/>
      <c r="Y294" s="214"/>
      <c r="Z294" s="214"/>
      <c r="AA294" s="214"/>
      <c r="AB294" s="214"/>
      <c r="AC294" s="214"/>
    </row>
    <row r="295">
      <c r="A295" s="242" t="s">
        <v>376</v>
      </c>
      <c r="B295" s="243" t="s">
        <v>377</v>
      </c>
      <c r="C295" s="394">
        <f>sum(E295:E300)</f>
        <v>10</v>
      </c>
      <c r="D295" s="308" t="s">
        <v>134</v>
      </c>
      <c r="E295" s="308">
        <v>1.0</v>
      </c>
      <c r="F295" s="309"/>
      <c r="G295" s="309"/>
      <c r="H295" s="310" t="s">
        <v>135</v>
      </c>
      <c r="I295" s="311" t="s">
        <v>105</v>
      </c>
      <c r="J295" s="214"/>
      <c r="K295" s="214"/>
      <c r="L295" s="214"/>
      <c r="M295" s="214"/>
      <c r="N295" s="214"/>
      <c r="O295" s="214"/>
      <c r="P295" s="214"/>
      <c r="Q295" s="214"/>
      <c r="R295" s="214"/>
      <c r="S295" s="214"/>
      <c r="T295" s="214"/>
      <c r="U295" s="214"/>
      <c r="V295" s="214"/>
      <c r="W295" s="214"/>
      <c r="X295" s="214"/>
      <c r="Y295" s="214"/>
      <c r="Z295" s="214"/>
      <c r="AA295" s="214"/>
      <c r="AB295" s="214"/>
      <c r="AC295" s="214"/>
    </row>
    <row r="296">
      <c r="A296" s="222"/>
      <c r="D296" s="286" t="s">
        <v>79</v>
      </c>
      <c r="E296" s="286">
        <v>2.0</v>
      </c>
      <c r="F296" s="318"/>
      <c r="G296" s="318"/>
      <c r="H296" s="262" t="s">
        <v>80</v>
      </c>
      <c r="I296" s="319" t="s">
        <v>65</v>
      </c>
      <c r="J296" s="214"/>
      <c r="K296" s="214"/>
      <c r="L296" s="214"/>
      <c r="M296" s="214"/>
      <c r="N296" s="214"/>
      <c r="O296" s="214"/>
      <c r="P296" s="214"/>
      <c r="Q296" s="214"/>
      <c r="R296" s="214"/>
      <c r="S296" s="214"/>
      <c r="T296" s="214"/>
      <c r="U296" s="214"/>
      <c r="V296" s="214"/>
      <c r="W296" s="214"/>
      <c r="X296" s="214"/>
      <c r="Y296" s="214"/>
      <c r="Z296" s="214"/>
      <c r="AA296" s="214"/>
      <c r="AB296" s="214"/>
      <c r="AC296" s="214"/>
    </row>
    <row r="297">
      <c r="A297" s="222"/>
      <c r="D297" s="271" t="s">
        <v>166</v>
      </c>
      <c r="E297" s="271">
        <v>2.0</v>
      </c>
      <c r="F297" s="317"/>
      <c r="G297" s="317"/>
      <c r="H297" s="273" t="s">
        <v>167</v>
      </c>
      <c r="I297" s="393" t="s">
        <v>163</v>
      </c>
      <c r="J297" s="214"/>
      <c r="K297" s="214"/>
      <c r="L297" s="214"/>
      <c r="M297" s="214"/>
      <c r="N297" s="214"/>
      <c r="O297" s="214"/>
      <c r="P297" s="214"/>
      <c r="Q297" s="214"/>
      <c r="R297" s="214"/>
      <c r="S297" s="214"/>
      <c r="T297" s="214"/>
      <c r="U297" s="214"/>
      <c r="V297" s="214"/>
      <c r="W297" s="214"/>
      <c r="X297" s="214"/>
      <c r="Y297" s="214"/>
      <c r="Z297" s="214"/>
      <c r="AA297" s="214"/>
      <c r="AB297" s="214"/>
      <c r="AC297" s="214"/>
    </row>
    <row r="298">
      <c r="A298" s="222"/>
      <c r="D298" s="223" t="s">
        <v>182</v>
      </c>
      <c r="E298" s="223">
        <v>3.0</v>
      </c>
      <c r="F298" s="342"/>
      <c r="G298" s="342"/>
      <c r="H298" s="225" t="s">
        <v>183</v>
      </c>
      <c r="I298" s="344" t="s">
        <v>176</v>
      </c>
      <c r="J298" s="214"/>
      <c r="K298" s="214"/>
      <c r="L298" s="214"/>
      <c r="M298" s="214"/>
      <c r="N298" s="214"/>
      <c r="O298" s="214"/>
      <c r="P298" s="214"/>
      <c r="Q298" s="214"/>
      <c r="R298" s="214"/>
      <c r="S298" s="214"/>
      <c r="T298" s="214"/>
      <c r="U298" s="214"/>
      <c r="V298" s="214"/>
      <c r="W298" s="214"/>
      <c r="X298" s="214"/>
      <c r="Y298" s="214"/>
      <c r="Z298" s="214"/>
      <c r="AA298" s="214"/>
      <c r="AB298" s="214"/>
      <c r="AC298" s="214"/>
    </row>
    <row r="299">
      <c r="A299" s="222"/>
      <c r="D299" s="232" t="s">
        <v>117</v>
      </c>
      <c r="E299" s="232">
        <v>1.0</v>
      </c>
      <c r="F299" s="233"/>
      <c r="G299" s="233"/>
      <c r="H299" s="234" t="s">
        <v>238</v>
      </c>
      <c r="I299" s="235" t="s">
        <v>105</v>
      </c>
      <c r="J299" s="214"/>
      <c r="K299" s="214"/>
      <c r="L299" s="214"/>
      <c r="M299" s="214"/>
      <c r="N299" s="214"/>
      <c r="O299" s="214"/>
      <c r="P299" s="214"/>
      <c r="Q299" s="214"/>
      <c r="R299" s="214"/>
      <c r="S299" s="214"/>
      <c r="T299" s="214"/>
      <c r="U299" s="214"/>
      <c r="V299" s="214"/>
      <c r="W299" s="214"/>
      <c r="X299" s="214"/>
      <c r="Y299" s="214"/>
      <c r="Z299" s="214"/>
      <c r="AA299" s="214"/>
      <c r="AB299" s="214"/>
      <c r="AC299" s="214"/>
    </row>
    <row r="300">
      <c r="A300" s="236"/>
      <c r="B300" s="237"/>
      <c r="C300" s="237"/>
      <c r="D300" s="287" t="s">
        <v>378</v>
      </c>
      <c r="E300" s="287">
        <v>1.0</v>
      </c>
      <c r="F300" s="404"/>
      <c r="G300" s="288"/>
      <c r="H300" s="289" t="s">
        <v>379</v>
      </c>
      <c r="I300" s="290" t="s">
        <v>105</v>
      </c>
      <c r="J300" s="214"/>
      <c r="K300" s="214"/>
      <c r="L300" s="214"/>
      <c r="M300" s="214"/>
      <c r="N300" s="214"/>
      <c r="O300" s="214"/>
      <c r="P300" s="214"/>
      <c r="Q300" s="214"/>
      <c r="R300" s="214"/>
      <c r="S300" s="214"/>
      <c r="T300" s="214"/>
      <c r="U300" s="214"/>
      <c r="V300" s="214"/>
      <c r="W300" s="214"/>
      <c r="X300" s="214"/>
      <c r="Y300" s="214"/>
      <c r="Z300" s="214"/>
      <c r="AA300" s="214"/>
      <c r="AB300" s="214"/>
      <c r="AC300" s="214"/>
    </row>
    <row r="301">
      <c r="A301" s="242" t="s">
        <v>380</v>
      </c>
      <c r="B301" s="243" t="s">
        <v>381</v>
      </c>
      <c r="C301" s="394">
        <f>sum(E301:E304)</f>
        <v>10</v>
      </c>
      <c r="D301" s="335" t="s">
        <v>162</v>
      </c>
      <c r="E301" s="335">
        <v>2.0</v>
      </c>
      <c r="F301" s="336"/>
      <c r="G301" s="354"/>
      <c r="H301" s="337" t="s">
        <v>164</v>
      </c>
      <c r="I301" s="338" t="s">
        <v>163</v>
      </c>
      <c r="J301" s="214"/>
      <c r="K301" s="214"/>
      <c r="L301" s="214"/>
      <c r="M301" s="214"/>
      <c r="N301" s="214"/>
      <c r="O301" s="214"/>
      <c r="P301" s="214"/>
      <c r="Q301" s="214"/>
      <c r="R301" s="214"/>
      <c r="S301" s="214"/>
      <c r="T301" s="214"/>
      <c r="U301" s="214"/>
      <c r="V301" s="214"/>
      <c r="W301" s="214"/>
      <c r="X301" s="214"/>
      <c r="Y301" s="214"/>
      <c r="Z301" s="214"/>
      <c r="AA301" s="214"/>
      <c r="AB301" s="214"/>
      <c r="AC301" s="214"/>
    </row>
    <row r="302">
      <c r="A302" s="222"/>
      <c r="D302" s="223" t="s">
        <v>179</v>
      </c>
      <c r="E302" s="223">
        <v>2.0</v>
      </c>
      <c r="F302" s="342"/>
      <c r="G302" s="342"/>
      <c r="H302" s="225" t="s">
        <v>180</v>
      </c>
      <c r="I302" s="344" t="s">
        <v>176</v>
      </c>
      <c r="J302" s="214"/>
      <c r="K302" s="214"/>
      <c r="L302" s="214"/>
      <c r="M302" s="214"/>
      <c r="N302" s="214"/>
      <c r="O302" s="214"/>
      <c r="P302" s="214"/>
      <c r="Q302" s="214"/>
      <c r="R302" s="214"/>
      <c r="S302" s="214"/>
      <c r="T302" s="214"/>
      <c r="U302" s="214"/>
      <c r="V302" s="214"/>
      <c r="W302" s="214"/>
      <c r="X302" s="214"/>
      <c r="Y302" s="214"/>
      <c r="Z302" s="214"/>
      <c r="AA302" s="214"/>
      <c r="AB302" s="214"/>
      <c r="AC302" s="214"/>
    </row>
    <row r="303">
      <c r="A303" s="222"/>
      <c r="D303" s="299" t="s">
        <v>143</v>
      </c>
      <c r="E303" s="299">
        <v>5.0</v>
      </c>
      <c r="F303" s="250"/>
      <c r="G303" s="250"/>
      <c r="H303" s="312" t="s">
        <v>145</v>
      </c>
      <c r="I303" s="253" t="s">
        <v>144</v>
      </c>
      <c r="J303" s="214"/>
      <c r="K303" s="214"/>
      <c r="L303" s="214"/>
      <c r="M303" s="214"/>
      <c r="N303" s="214"/>
      <c r="O303" s="214"/>
      <c r="P303" s="214"/>
      <c r="Q303" s="214"/>
      <c r="R303" s="214"/>
      <c r="S303" s="214"/>
      <c r="T303" s="214"/>
      <c r="U303" s="214"/>
      <c r="V303" s="214"/>
      <c r="W303" s="214"/>
      <c r="X303" s="214"/>
      <c r="Y303" s="214"/>
      <c r="Z303" s="214"/>
      <c r="AA303" s="214"/>
      <c r="AB303" s="214"/>
      <c r="AC303" s="214"/>
    </row>
    <row r="304">
      <c r="A304" s="236"/>
      <c r="B304" s="237"/>
      <c r="C304" s="237"/>
      <c r="D304" s="287" t="s">
        <v>131</v>
      </c>
      <c r="E304" s="287">
        <v>1.0</v>
      </c>
      <c r="F304" s="404"/>
      <c r="G304" s="404"/>
      <c r="H304" s="289" t="s">
        <v>132</v>
      </c>
      <c r="I304" s="461" t="s">
        <v>105</v>
      </c>
      <c r="J304" s="214"/>
      <c r="K304" s="214"/>
      <c r="L304" s="214"/>
      <c r="M304" s="214"/>
      <c r="N304" s="214"/>
      <c r="O304" s="214"/>
      <c r="P304" s="214"/>
      <c r="Q304" s="214"/>
      <c r="R304" s="214"/>
      <c r="S304" s="214"/>
      <c r="T304" s="214"/>
      <c r="U304" s="214"/>
      <c r="V304" s="214"/>
      <c r="W304" s="214"/>
      <c r="X304" s="214"/>
      <c r="Y304" s="214"/>
      <c r="Z304" s="214"/>
      <c r="AA304" s="214"/>
      <c r="AB304" s="214"/>
      <c r="AC304" s="214"/>
    </row>
    <row r="305">
      <c r="A305" s="242" t="s">
        <v>382</v>
      </c>
      <c r="B305" s="243" t="s">
        <v>381</v>
      </c>
      <c r="C305" s="394">
        <f>sum(E305:E309)</f>
        <v>10</v>
      </c>
      <c r="D305" s="426" t="s">
        <v>22</v>
      </c>
      <c r="E305" s="426">
        <v>2.0</v>
      </c>
      <c r="F305" s="397"/>
      <c r="G305" s="397"/>
      <c r="H305" s="427" t="s">
        <v>265</v>
      </c>
      <c r="I305" s="428" t="s">
        <v>23</v>
      </c>
      <c r="J305" s="214"/>
      <c r="K305" s="214"/>
      <c r="L305" s="214"/>
      <c r="M305" s="214"/>
      <c r="N305" s="214"/>
      <c r="O305" s="214"/>
      <c r="P305" s="214"/>
      <c r="Q305" s="214"/>
      <c r="R305" s="214"/>
      <c r="S305" s="214"/>
      <c r="T305" s="214"/>
      <c r="U305" s="214"/>
      <c r="V305" s="214"/>
      <c r="W305" s="214"/>
      <c r="X305" s="214"/>
      <c r="Y305" s="214"/>
      <c r="Z305" s="214"/>
      <c r="AA305" s="214"/>
      <c r="AB305" s="214"/>
      <c r="AC305" s="214"/>
    </row>
    <row r="306">
      <c r="A306" s="222"/>
      <c r="D306" s="286" t="s">
        <v>229</v>
      </c>
      <c r="E306" s="286">
        <v>2.0</v>
      </c>
      <c r="F306" s="261"/>
      <c r="G306" s="261"/>
      <c r="H306" s="262" t="s">
        <v>69</v>
      </c>
      <c r="I306" s="263" t="s">
        <v>65</v>
      </c>
      <c r="J306" s="214"/>
      <c r="K306" s="214"/>
      <c r="L306" s="214"/>
      <c r="M306" s="214"/>
      <c r="N306" s="214"/>
      <c r="O306" s="214"/>
      <c r="P306" s="214"/>
      <c r="Q306" s="214"/>
      <c r="R306" s="214"/>
      <c r="S306" s="214"/>
      <c r="T306" s="214"/>
      <c r="U306" s="214"/>
      <c r="V306" s="214"/>
      <c r="W306" s="214"/>
      <c r="X306" s="214"/>
      <c r="Y306" s="214"/>
      <c r="Z306" s="214"/>
      <c r="AA306" s="214"/>
      <c r="AB306" s="214"/>
      <c r="AC306" s="214"/>
    </row>
    <row r="307">
      <c r="A307" s="222"/>
      <c r="D307" s="402" t="s">
        <v>162</v>
      </c>
      <c r="E307" s="402">
        <v>2.0</v>
      </c>
      <c r="F307" s="272"/>
      <c r="G307" s="272"/>
      <c r="H307" s="403" t="s">
        <v>164</v>
      </c>
      <c r="I307" s="274" t="s">
        <v>163</v>
      </c>
      <c r="J307" s="214"/>
      <c r="K307" s="214"/>
      <c r="L307" s="214"/>
      <c r="M307" s="214"/>
      <c r="N307" s="214"/>
      <c r="O307" s="214"/>
      <c r="P307" s="214"/>
      <c r="Q307" s="214"/>
      <c r="R307" s="214"/>
      <c r="S307" s="214"/>
      <c r="T307" s="214"/>
      <c r="U307" s="214"/>
      <c r="V307" s="214"/>
      <c r="W307" s="214"/>
      <c r="X307" s="214"/>
      <c r="Y307" s="214"/>
      <c r="Z307" s="214"/>
      <c r="AA307" s="214"/>
      <c r="AB307" s="214"/>
      <c r="AC307" s="214"/>
    </row>
    <row r="308">
      <c r="A308" s="222"/>
      <c r="D308" s="223" t="s">
        <v>182</v>
      </c>
      <c r="E308" s="223">
        <v>3.0</v>
      </c>
      <c r="F308" s="224"/>
      <c r="G308" s="342"/>
      <c r="H308" s="225" t="s">
        <v>183</v>
      </c>
      <c r="I308" s="344" t="s">
        <v>176</v>
      </c>
      <c r="J308" s="214"/>
      <c r="K308" s="214"/>
      <c r="L308" s="214"/>
      <c r="M308" s="214"/>
      <c r="N308" s="214"/>
      <c r="O308" s="214"/>
      <c r="P308" s="214"/>
      <c r="Q308" s="214"/>
      <c r="R308" s="214"/>
      <c r="S308" s="214"/>
      <c r="T308" s="214"/>
      <c r="U308" s="214"/>
      <c r="V308" s="214"/>
      <c r="W308" s="214"/>
      <c r="X308" s="214"/>
      <c r="Y308" s="214"/>
      <c r="Z308" s="214"/>
      <c r="AA308" s="214"/>
      <c r="AB308" s="214"/>
      <c r="AC308" s="214"/>
    </row>
    <row r="309">
      <c r="A309" s="236"/>
      <c r="B309" s="237"/>
      <c r="C309" s="237"/>
      <c r="D309" s="287" t="s">
        <v>134</v>
      </c>
      <c r="E309" s="287">
        <v>1.0</v>
      </c>
      <c r="F309" s="404"/>
      <c r="G309" s="404"/>
      <c r="H309" s="289" t="s">
        <v>135</v>
      </c>
      <c r="I309" s="290" t="s">
        <v>105</v>
      </c>
      <c r="J309" s="214"/>
      <c r="K309" s="214"/>
      <c r="L309" s="214"/>
      <c r="M309" s="214"/>
      <c r="N309" s="214"/>
      <c r="O309" s="214"/>
      <c r="P309" s="214"/>
      <c r="Q309" s="214"/>
      <c r="R309" s="214"/>
      <c r="S309" s="214"/>
      <c r="T309" s="214"/>
      <c r="U309" s="214"/>
      <c r="V309" s="214"/>
      <c r="W309" s="214"/>
      <c r="X309" s="214"/>
      <c r="Y309" s="214"/>
      <c r="Z309" s="214"/>
      <c r="AA309" s="214"/>
      <c r="AB309" s="214"/>
      <c r="AC309" s="214"/>
    </row>
    <row r="310">
      <c r="A310" s="242" t="s">
        <v>383</v>
      </c>
      <c r="B310" s="243" t="s">
        <v>384</v>
      </c>
      <c r="C310" s="394">
        <f>sum(E310:E316)</f>
        <v>10</v>
      </c>
      <c r="D310" s="292" t="s">
        <v>94</v>
      </c>
      <c r="E310" s="292">
        <v>1.0</v>
      </c>
      <c r="F310" s="293"/>
      <c r="G310" s="293"/>
      <c r="H310" s="486" t="s">
        <v>95</v>
      </c>
      <c r="I310" s="457" t="s">
        <v>65</v>
      </c>
      <c r="J310" s="214"/>
      <c r="K310" s="214"/>
      <c r="L310" s="214"/>
      <c r="M310" s="214"/>
      <c r="N310" s="214"/>
      <c r="O310" s="214"/>
      <c r="P310" s="214"/>
      <c r="Q310" s="214"/>
      <c r="R310" s="214"/>
      <c r="S310" s="214"/>
      <c r="T310" s="214"/>
      <c r="U310" s="214"/>
      <c r="V310" s="214"/>
      <c r="W310" s="214"/>
      <c r="X310" s="214"/>
      <c r="Y310" s="214"/>
      <c r="Z310" s="214"/>
      <c r="AA310" s="214"/>
      <c r="AB310" s="214"/>
      <c r="AC310" s="214"/>
    </row>
    <row r="311">
      <c r="A311" s="222"/>
      <c r="D311" s="299" t="s">
        <v>159</v>
      </c>
      <c r="E311" s="299">
        <v>1.0</v>
      </c>
      <c r="F311" s="251"/>
      <c r="G311" s="251"/>
      <c r="H311" s="312" t="s">
        <v>160</v>
      </c>
      <c r="I311" s="300" t="s">
        <v>144</v>
      </c>
      <c r="J311" s="214"/>
      <c r="K311" s="214"/>
      <c r="L311" s="214"/>
      <c r="M311" s="214"/>
      <c r="N311" s="214"/>
      <c r="O311" s="214"/>
      <c r="P311" s="214"/>
      <c r="Q311" s="214"/>
      <c r="R311" s="214"/>
      <c r="S311" s="214"/>
      <c r="T311" s="214"/>
      <c r="U311" s="214"/>
      <c r="V311" s="214"/>
      <c r="W311" s="214"/>
      <c r="X311" s="214"/>
      <c r="Y311" s="214"/>
      <c r="Z311" s="214"/>
      <c r="AA311" s="214"/>
      <c r="AB311" s="214"/>
      <c r="AC311" s="214"/>
    </row>
    <row r="312">
      <c r="A312" s="222"/>
      <c r="D312" s="227" t="s">
        <v>19</v>
      </c>
      <c r="E312" s="227">
        <v>2.0</v>
      </c>
      <c r="F312" s="228"/>
      <c r="G312" s="228"/>
      <c r="H312" s="229" t="s">
        <v>20</v>
      </c>
      <c r="I312" s="230" t="s">
        <v>7</v>
      </c>
      <c r="J312" s="214"/>
      <c r="K312" s="214"/>
      <c r="L312" s="214"/>
      <c r="M312" s="214"/>
      <c r="N312" s="214"/>
      <c r="O312" s="214"/>
      <c r="P312" s="214"/>
      <c r="Q312" s="214"/>
      <c r="R312" s="214"/>
      <c r="S312" s="214"/>
      <c r="T312" s="214"/>
      <c r="U312" s="214"/>
      <c r="V312" s="214"/>
      <c r="W312" s="214"/>
      <c r="X312" s="214"/>
      <c r="Y312" s="214"/>
      <c r="Z312" s="214"/>
      <c r="AA312" s="214"/>
      <c r="AB312" s="214"/>
      <c r="AC312" s="214"/>
    </row>
    <row r="313">
      <c r="A313" s="222"/>
      <c r="D313" s="369" t="s">
        <v>22</v>
      </c>
      <c r="E313" s="369">
        <v>2.0</v>
      </c>
      <c r="F313" s="370"/>
      <c r="G313" s="371"/>
      <c r="H313" s="372" t="s">
        <v>265</v>
      </c>
      <c r="I313" s="373" t="s">
        <v>23</v>
      </c>
      <c r="J313" s="214"/>
      <c r="K313" s="214"/>
      <c r="L313" s="214"/>
      <c r="M313" s="214"/>
      <c r="N313" s="214"/>
      <c r="O313" s="214"/>
      <c r="P313" s="214"/>
      <c r="Q313" s="214"/>
      <c r="R313" s="214"/>
      <c r="S313" s="214"/>
      <c r="T313" s="214"/>
      <c r="U313" s="214"/>
      <c r="V313" s="214"/>
      <c r="W313" s="214"/>
      <c r="X313" s="214"/>
      <c r="Y313" s="214"/>
      <c r="Z313" s="214"/>
      <c r="AA313" s="214"/>
      <c r="AB313" s="214"/>
      <c r="AC313" s="214"/>
    </row>
    <row r="314">
      <c r="A314" s="222"/>
      <c r="D314" s="279" t="s">
        <v>55</v>
      </c>
      <c r="E314" s="279">
        <v>1.0</v>
      </c>
      <c r="F314" s="316"/>
      <c r="G314" s="316"/>
      <c r="H314" s="281" t="s">
        <v>56</v>
      </c>
      <c r="I314" s="448" t="s">
        <v>43</v>
      </c>
      <c r="J314" s="214"/>
      <c r="K314" s="214"/>
      <c r="L314" s="214"/>
      <c r="M314" s="214"/>
      <c r="N314" s="214"/>
      <c r="O314" s="214"/>
      <c r="P314" s="214"/>
      <c r="Q314" s="214"/>
      <c r="R314" s="214"/>
      <c r="S314" s="214"/>
      <c r="T314" s="214"/>
      <c r="U314" s="214"/>
      <c r="V314" s="214"/>
      <c r="W314" s="214"/>
      <c r="X314" s="214"/>
      <c r="Y314" s="214"/>
      <c r="Z314" s="214"/>
      <c r="AA314" s="214"/>
      <c r="AB314" s="214"/>
      <c r="AC314" s="214"/>
    </row>
    <row r="315">
      <c r="A315" s="222"/>
      <c r="D315" s="333" t="s">
        <v>97</v>
      </c>
      <c r="E315" s="333">
        <v>2.0</v>
      </c>
      <c r="F315" s="276"/>
      <c r="G315" s="276"/>
      <c r="H315" s="334" t="s">
        <v>99</v>
      </c>
      <c r="I315" s="297" t="s">
        <v>98</v>
      </c>
      <c r="J315" s="214"/>
      <c r="K315" s="214"/>
      <c r="L315" s="214"/>
      <c r="M315" s="214"/>
      <c r="N315" s="214"/>
      <c r="O315" s="214"/>
      <c r="P315" s="214"/>
      <c r="Q315" s="214"/>
      <c r="R315" s="214"/>
      <c r="S315" s="214"/>
      <c r="T315" s="214"/>
      <c r="U315" s="214"/>
      <c r="V315" s="214"/>
      <c r="W315" s="214"/>
      <c r="X315" s="214"/>
      <c r="Y315" s="214"/>
      <c r="Z315" s="214"/>
      <c r="AA315" s="214"/>
      <c r="AB315" s="214"/>
      <c r="AC315" s="214"/>
    </row>
    <row r="316">
      <c r="A316" s="236"/>
      <c r="B316" s="237"/>
      <c r="C316" s="237"/>
      <c r="D316" s="287" t="s">
        <v>117</v>
      </c>
      <c r="E316" s="287">
        <v>1.0</v>
      </c>
      <c r="F316" s="288"/>
      <c r="G316" s="288"/>
      <c r="H316" s="289" t="s">
        <v>238</v>
      </c>
      <c r="I316" s="290" t="s">
        <v>105</v>
      </c>
      <c r="J316" s="214"/>
      <c r="K316" s="214"/>
      <c r="L316" s="214"/>
      <c r="M316" s="214"/>
      <c r="N316" s="214"/>
      <c r="O316" s="214"/>
      <c r="P316" s="214"/>
      <c r="Q316" s="214"/>
      <c r="R316" s="214"/>
      <c r="S316" s="214"/>
      <c r="T316" s="214"/>
      <c r="U316" s="214"/>
      <c r="V316" s="214"/>
      <c r="W316" s="214"/>
      <c r="X316" s="214"/>
      <c r="Y316" s="214"/>
      <c r="Z316" s="214"/>
      <c r="AA316" s="214"/>
      <c r="AB316" s="214"/>
      <c r="AC316" s="214"/>
    </row>
    <row r="317">
      <c r="A317" s="242" t="s">
        <v>385</v>
      </c>
      <c r="B317" s="243" t="s">
        <v>386</v>
      </c>
      <c r="C317" s="394">
        <f>sum(E317:E322)</f>
        <v>10</v>
      </c>
      <c r="D317" s="487" t="s">
        <v>306</v>
      </c>
      <c r="E317" s="487">
        <v>3.0</v>
      </c>
      <c r="F317" s="488"/>
      <c r="G317" s="489"/>
      <c r="H317" s="490" t="s">
        <v>31</v>
      </c>
      <c r="I317" s="491" t="s">
        <v>30</v>
      </c>
      <c r="J317" s="214"/>
      <c r="K317" s="214"/>
      <c r="L317" s="214"/>
      <c r="M317" s="214"/>
      <c r="N317" s="214"/>
      <c r="O317" s="214"/>
      <c r="P317" s="214"/>
      <c r="Q317" s="214"/>
      <c r="R317" s="214"/>
      <c r="S317" s="214"/>
      <c r="T317" s="214"/>
      <c r="U317" s="214"/>
      <c r="V317" s="214"/>
      <c r="W317" s="214"/>
      <c r="X317" s="214"/>
      <c r="Y317" s="214"/>
      <c r="Z317" s="214"/>
      <c r="AA317" s="214"/>
      <c r="AB317" s="214"/>
      <c r="AC317" s="214"/>
    </row>
    <row r="318">
      <c r="A318" s="222"/>
      <c r="D318" s="279" t="s">
        <v>55</v>
      </c>
      <c r="E318" s="279">
        <v>1.0</v>
      </c>
      <c r="F318" s="280"/>
      <c r="G318" s="280"/>
      <c r="H318" s="281" t="s">
        <v>56</v>
      </c>
      <c r="I318" s="282" t="s">
        <v>43</v>
      </c>
      <c r="J318" s="214"/>
      <c r="K318" s="214"/>
      <c r="L318" s="214"/>
      <c r="M318" s="214"/>
      <c r="N318" s="214"/>
      <c r="O318" s="214"/>
      <c r="P318" s="214"/>
      <c r="Q318" s="214"/>
      <c r="R318" s="214"/>
      <c r="S318" s="214"/>
      <c r="T318" s="214"/>
      <c r="U318" s="214"/>
      <c r="V318" s="214"/>
      <c r="W318" s="214"/>
      <c r="X318" s="214"/>
      <c r="Y318" s="214"/>
      <c r="Z318" s="214"/>
      <c r="AA318" s="214"/>
      <c r="AB318" s="214"/>
      <c r="AC318" s="214"/>
    </row>
    <row r="319">
      <c r="A319" s="222"/>
      <c r="D319" s="286" t="s">
        <v>94</v>
      </c>
      <c r="E319" s="286">
        <v>1.0</v>
      </c>
      <c r="F319" s="318"/>
      <c r="G319" s="261"/>
      <c r="H319" s="414" t="s">
        <v>95</v>
      </c>
      <c r="I319" s="263" t="s">
        <v>65</v>
      </c>
      <c r="J319" s="214"/>
      <c r="K319" s="214"/>
      <c r="L319" s="214"/>
      <c r="M319" s="214"/>
      <c r="N319" s="214"/>
      <c r="O319" s="214"/>
      <c r="P319" s="214"/>
      <c r="Q319" s="214"/>
      <c r="R319" s="214"/>
      <c r="S319" s="214"/>
      <c r="T319" s="214"/>
      <c r="U319" s="214"/>
      <c r="V319" s="214"/>
      <c r="W319" s="214"/>
      <c r="X319" s="214"/>
      <c r="Y319" s="214"/>
      <c r="Z319" s="214"/>
      <c r="AA319" s="214"/>
      <c r="AB319" s="214"/>
      <c r="AC319" s="214"/>
    </row>
    <row r="320">
      <c r="A320" s="222"/>
      <c r="D320" s="271" t="s">
        <v>162</v>
      </c>
      <c r="E320" s="271">
        <v>2.0</v>
      </c>
      <c r="F320" s="317"/>
      <c r="G320" s="317"/>
      <c r="H320" s="273" t="s">
        <v>164</v>
      </c>
      <c r="I320" s="393" t="s">
        <v>163</v>
      </c>
      <c r="J320" s="214"/>
      <c r="K320" s="214"/>
      <c r="L320" s="214"/>
      <c r="M320" s="214"/>
      <c r="N320" s="214"/>
      <c r="O320" s="214"/>
      <c r="P320" s="214"/>
      <c r="Q320" s="214"/>
      <c r="R320" s="214"/>
      <c r="S320" s="214"/>
      <c r="T320" s="214"/>
      <c r="U320" s="214"/>
      <c r="V320" s="214"/>
      <c r="W320" s="214"/>
      <c r="X320" s="214"/>
      <c r="Y320" s="214"/>
      <c r="Z320" s="214"/>
      <c r="AA320" s="214"/>
      <c r="AB320" s="214"/>
      <c r="AC320" s="214"/>
    </row>
    <row r="321">
      <c r="A321" s="222"/>
      <c r="D321" s="232" t="s">
        <v>104</v>
      </c>
      <c r="E321" s="232">
        <v>2.0</v>
      </c>
      <c r="F321" s="233"/>
      <c r="G321" s="233"/>
      <c r="H321" s="234" t="s">
        <v>106</v>
      </c>
      <c r="I321" s="235" t="s">
        <v>105</v>
      </c>
      <c r="J321" s="214"/>
      <c r="K321" s="214"/>
      <c r="L321" s="214"/>
      <c r="M321" s="214"/>
      <c r="N321" s="214"/>
      <c r="O321" s="214"/>
      <c r="P321" s="214"/>
      <c r="Q321" s="214"/>
      <c r="R321" s="214"/>
      <c r="S321" s="214"/>
      <c r="T321" s="214"/>
      <c r="U321" s="214"/>
      <c r="V321" s="214"/>
      <c r="W321" s="214"/>
      <c r="X321" s="214"/>
      <c r="Y321" s="214"/>
      <c r="Z321" s="214"/>
      <c r="AA321" s="214"/>
      <c r="AB321" s="214"/>
      <c r="AC321" s="214"/>
    </row>
    <row r="322">
      <c r="A322" s="236"/>
      <c r="B322" s="237"/>
      <c r="C322" s="237"/>
      <c r="D322" s="459" t="s">
        <v>131</v>
      </c>
      <c r="E322" s="459">
        <v>1.0</v>
      </c>
      <c r="F322" s="288"/>
      <c r="G322" s="288"/>
      <c r="H322" s="460" t="s">
        <v>132</v>
      </c>
      <c r="I322" s="290" t="s">
        <v>105</v>
      </c>
      <c r="J322" s="214"/>
      <c r="K322" s="214"/>
      <c r="L322" s="214"/>
      <c r="M322" s="214"/>
      <c r="N322" s="214"/>
      <c r="O322" s="214"/>
      <c r="P322" s="214"/>
      <c r="Q322" s="214"/>
      <c r="R322" s="214"/>
      <c r="S322" s="214"/>
      <c r="T322" s="214"/>
      <c r="U322" s="214"/>
      <c r="V322" s="214"/>
      <c r="W322" s="214"/>
      <c r="X322" s="214"/>
      <c r="Y322" s="214"/>
      <c r="Z322" s="214"/>
      <c r="AA322" s="214"/>
      <c r="AB322" s="214"/>
      <c r="AC322" s="214"/>
    </row>
    <row r="323">
      <c r="A323" s="455" t="s">
        <v>387</v>
      </c>
      <c r="B323" s="492" t="s">
        <v>388</v>
      </c>
      <c r="C323" s="394">
        <f>sum(E323:E328)</f>
        <v>10</v>
      </c>
      <c r="D323" s="335" t="s">
        <v>172</v>
      </c>
      <c r="E323" s="335">
        <v>1.0</v>
      </c>
      <c r="F323" s="336"/>
      <c r="G323" s="336"/>
      <c r="H323" s="337" t="s">
        <v>389</v>
      </c>
      <c r="I323" s="355" t="s">
        <v>163</v>
      </c>
      <c r="J323" s="214"/>
      <c r="K323" s="214"/>
      <c r="L323" s="214"/>
      <c r="M323" s="214"/>
      <c r="N323" s="214"/>
      <c r="O323" s="214"/>
      <c r="P323" s="214"/>
      <c r="Q323" s="214"/>
      <c r="R323" s="214"/>
      <c r="S323" s="214"/>
      <c r="T323" s="214"/>
      <c r="U323" s="214"/>
      <c r="V323" s="214"/>
      <c r="W323" s="214"/>
      <c r="X323" s="214"/>
      <c r="Y323" s="214"/>
      <c r="Z323" s="214"/>
      <c r="AA323" s="214"/>
      <c r="AB323" s="214"/>
      <c r="AC323" s="214"/>
    </row>
    <row r="324">
      <c r="A324" s="222"/>
      <c r="D324" s="260" t="s">
        <v>229</v>
      </c>
      <c r="E324" s="260">
        <v>2.0</v>
      </c>
      <c r="F324" s="261"/>
      <c r="G324" s="261"/>
      <c r="H324" s="262" t="s">
        <v>69</v>
      </c>
      <c r="I324" s="263" t="s">
        <v>65</v>
      </c>
      <c r="J324" s="214"/>
      <c r="K324" s="214"/>
      <c r="L324" s="214"/>
      <c r="M324" s="214"/>
      <c r="N324" s="214"/>
      <c r="O324" s="214"/>
      <c r="P324" s="214"/>
      <c r="Q324" s="214"/>
      <c r="R324" s="214"/>
      <c r="S324" s="214"/>
      <c r="T324" s="214"/>
      <c r="U324" s="214"/>
      <c r="V324" s="214"/>
      <c r="W324" s="214"/>
      <c r="X324" s="214"/>
      <c r="Y324" s="214"/>
      <c r="Z324" s="214"/>
      <c r="AA324" s="214"/>
      <c r="AB324" s="214"/>
      <c r="AC324" s="214"/>
    </row>
    <row r="325">
      <c r="A325" s="222"/>
      <c r="D325" s="227" t="s">
        <v>19</v>
      </c>
      <c r="E325" s="227">
        <v>2.0</v>
      </c>
      <c r="F325" s="228"/>
      <c r="G325" s="228"/>
      <c r="H325" s="229" t="s">
        <v>20</v>
      </c>
      <c r="I325" s="230" t="s">
        <v>7</v>
      </c>
      <c r="J325" s="214"/>
      <c r="K325" s="214"/>
      <c r="L325" s="214"/>
      <c r="M325" s="214"/>
      <c r="N325" s="214"/>
      <c r="O325" s="214"/>
      <c r="P325" s="214"/>
      <c r="Q325" s="214"/>
      <c r="R325" s="214"/>
      <c r="S325" s="214"/>
      <c r="T325" s="214"/>
      <c r="U325" s="214"/>
      <c r="V325" s="214"/>
      <c r="W325" s="214"/>
      <c r="X325" s="214"/>
      <c r="Y325" s="214"/>
      <c r="Z325" s="214"/>
      <c r="AA325" s="214"/>
      <c r="AB325" s="214"/>
      <c r="AC325" s="214"/>
    </row>
    <row r="326">
      <c r="A326" s="222"/>
      <c r="D326" s="369" t="s">
        <v>26</v>
      </c>
      <c r="E326" s="369">
        <v>1.0</v>
      </c>
      <c r="F326" s="371"/>
      <c r="G326" s="371"/>
      <c r="H326" s="372" t="s">
        <v>27</v>
      </c>
      <c r="I326" s="373" t="s">
        <v>23</v>
      </c>
      <c r="J326" s="214"/>
      <c r="K326" s="214"/>
      <c r="L326" s="214"/>
      <c r="M326" s="214"/>
      <c r="N326" s="214"/>
      <c r="O326" s="214"/>
      <c r="P326" s="214"/>
      <c r="Q326" s="214"/>
      <c r="R326" s="214"/>
      <c r="S326" s="214"/>
      <c r="T326" s="214"/>
      <c r="U326" s="214"/>
      <c r="V326" s="214"/>
      <c r="W326" s="214"/>
      <c r="X326" s="214"/>
      <c r="Y326" s="214"/>
      <c r="Z326" s="214"/>
      <c r="AA326" s="214"/>
      <c r="AB326" s="214"/>
      <c r="AC326" s="214"/>
    </row>
    <row r="327">
      <c r="A327" s="222"/>
      <c r="D327" s="223" t="s">
        <v>182</v>
      </c>
      <c r="E327" s="223">
        <v>3.0</v>
      </c>
      <c r="F327" s="342"/>
      <c r="G327" s="342"/>
      <c r="H327" s="225" t="s">
        <v>183</v>
      </c>
      <c r="I327" s="344" t="s">
        <v>176</v>
      </c>
      <c r="J327" s="214"/>
      <c r="K327" s="214"/>
      <c r="L327" s="214"/>
      <c r="M327" s="214"/>
      <c r="N327" s="214"/>
      <c r="O327" s="214"/>
      <c r="P327" s="214"/>
      <c r="Q327" s="214"/>
      <c r="R327" s="214"/>
      <c r="S327" s="214"/>
      <c r="T327" s="214"/>
      <c r="U327" s="214"/>
      <c r="V327" s="214"/>
      <c r="W327" s="214"/>
      <c r="X327" s="214"/>
      <c r="Y327" s="214"/>
      <c r="Z327" s="214"/>
      <c r="AA327" s="214"/>
      <c r="AB327" s="214"/>
      <c r="AC327" s="214"/>
    </row>
    <row r="328">
      <c r="A328" s="236"/>
      <c r="B328" s="237"/>
      <c r="C328" s="237"/>
      <c r="D328" s="459" t="s">
        <v>390</v>
      </c>
      <c r="E328" s="459">
        <v>1.0</v>
      </c>
      <c r="F328" s="288"/>
      <c r="G328" s="288"/>
      <c r="H328" s="460" t="s">
        <v>391</v>
      </c>
      <c r="I328" s="290" t="s">
        <v>105</v>
      </c>
      <c r="J328" s="214"/>
      <c r="K328" s="214"/>
      <c r="L328" s="214"/>
      <c r="M328" s="214"/>
      <c r="N328" s="214"/>
      <c r="O328" s="214"/>
      <c r="P328" s="214"/>
      <c r="Q328" s="214"/>
      <c r="R328" s="214"/>
      <c r="S328" s="214"/>
      <c r="T328" s="214"/>
      <c r="U328" s="214"/>
      <c r="V328" s="214"/>
      <c r="W328" s="214"/>
      <c r="X328" s="214"/>
      <c r="Y328" s="214"/>
      <c r="Z328" s="214"/>
      <c r="AA328" s="214"/>
      <c r="AB328" s="214"/>
      <c r="AC328" s="214"/>
    </row>
    <row r="329">
      <c r="A329" s="455" t="s">
        <v>392</v>
      </c>
      <c r="B329" s="492" t="s">
        <v>393</v>
      </c>
      <c r="C329" s="394">
        <f>sum(E329:E333)</f>
        <v>10</v>
      </c>
      <c r="D329" s="475" t="s">
        <v>101</v>
      </c>
      <c r="E329" s="475">
        <v>2.0</v>
      </c>
      <c r="F329" s="379"/>
      <c r="G329" s="379"/>
      <c r="H329" s="476" t="s">
        <v>102</v>
      </c>
      <c r="I329" s="493" t="s">
        <v>98</v>
      </c>
      <c r="J329" s="214"/>
      <c r="K329" s="214"/>
      <c r="L329" s="214"/>
      <c r="M329" s="214"/>
      <c r="N329" s="214"/>
      <c r="O329" s="214"/>
      <c r="P329" s="214"/>
      <c r="Q329" s="214"/>
      <c r="R329" s="214"/>
      <c r="S329" s="214"/>
      <c r="T329" s="214"/>
      <c r="U329" s="214"/>
      <c r="V329" s="214"/>
      <c r="W329" s="214"/>
      <c r="X329" s="214"/>
      <c r="Y329" s="214"/>
      <c r="Z329" s="214"/>
      <c r="AA329" s="214"/>
      <c r="AB329" s="214"/>
      <c r="AC329" s="214"/>
    </row>
    <row r="330">
      <c r="A330" s="222"/>
      <c r="D330" s="279" t="s">
        <v>58</v>
      </c>
      <c r="E330" s="279">
        <v>1.0</v>
      </c>
      <c r="F330" s="280"/>
      <c r="G330" s="280"/>
      <c r="H330" s="281" t="s">
        <v>59</v>
      </c>
      <c r="I330" s="282" t="s">
        <v>43</v>
      </c>
      <c r="J330" s="214"/>
      <c r="K330" s="214"/>
      <c r="L330" s="214"/>
      <c r="M330" s="214"/>
      <c r="N330" s="214"/>
      <c r="O330" s="214"/>
      <c r="P330" s="214"/>
      <c r="Q330" s="214"/>
      <c r="R330" s="214"/>
      <c r="S330" s="214"/>
      <c r="T330" s="214"/>
      <c r="U330" s="214"/>
      <c r="V330" s="214"/>
      <c r="W330" s="214"/>
      <c r="X330" s="214"/>
      <c r="Y330" s="214"/>
      <c r="Z330" s="214"/>
      <c r="AA330" s="214"/>
      <c r="AB330" s="214"/>
      <c r="AC330" s="214"/>
    </row>
    <row r="331">
      <c r="A331" s="222"/>
      <c r="D331" s="227" t="s">
        <v>254</v>
      </c>
      <c r="E331" s="227">
        <v>2.0</v>
      </c>
      <c r="F331" s="327"/>
      <c r="G331" s="228"/>
      <c r="H331" s="229" t="s">
        <v>255</v>
      </c>
      <c r="I331" s="230" t="s">
        <v>7</v>
      </c>
      <c r="J331" s="214"/>
      <c r="K331" s="214"/>
      <c r="L331" s="214"/>
      <c r="M331" s="214"/>
      <c r="N331" s="214"/>
      <c r="O331" s="214"/>
      <c r="P331" s="214"/>
      <c r="Q331" s="214"/>
      <c r="R331" s="214"/>
      <c r="S331" s="214"/>
      <c r="T331" s="214"/>
      <c r="U331" s="214"/>
      <c r="V331" s="214"/>
      <c r="W331" s="214"/>
      <c r="X331" s="214"/>
      <c r="Y331" s="214"/>
      <c r="Z331" s="214"/>
      <c r="AA331" s="214"/>
      <c r="AB331" s="214"/>
      <c r="AC331" s="214"/>
    </row>
    <row r="332">
      <c r="A332" s="222"/>
      <c r="D332" s="434" t="s">
        <v>306</v>
      </c>
      <c r="E332" s="434">
        <v>3.0</v>
      </c>
      <c r="F332" s="383"/>
      <c r="G332" s="383"/>
      <c r="H332" s="435" t="s">
        <v>31</v>
      </c>
      <c r="I332" s="429" t="s">
        <v>30</v>
      </c>
      <c r="J332" s="214"/>
      <c r="K332" s="214"/>
      <c r="L332" s="214"/>
      <c r="M332" s="214"/>
      <c r="N332" s="214"/>
      <c r="O332" s="214"/>
      <c r="P332" s="214"/>
      <c r="Q332" s="214"/>
      <c r="R332" s="214"/>
      <c r="S332" s="214"/>
      <c r="T332" s="214"/>
      <c r="U332" s="214"/>
      <c r="V332" s="214"/>
      <c r="W332" s="214"/>
      <c r="X332" s="214"/>
      <c r="Y332" s="214"/>
      <c r="Z332" s="214"/>
      <c r="AA332" s="214"/>
      <c r="AB332" s="214"/>
      <c r="AC332" s="214"/>
    </row>
    <row r="333">
      <c r="A333" s="236"/>
      <c r="B333" s="237"/>
      <c r="C333" s="237"/>
      <c r="D333" s="494" t="s">
        <v>229</v>
      </c>
      <c r="E333" s="494">
        <v>2.0</v>
      </c>
      <c r="F333" s="239"/>
      <c r="G333" s="239"/>
      <c r="H333" s="446" t="s">
        <v>69</v>
      </c>
      <c r="I333" s="241" t="s">
        <v>65</v>
      </c>
      <c r="J333" s="214"/>
      <c r="K333" s="214"/>
      <c r="L333" s="214"/>
      <c r="M333" s="214"/>
      <c r="N333" s="214"/>
      <c r="O333" s="214"/>
      <c r="P333" s="214"/>
      <c r="Q333" s="214"/>
      <c r="R333" s="214"/>
      <c r="S333" s="214"/>
      <c r="T333" s="214"/>
      <c r="U333" s="214"/>
      <c r="V333" s="214"/>
      <c r="W333" s="214"/>
      <c r="X333" s="214"/>
      <c r="Y333" s="214"/>
      <c r="Z333" s="214"/>
      <c r="AA333" s="214"/>
      <c r="AB333" s="214"/>
      <c r="AC333" s="214"/>
    </row>
    <row r="334">
      <c r="A334" s="242" t="s">
        <v>394</v>
      </c>
      <c r="B334" s="243" t="s">
        <v>395</v>
      </c>
      <c r="C334" s="394">
        <f>sum(E334:E338)</f>
        <v>10</v>
      </c>
      <c r="D334" s="356" t="s">
        <v>254</v>
      </c>
      <c r="E334" s="356">
        <v>2.0</v>
      </c>
      <c r="F334" s="357"/>
      <c r="G334" s="357"/>
      <c r="H334" s="447" t="s">
        <v>255</v>
      </c>
      <c r="I334" s="359" t="s">
        <v>7</v>
      </c>
      <c r="J334" s="214"/>
      <c r="K334" s="214"/>
      <c r="L334" s="214"/>
      <c r="M334" s="214"/>
      <c r="N334" s="214"/>
      <c r="O334" s="214"/>
      <c r="P334" s="214"/>
      <c r="Q334" s="214"/>
      <c r="R334" s="214"/>
      <c r="S334" s="214"/>
      <c r="T334" s="214"/>
      <c r="U334" s="214"/>
      <c r="V334" s="214"/>
      <c r="W334" s="214"/>
      <c r="X334" s="214"/>
      <c r="Y334" s="214"/>
      <c r="Z334" s="214"/>
      <c r="AA334" s="214"/>
      <c r="AB334" s="214"/>
      <c r="AC334" s="214"/>
    </row>
    <row r="335">
      <c r="A335" s="222"/>
      <c r="D335" s="271" t="s">
        <v>162</v>
      </c>
      <c r="E335" s="271">
        <v>2.0</v>
      </c>
      <c r="F335" s="272"/>
      <c r="G335" s="272"/>
      <c r="H335" s="273" t="s">
        <v>164</v>
      </c>
      <c r="I335" s="274" t="s">
        <v>163</v>
      </c>
      <c r="J335" s="214"/>
      <c r="K335" s="214"/>
      <c r="L335" s="214"/>
      <c r="M335" s="214"/>
      <c r="N335" s="214"/>
      <c r="O335" s="214"/>
      <c r="P335" s="214"/>
      <c r="Q335" s="214"/>
      <c r="R335" s="214"/>
      <c r="S335" s="214"/>
      <c r="T335" s="214"/>
      <c r="U335" s="214"/>
      <c r="V335" s="214"/>
      <c r="W335" s="214"/>
      <c r="X335" s="214"/>
      <c r="Y335" s="214"/>
      <c r="Z335" s="214"/>
      <c r="AA335" s="214"/>
      <c r="AB335" s="214"/>
      <c r="AC335" s="214"/>
    </row>
    <row r="336">
      <c r="A336" s="222"/>
      <c r="D336" s="286" t="s">
        <v>229</v>
      </c>
      <c r="E336" s="286">
        <v>2.0</v>
      </c>
      <c r="F336" s="261"/>
      <c r="G336" s="261"/>
      <c r="H336" s="262" t="s">
        <v>69</v>
      </c>
      <c r="I336" s="263" t="s">
        <v>65</v>
      </c>
      <c r="J336" s="214"/>
      <c r="K336" s="214"/>
      <c r="L336" s="214"/>
      <c r="M336" s="214"/>
      <c r="N336" s="214"/>
      <c r="O336" s="214"/>
      <c r="P336" s="214"/>
      <c r="Q336" s="214"/>
      <c r="R336" s="214"/>
      <c r="S336" s="214"/>
      <c r="T336" s="214"/>
      <c r="U336" s="214"/>
      <c r="V336" s="214"/>
      <c r="W336" s="214"/>
      <c r="X336" s="214"/>
      <c r="Y336" s="214"/>
      <c r="Z336" s="214"/>
      <c r="AA336" s="214"/>
      <c r="AB336" s="214"/>
      <c r="AC336" s="214"/>
    </row>
    <row r="337">
      <c r="A337" s="222"/>
      <c r="D337" s="223" t="s">
        <v>182</v>
      </c>
      <c r="E337" s="223">
        <v>3.0</v>
      </c>
      <c r="F337" s="342"/>
      <c r="G337" s="342"/>
      <c r="H337" s="225" t="s">
        <v>183</v>
      </c>
      <c r="I337" s="344" t="s">
        <v>176</v>
      </c>
      <c r="J337" s="214"/>
      <c r="K337" s="214"/>
      <c r="L337" s="214"/>
      <c r="M337" s="214"/>
      <c r="N337" s="214"/>
      <c r="O337" s="214"/>
      <c r="P337" s="214"/>
      <c r="Q337" s="214"/>
      <c r="R337" s="214"/>
      <c r="S337" s="214"/>
      <c r="T337" s="214"/>
      <c r="U337" s="214"/>
      <c r="V337" s="214"/>
      <c r="W337" s="214"/>
      <c r="X337" s="214"/>
      <c r="Y337" s="214"/>
      <c r="Z337" s="214"/>
      <c r="AA337" s="214"/>
      <c r="AB337" s="214"/>
      <c r="AC337" s="214"/>
    </row>
    <row r="338">
      <c r="A338" s="236"/>
      <c r="B338" s="237"/>
      <c r="C338" s="237"/>
      <c r="D338" s="495" t="s">
        <v>189</v>
      </c>
      <c r="E338" s="495">
        <v>1.0</v>
      </c>
      <c r="F338" s="496"/>
      <c r="G338" s="496"/>
      <c r="H338" s="497" t="s">
        <v>190</v>
      </c>
      <c r="I338" s="498" t="s">
        <v>186</v>
      </c>
      <c r="J338" s="214"/>
      <c r="K338" s="214"/>
      <c r="L338" s="214"/>
      <c r="M338" s="214"/>
      <c r="N338" s="214"/>
      <c r="O338" s="214"/>
      <c r="P338" s="214"/>
      <c r="Q338" s="214"/>
      <c r="R338" s="214"/>
      <c r="S338" s="214"/>
      <c r="T338" s="214"/>
      <c r="U338" s="214"/>
      <c r="V338" s="214"/>
      <c r="W338" s="214"/>
      <c r="X338" s="214"/>
      <c r="Y338" s="214"/>
      <c r="Z338" s="214"/>
      <c r="AA338" s="214"/>
      <c r="AB338" s="214"/>
      <c r="AC338" s="214"/>
    </row>
    <row r="339">
      <c r="A339" s="242" t="s">
        <v>396</v>
      </c>
      <c r="B339" s="216" t="s">
        <v>397</v>
      </c>
      <c r="C339" s="394">
        <f>sum(E339:E343)</f>
        <v>10</v>
      </c>
      <c r="D339" s="356" t="s">
        <v>11</v>
      </c>
      <c r="E339" s="356">
        <v>3.0</v>
      </c>
      <c r="F339" s="499"/>
      <c r="G339" s="499"/>
      <c r="H339" s="447" t="s">
        <v>294</v>
      </c>
      <c r="I339" s="482" t="s">
        <v>7</v>
      </c>
      <c r="J339" s="214"/>
      <c r="K339" s="214"/>
      <c r="L339" s="214"/>
      <c r="M339" s="214"/>
      <c r="N339" s="214"/>
      <c r="O339" s="214"/>
      <c r="P339" s="214"/>
      <c r="Q339" s="214"/>
      <c r="R339" s="214"/>
      <c r="S339" s="214"/>
      <c r="T339" s="214"/>
      <c r="U339" s="214"/>
      <c r="V339" s="214"/>
      <c r="W339" s="214"/>
      <c r="X339" s="214"/>
      <c r="Y339" s="214"/>
      <c r="Z339" s="214"/>
      <c r="AA339" s="214"/>
      <c r="AB339" s="214"/>
      <c r="AC339" s="214"/>
    </row>
    <row r="340">
      <c r="A340" s="222"/>
      <c r="D340" s="279" t="s">
        <v>52</v>
      </c>
      <c r="E340" s="279">
        <v>1.0</v>
      </c>
      <c r="F340" s="280"/>
      <c r="G340" s="280"/>
      <c r="H340" s="281" t="s">
        <v>53</v>
      </c>
      <c r="I340" s="282" t="s">
        <v>43</v>
      </c>
      <c r="J340" s="214"/>
      <c r="K340" s="214"/>
      <c r="L340" s="214"/>
      <c r="M340" s="214"/>
      <c r="N340" s="214"/>
      <c r="O340" s="214"/>
      <c r="P340" s="214"/>
      <c r="Q340" s="214"/>
      <c r="R340" s="214"/>
      <c r="S340" s="214"/>
      <c r="T340" s="214"/>
      <c r="U340" s="214"/>
      <c r="V340" s="214"/>
      <c r="W340" s="214"/>
      <c r="X340" s="214"/>
      <c r="Y340" s="214"/>
      <c r="Z340" s="214"/>
      <c r="AA340" s="214"/>
      <c r="AB340" s="214"/>
      <c r="AC340" s="214"/>
    </row>
    <row r="341">
      <c r="A341" s="222"/>
      <c r="D341" s="286" t="s">
        <v>229</v>
      </c>
      <c r="E341" s="286">
        <v>2.0</v>
      </c>
      <c r="F341" s="318"/>
      <c r="G341" s="318"/>
      <c r="H341" s="262" t="s">
        <v>69</v>
      </c>
      <c r="I341" s="319" t="s">
        <v>65</v>
      </c>
      <c r="J341" s="214"/>
      <c r="K341" s="214"/>
      <c r="L341" s="214"/>
      <c r="M341" s="214"/>
      <c r="N341" s="214"/>
      <c r="O341" s="214"/>
      <c r="P341" s="214"/>
      <c r="Q341" s="214"/>
      <c r="R341" s="214"/>
      <c r="S341" s="214"/>
      <c r="T341" s="214"/>
      <c r="U341" s="214"/>
      <c r="V341" s="214"/>
      <c r="W341" s="214"/>
      <c r="X341" s="214"/>
      <c r="Y341" s="214"/>
      <c r="Z341" s="214"/>
      <c r="AA341" s="214"/>
      <c r="AB341" s="214"/>
      <c r="AC341" s="214"/>
    </row>
    <row r="342">
      <c r="A342" s="222"/>
      <c r="D342" s="402" t="s">
        <v>162</v>
      </c>
      <c r="E342" s="402">
        <v>2.0</v>
      </c>
      <c r="F342" s="272"/>
      <c r="G342" s="272"/>
      <c r="H342" s="403" t="s">
        <v>164</v>
      </c>
      <c r="I342" s="274" t="s">
        <v>163</v>
      </c>
      <c r="J342" s="214"/>
      <c r="K342" s="214"/>
      <c r="L342" s="214"/>
      <c r="M342" s="214"/>
      <c r="N342" s="214"/>
      <c r="O342" s="214"/>
      <c r="P342" s="214"/>
      <c r="Q342" s="214"/>
      <c r="R342" s="214"/>
      <c r="S342" s="214"/>
      <c r="T342" s="214"/>
      <c r="U342" s="214"/>
      <c r="V342" s="214"/>
      <c r="W342" s="214"/>
      <c r="X342" s="214"/>
      <c r="Y342" s="214"/>
      <c r="Z342" s="214"/>
      <c r="AA342" s="214"/>
      <c r="AB342" s="214"/>
      <c r="AC342" s="214"/>
    </row>
    <row r="343">
      <c r="A343" s="236"/>
      <c r="B343" s="237"/>
      <c r="C343" s="237"/>
      <c r="D343" s="333" t="s">
        <v>97</v>
      </c>
      <c r="E343" s="333">
        <v>2.0</v>
      </c>
      <c r="F343" s="276"/>
      <c r="G343" s="276"/>
      <c r="H343" s="334" t="s">
        <v>99</v>
      </c>
      <c r="I343" s="278" t="s">
        <v>98</v>
      </c>
      <c r="J343" s="214"/>
      <c r="K343" s="214"/>
      <c r="L343" s="214"/>
      <c r="M343" s="214"/>
      <c r="N343" s="214"/>
      <c r="O343" s="214"/>
      <c r="P343" s="214"/>
      <c r="Q343" s="214"/>
      <c r="R343" s="214"/>
      <c r="S343" s="214"/>
      <c r="T343" s="214"/>
      <c r="U343" s="214"/>
      <c r="V343" s="214"/>
      <c r="W343" s="214"/>
      <c r="X343" s="214"/>
      <c r="Y343" s="214"/>
      <c r="Z343" s="214"/>
      <c r="AA343" s="214"/>
      <c r="AB343" s="214"/>
      <c r="AC343" s="214"/>
    </row>
    <row r="344">
      <c r="A344" s="215" t="s">
        <v>398</v>
      </c>
      <c r="B344" s="216" t="s">
        <v>399</v>
      </c>
      <c r="C344" s="394">
        <f>sum(E344:E349)</f>
        <v>10</v>
      </c>
      <c r="D344" s="335" t="s">
        <v>166</v>
      </c>
      <c r="E344" s="335">
        <v>2.0</v>
      </c>
      <c r="F344" s="354"/>
      <c r="G344" s="354"/>
      <c r="H344" s="337" t="s">
        <v>167</v>
      </c>
      <c r="I344" s="338" t="s">
        <v>163</v>
      </c>
      <c r="J344" s="214"/>
      <c r="K344" s="214"/>
      <c r="L344" s="214"/>
      <c r="M344" s="214"/>
      <c r="N344" s="214"/>
      <c r="O344" s="214"/>
      <c r="P344" s="214"/>
      <c r="Q344" s="214"/>
      <c r="R344" s="214"/>
      <c r="S344" s="214"/>
      <c r="T344" s="214"/>
      <c r="U344" s="214"/>
      <c r="V344" s="214"/>
      <c r="W344" s="214"/>
      <c r="X344" s="214"/>
      <c r="Y344" s="214"/>
      <c r="Z344" s="214"/>
      <c r="AA344" s="214"/>
      <c r="AB344" s="214"/>
      <c r="AC344" s="214"/>
    </row>
    <row r="345">
      <c r="A345" s="222"/>
      <c r="D345" s="227" t="s">
        <v>11</v>
      </c>
      <c r="E345" s="227">
        <v>2.0</v>
      </c>
      <c r="F345" s="228"/>
      <c r="G345" s="228"/>
      <c r="H345" s="229" t="s">
        <v>294</v>
      </c>
      <c r="I345" s="230" t="s">
        <v>7</v>
      </c>
      <c r="J345" s="214"/>
      <c r="K345" s="214"/>
      <c r="L345" s="214"/>
      <c r="M345" s="214"/>
      <c r="N345" s="214"/>
      <c r="O345" s="214"/>
      <c r="P345" s="214"/>
      <c r="Q345" s="214"/>
      <c r="R345" s="214"/>
      <c r="S345" s="214"/>
      <c r="T345" s="214"/>
      <c r="U345" s="214"/>
      <c r="V345" s="214"/>
      <c r="W345" s="214"/>
      <c r="X345" s="214"/>
      <c r="Y345" s="214"/>
      <c r="Z345" s="214"/>
      <c r="AA345" s="214"/>
      <c r="AB345" s="214"/>
      <c r="AC345" s="214"/>
    </row>
    <row r="346">
      <c r="A346" s="222"/>
      <c r="D346" s="286" t="s">
        <v>64</v>
      </c>
      <c r="E346" s="286">
        <v>3.0</v>
      </c>
      <c r="F346" s="261"/>
      <c r="G346" s="261"/>
      <c r="H346" s="262" t="s">
        <v>66</v>
      </c>
      <c r="I346" s="263" t="s">
        <v>65</v>
      </c>
      <c r="J346" s="214"/>
      <c r="K346" s="214"/>
      <c r="L346" s="214"/>
      <c r="M346" s="214"/>
      <c r="N346" s="214"/>
      <c r="O346" s="214"/>
      <c r="P346" s="214"/>
      <c r="Q346" s="214"/>
      <c r="R346" s="214"/>
      <c r="S346" s="214"/>
      <c r="T346" s="214"/>
      <c r="U346" s="214"/>
      <c r="V346" s="214"/>
      <c r="W346" s="214"/>
      <c r="X346" s="214"/>
      <c r="Y346" s="214"/>
      <c r="Z346" s="214"/>
      <c r="AA346" s="214"/>
      <c r="AB346" s="214"/>
      <c r="AC346" s="214"/>
    </row>
    <row r="347">
      <c r="A347" s="222"/>
      <c r="I347" s="368"/>
      <c r="J347" s="214"/>
      <c r="K347" s="214"/>
      <c r="L347" s="214"/>
      <c r="M347" s="214"/>
      <c r="N347" s="214"/>
      <c r="O347" s="214"/>
      <c r="P347" s="214"/>
      <c r="Q347" s="214"/>
      <c r="R347" s="214"/>
      <c r="S347" s="214"/>
      <c r="T347" s="214"/>
      <c r="U347" s="214"/>
      <c r="V347" s="214"/>
      <c r="W347" s="214"/>
      <c r="X347" s="214"/>
      <c r="Y347" s="214"/>
      <c r="Z347" s="214"/>
      <c r="AA347" s="214"/>
      <c r="AB347" s="214"/>
      <c r="AC347" s="214"/>
    </row>
    <row r="348">
      <c r="A348" s="222"/>
      <c r="D348" s="333" t="s">
        <v>101</v>
      </c>
      <c r="E348" s="333">
        <v>2.0</v>
      </c>
      <c r="F348" s="276"/>
      <c r="G348" s="276"/>
      <c r="H348" s="334" t="s">
        <v>102</v>
      </c>
      <c r="I348" s="278" t="s">
        <v>98</v>
      </c>
      <c r="J348" s="214"/>
      <c r="K348" s="214"/>
      <c r="L348" s="214"/>
      <c r="M348" s="214"/>
      <c r="N348" s="214"/>
      <c r="O348" s="214"/>
      <c r="P348" s="214"/>
      <c r="Q348" s="214"/>
      <c r="R348" s="214"/>
      <c r="S348" s="214"/>
      <c r="T348" s="214"/>
      <c r="U348" s="214"/>
      <c r="V348" s="214"/>
      <c r="W348" s="214"/>
      <c r="X348" s="214"/>
      <c r="Y348" s="214"/>
      <c r="Z348" s="214"/>
      <c r="AA348" s="214"/>
      <c r="AB348" s="214"/>
      <c r="AC348" s="214"/>
    </row>
    <row r="349" ht="19.5" customHeight="1">
      <c r="A349" s="236"/>
      <c r="B349" s="237"/>
      <c r="C349" s="237"/>
      <c r="D349" s="495" t="s">
        <v>185</v>
      </c>
      <c r="E349" s="495">
        <v>1.0</v>
      </c>
      <c r="F349" s="500"/>
      <c r="G349" s="500"/>
      <c r="H349" s="497" t="s">
        <v>187</v>
      </c>
      <c r="I349" s="501" t="s">
        <v>186</v>
      </c>
      <c r="J349" s="214"/>
      <c r="K349" s="214"/>
      <c r="L349" s="214"/>
      <c r="M349" s="214"/>
      <c r="N349" s="214"/>
      <c r="O349" s="214"/>
      <c r="P349" s="214"/>
      <c r="Q349" s="214"/>
      <c r="R349" s="214"/>
      <c r="S349" s="214"/>
      <c r="T349" s="214"/>
      <c r="U349" s="214"/>
      <c r="V349" s="214"/>
      <c r="W349" s="214"/>
      <c r="X349" s="214"/>
      <c r="Y349" s="214"/>
      <c r="Z349" s="214"/>
      <c r="AA349" s="214"/>
      <c r="AB349" s="214"/>
      <c r="AC349" s="214"/>
    </row>
    <row r="350">
      <c r="A350" s="242" t="s">
        <v>400</v>
      </c>
      <c r="B350" s="243" t="s">
        <v>401</v>
      </c>
      <c r="C350" s="394">
        <f>sum(E350:E353)</f>
        <v>10</v>
      </c>
      <c r="D350" s="395" t="s">
        <v>22</v>
      </c>
      <c r="E350" s="395">
        <v>2.0</v>
      </c>
      <c r="F350" s="397"/>
      <c r="G350" s="397"/>
      <c r="H350" s="398" t="s">
        <v>265</v>
      </c>
      <c r="I350" s="428" t="s">
        <v>23</v>
      </c>
      <c r="J350" s="214"/>
      <c r="K350" s="214"/>
      <c r="L350" s="214"/>
      <c r="M350" s="214"/>
      <c r="N350" s="214"/>
      <c r="O350" s="214"/>
      <c r="P350" s="214"/>
      <c r="Q350" s="214"/>
      <c r="R350" s="214"/>
      <c r="S350" s="214"/>
      <c r="T350" s="214"/>
      <c r="U350" s="214"/>
      <c r="V350" s="214"/>
      <c r="W350" s="214"/>
      <c r="X350" s="214"/>
      <c r="Y350" s="214"/>
      <c r="Z350" s="214"/>
      <c r="AA350" s="214"/>
      <c r="AB350" s="214"/>
      <c r="AC350" s="214"/>
    </row>
    <row r="351">
      <c r="A351" s="222"/>
      <c r="D351" s="299" t="s">
        <v>143</v>
      </c>
      <c r="E351" s="299">
        <v>5.0</v>
      </c>
      <c r="F351" s="251"/>
      <c r="G351" s="251"/>
      <c r="H351" s="312" t="s">
        <v>145</v>
      </c>
      <c r="I351" s="300" t="s">
        <v>144</v>
      </c>
      <c r="J351" s="214"/>
      <c r="K351" s="214"/>
      <c r="L351" s="214"/>
      <c r="M351" s="214"/>
      <c r="N351" s="214"/>
      <c r="O351" s="214"/>
      <c r="P351" s="214"/>
      <c r="Q351" s="214"/>
      <c r="R351" s="214"/>
      <c r="S351" s="214"/>
      <c r="T351" s="214"/>
      <c r="U351" s="214"/>
      <c r="V351" s="214"/>
      <c r="W351" s="214"/>
      <c r="X351" s="214"/>
      <c r="Y351" s="214"/>
      <c r="Z351" s="214"/>
      <c r="AA351" s="214"/>
      <c r="AB351" s="214"/>
      <c r="AC351" s="214"/>
    </row>
    <row r="352">
      <c r="A352" s="222"/>
      <c r="D352" s="271" t="s">
        <v>162</v>
      </c>
      <c r="E352" s="271">
        <v>2.0</v>
      </c>
      <c r="F352" s="272"/>
      <c r="G352" s="272"/>
      <c r="H352" s="273" t="s">
        <v>164</v>
      </c>
      <c r="I352" s="274" t="s">
        <v>163</v>
      </c>
      <c r="J352" s="214"/>
      <c r="K352" s="214"/>
      <c r="L352" s="214"/>
      <c r="M352" s="214"/>
      <c r="N352" s="214"/>
      <c r="O352" s="214"/>
      <c r="P352" s="214"/>
      <c r="Q352" s="214"/>
      <c r="R352" s="214"/>
      <c r="S352" s="214"/>
      <c r="T352" s="214"/>
      <c r="U352" s="214"/>
      <c r="V352" s="214"/>
      <c r="W352" s="214"/>
      <c r="X352" s="214"/>
      <c r="Y352" s="214"/>
      <c r="Z352" s="214"/>
      <c r="AA352" s="214"/>
      <c r="AB352" s="214"/>
      <c r="AC352" s="214"/>
    </row>
    <row r="353">
      <c r="A353" s="236"/>
      <c r="B353" s="237"/>
      <c r="C353" s="237"/>
      <c r="D353" s="287" t="s">
        <v>117</v>
      </c>
      <c r="E353" s="287">
        <v>1.0</v>
      </c>
      <c r="F353" s="288"/>
      <c r="G353" s="288"/>
      <c r="H353" s="289" t="s">
        <v>238</v>
      </c>
      <c r="I353" s="290" t="s">
        <v>105</v>
      </c>
      <c r="J353" s="214"/>
      <c r="K353" s="214"/>
      <c r="L353" s="214"/>
      <c r="M353" s="214"/>
      <c r="N353" s="214"/>
      <c r="O353" s="214"/>
      <c r="P353" s="214"/>
      <c r="Q353" s="214"/>
      <c r="R353" s="214"/>
      <c r="S353" s="214"/>
      <c r="T353" s="214"/>
      <c r="U353" s="214"/>
      <c r="V353" s="214"/>
      <c r="W353" s="214"/>
      <c r="X353" s="214"/>
      <c r="Y353" s="214"/>
      <c r="Z353" s="214"/>
      <c r="AA353" s="214"/>
      <c r="AB353" s="214"/>
      <c r="AC353" s="214"/>
    </row>
    <row r="354">
      <c r="A354" s="242" t="s">
        <v>402</v>
      </c>
      <c r="B354" s="243" t="s">
        <v>403</v>
      </c>
      <c r="C354" s="394">
        <f>sum(E354:E359)</f>
        <v>10</v>
      </c>
      <c r="D354" s="245" t="s">
        <v>55</v>
      </c>
      <c r="E354" s="245">
        <v>1.0</v>
      </c>
      <c r="F354" s="246"/>
      <c r="G354" s="246"/>
      <c r="H354" s="247" t="s">
        <v>56</v>
      </c>
      <c r="I354" s="248" t="s">
        <v>43</v>
      </c>
      <c r="J354" s="214"/>
      <c r="K354" s="214"/>
      <c r="L354" s="214"/>
      <c r="M354" s="214"/>
      <c r="N354" s="214"/>
      <c r="O354" s="214"/>
      <c r="P354" s="214"/>
      <c r="Q354" s="214"/>
      <c r="R354" s="214"/>
      <c r="S354" s="214"/>
      <c r="T354" s="214"/>
      <c r="U354" s="214"/>
      <c r="V354" s="214"/>
      <c r="W354" s="214"/>
      <c r="X354" s="214"/>
      <c r="Y354" s="214"/>
      <c r="Z354" s="214"/>
      <c r="AA354" s="214"/>
      <c r="AB354" s="214"/>
      <c r="AC354" s="214"/>
    </row>
    <row r="355">
      <c r="A355" s="222"/>
      <c r="D355" s="227" t="s">
        <v>11</v>
      </c>
      <c r="E355" s="227">
        <v>2.0</v>
      </c>
      <c r="F355" s="327"/>
      <c r="G355" s="327"/>
      <c r="H355" s="229" t="s">
        <v>294</v>
      </c>
      <c r="I355" s="392" t="s">
        <v>7</v>
      </c>
      <c r="J355" s="214"/>
      <c r="K355" s="214"/>
      <c r="L355" s="214"/>
      <c r="M355" s="214"/>
      <c r="N355" s="214"/>
      <c r="O355" s="214"/>
      <c r="P355" s="214"/>
      <c r="Q355" s="214"/>
      <c r="R355" s="214"/>
      <c r="S355" s="214"/>
      <c r="T355" s="214"/>
      <c r="U355" s="214"/>
      <c r="V355" s="214"/>
      <c r="W355" s="214"/>
      <c r="X355" s="214"/>
      <c r="Y355" s="214"/>
      <c r="Z355" s="214"/>
      <c r="AA355" s="214"/>
      <c r="AB355" s="214"/>
      <c r="AC355" s="214"/>
    </row>
    <row r="356">
      <c r="A356" s="222"/>
      <c r="D356" s="333" t="s">
        <v>97</v>
      </c>
      <c r="E356" s="333">
        <v>2.0</v>
      </c>
      <c r="F356" s="296"/>
      <c r="G356" s="296"/>
      <c r="H356" s="334" t="s">
        <v>99</v>
      </c>
      <c r="I356" s="297" t="s">
        <v>98</v>
      </c>
      <c r="J356" s="214"/>
      <c r="K356" s="214"/>
      <c r="L356" s="214"/>
      <c r="M356" s="214"/>
      <c r="N356" s="214"/>
      <c r="O356" s="214"/>
      <c r="P356" s="214"/>
      <c r="Q356" s="214"/>
      <c r="R356" s="214"/>
      <c r="S356" s="214"/>
      <c r="T356" s="214"/>
      <c r="U356" s="214"/>
      <c r="V356" s="214"/>
      <c r="W356" s="214"/>
      <c r="X356" s="214"/>
      <c r="Y356" s="214"/>
      <c r="Z356" s="214"/>
      <c r="AA356" s="214"/>
      <c r="AB356" s="214"/>
      <c r="AC356" s="214"/>
    </row>
    <row r="357">
      <c r="A357" s="222"/>
      <c r="D357" s="299" t="s">
        <v>150</v>
      </c>
      <c r="E357" s="299">
        <v>2.0</v>
      </c>
      <c r="F357" s="250"/>
      <c r="G357" s="251"/>
      <c r="H357" s="312" t="s">
        <v>151</v>
      </c>
      <c r="I357" s="415" t="s">
        <v>144</v>
      </c>
      <c r="J357" s="214"/>
      <c r="K357" s="214"/>
      <c r="L357" s="214"/>
      <c r="M357" s="214"/>
      <c r="N357" s="214"/>
      <c r="O357" s="214"/>
      <c r="P357" s="214"/>
      <c r="Q357" s="214"/>
      <c r="R357" s="214"/>
      <c r="S357" s="214"/>
      <c r="T357" s="214"/>
      <c r="U357" s="214"/>
      <c r="V357" s="214"/>
      <c r="W357" s="214"/>
      <c r="X357" s="214"/>
      <c r="Y357" s="214"/>
      <c r="Z357" s="214"/>
      <c r="AA357" s="214"/>
      <c r="AB357" s="214"/>
      <c r="AC357" s="214"/>
    </row>
    <row r="358">
      <c r="A358" s="222"/>
      <c r="D358" s="271" t="s">
        <v>162</v>
      </c>
      <c r="E358" s="271">
        <v>2.0</v>
      </c>
      <c r="F358" s="272"/>
      <c r="G358" s="272"/>
      <c r="H358" s="273" t="s">
        <v>164</v>
      </c>
      <c r="I358" s="274" t="s">
        <v>163</v>
      </c>
      <c r="J358" s="214"/>
      <c r="K358" s="214"/>
      <c r="L358" s="214"/>
      <c r="M358" s="214"/>
      <c r="N358" s="214"/>
      <c r="O358" s="214"/>
      <c r="P358" s="214"/>
      <c r="Q358" s="214"/>
      <c r="R358" s="214"/>
      <c r="S358" s="214"/>
      <c r="T358" s="214"/>
      <c r="U358" s="214"/>
      <c r="V358" s="214"/>
      <c r="W358" s="214"/>
      <c r="X358" s="214"/>
      <c r="Y358" s="214"/>
      <c r="Z358" s="214"/>
      <c r="AA358" s="214"/>
      <c r="AB358" s="214"/>
      <c r="AC358" s="214"/>
    </row>
    <row r="359">
      <c r="A359" s="236"/>
      <c r="B359" s="237"/>
      <c r="C359" s="237"/>
      <c r="D359" s="287" t="s">
        <v>134</v>
      </c>
      <c r="E359" s="287">
        <v>1.0</v>
      </c>
      <c r="F359" s="288"/>
      <c r="G359" s="288"/>
      <c r="H359" s="289" t="s">
        <v>135</v>
      </c>
      <c r="I359" s="461" t="s">
        <v>105</v>
      </c>
      <c r="J359" s="214"/>
      <c r="K359" s="214"/>
      <c r="L359" s="214"/>
      <c r="M359" s="214"/>
      <c r="N359" s="214"/>
      <c r="O359" s="214"/>
      <c r="P359" s="214"/>
      <c r="Q359" s="214"/>
      <c r="R359" s="214"/>
      <c r="S359" s="214"/>
      <c r="T359" s="214"/>
      <c r="U359" s="214"/>
      <c r="V359" s="214"/>
      <c r="W359" s="214"/>
      <c r="X359" s="214"/>
      <c r="Y359" s="214"/>
      <c r="Z359" s="214"/>
      <c r="AA359" s="214"/>
      <c r="AB359" s="214"/>
      <c r="AC359" s="214"/>
    </row>
    <row r="360">
      <c r="A360" s="242" t="s">
        <v>404</v>
      </c>
      <c r="B360" s="243" t="s">
        <v>405</v>
      </c>
      <c r="C360" s="394">
        <f>sum(E360:E364)</f>
        <v>10</v>
      </c>
      <c r="D360" s="292" t="s">
        <v>64</v>
      </c>
      <c r="E360" s="292">
        <v>3.0</v>
      </c>
      <c r="F360" s="324"/>
      <c r="G360" s="324"/>
      <c r="H360" s="262" t="s">
        <v>66</v>
      </c>
      <c r="I360" s="295" t="s">
        <v>65</v>
      </c>
      <c r="J360" s="214"/>
      <c r="K360" s="214"/>
      <c r="L360" s="214"/>
      <c r="M360" s="214"/>
      <c r="N360" s="214"/>
      <c r="O360" s="214"/>
      <c r="P360" s="214"/>
      <c r="Q360" s="214"/>
      <c r="R360" s="214"/>
      <c r="S360" s="214"/>
      <c r="T360" s="214"/>
      <c r="U360" s="214"/>
      <c r="V360" s="214"/>
      <c r="W360" s="214"/>
      <c r="X360" s="214"/>
      <c r="Y360" s="214"/>
      <c r="Z360" s="214"/>
      <c r="AA360" s="214"/>
      <c r="AB360" s="214"/>
      <c r="AC360" s="214"/>
    </row>
    <row r="361">
      <c r="A361" s="222"/>
      <c r="D361" s="227" t="s">
        <v>254</v>
      </c>
      <c r="E361" s="227">
        <v>2.0</v>
      </c>
      <c r="F361" s="327"/>
      <c r="G361" s="327"/>
      <c r="H361" s="229" t="s">
        <v>255</v>
      </c>
      <c r="I361" s="230" t="s">
        <v>7</v>
      </c>
      <c r="J361" s="214"/>
      <c r="K361" s="214"/>
      <c r="L361" s="214"/>
      <c r="M361" s="214"/>
      <c r="N361" s="214"/>
      <c r="O361" s="214"/>
      <c r="P361" s="214"/>
      <c r="Q361" s="214"/>
      <c r="R361" s="214"/>
      <c r="S361" s="214"/>
      <c r="T361" s="214"/>
      <c r="U361" s="214"/>
      <c r="V361" s="214"/>
      <c r="W361" s="214"/>
      <c r="X361" s="214"/>
      <c r="Y361" s="214"/>
      <c r="Z361" s="214"/>
      <c r="AA361" s="214"/>
      <c r="AB361" s="214"/>
      <c r="AC361" s="214"/>
    </row>
    <row r="362">
      <c r="A362" s="222"/>
      <c r="D362" s="333" t="s">
        <v>101</v>
      </c>
      <c r="E362" s="333">
        <v>2.0</v>
      </c>
      <c r="F362" s="276"/>
      <c r="G362" s="276"/>
      <c r="H362" s="334" t="s">
        <v>102</v>
      </c>
      <c r="I362" s="278" t="s">
        <v>98</v>
      </c>
      <c r="J362" s="214"/>
      <c r="K362" s="214"/>
      <c r="L362" s="214"/>
      <c r="M362" s="214"/>
      <c r="N362" s="214"/>
      <c r="O362" s="214"/>
      <c r="P362" s="214"/>
      <c r="Q362" s="214"/>
      <c r="R362" s="214"/>
      <c r="S362" s="214"/>
      <c r="T362" s="214"/>
      <c r="U362" s="214"/>
      <c r="V362" s="214"/>
      <c r="W362" s="214"/>
      <c r="X362" s="214"/>
      <c r="Y362" s="214"/>
      <c r="Z362" s="214"/>
      <c r="AA362" s="214"/>
      <c r="AB362" s="214"/>
      <c r="AC362" s="214"/>
    </row>
    <row r="363">
      <c r="A363" s="222"/>
      <c r="D363" s="341" t="s">
        <v>179</v>
      </c>
      <c r="E363" s="341">
        <v>2.0</v>
      </c>
      <c r="F363" s="342"/>
      <c r="G363" s="342"/>
      <c r="H363" s="343" t="s">
        <v>180</v>
      </c>
      <c r="I363" s="344" t="s">
        <v>176</v>
      </c>
      <c r="J363" s="214"/>
      <c r="K363" s="214"/>
      <c r="L363" s="214"/>
      <c r="M363" s="214"/>
      <c r="N363" s="214"/>
      <c r="O363" s="214"/>
      <c r="P363" s="214"/>
      <c r="Q363" s="214"/>
      <c r="R363" s="214"/>
      <c r="S363" s="214"/>
      <c r="T363" s="214"/>
      <c r="U363" s="214"/>
      <c r="V363" s="214"/>
      <c r="W363" s="214"/>
      <c r="X363" s="214"/>
      <c r="Y363" s="214"/>
      <c r="Z363" s="214"/>
      <c r="AA363" s="214"/>
      <c r="AB363" s="214"/>
      <c r="AC363" s="214"/>
    </row>
    <row r="364">
      <c r="A364" s="236"/>
      <c r="B364" s="237"/>
      <c r="C364" s="237"/>
      <c r="D364" s="502" t="s">
        <v>189</v>
      </c>
      <c r="E364" s="502">
        <v>1.0</v>
      </c>
      <c r="F364" s="500"/>
      <c r="G364" s="500"/>
      <c r="H364" s="503" t="s">
        <v>190</v>
      </c>
      <c r="I364" s="501" t="s">
        <v>186</v>
      </c>
      <c r="J364" s="214"/>
      <c r="K364" s="214"/>
      <c r="L364" s="214"/>
      <c r="M364" s="214"/>
      <c r="N364" s="214"/>
      <c r="O364" s="214"/>
      <c r="P364" s="214"/>
      <c r="Q364" s="214"/>
      <c r="R364" s="214"/>
      <c r="S364" s="214"/>
      <c r="T364" s="214"/>
      <c r="U364" s="214"/>
      <c r="V364" s="214"/>
      <c r="W364" s="214"/>
      <c r="X364" s="214"/>
      <c r="Y364" s="214"/>
      <c r="Z364" s="214"/>
      <c r="AA364" s="214"/>
      <c r="AB364" s="214"/>
      <c r="AC364" s="214"/>
    </row>
    <row r="365">
      <c r="A365" s="242" t="s">
        <v>406</v>
      </c>
      <c r="B365" s="243" t="s">
        <v>407</v>
      </c>
      <c r="C365" s="394">
        <f>sum(E365:AC369)</f>
        <v>10</v>
      </c>
      <c r="D365" s="487" t="s">
        <v>306</v>
      </c>
      <c r="E365" s="487">
        <v>3.0</v>
      </c>
      <c r="F365" s="488"/>
      <c r="G365" s="489"/>
      <c r="H365" s="490" t="s">
        <v>31</v>
      </c>
      <c r="I365" s="491" t="s">
        <v>30</v>
      </c>
      <c r="J365" s="214"/>
      <c r="K365" s="214"/>
      <c r="L365" s="214"/>
      <c r="M365" s="214"/>
      <c r="N365" s="214"/>
      <c r="O365" s="214"/>
      <c r="P365" s="214"/>
      <c r="Q365" s="214"/>
      <c r="R365" s="214"/>
      <c r="S365" s="214"/>
      <c r="T365" s="214"/>
      <c r="U365" s="214"/>
      <c r="V365" s="214"/>
      <c r="W365" s="214"/>
      <c r="X365" s="214"/>
      <c r="Y365" s="214"/>
      <c r="Z365" s="214"/>
      <c r="AA365" s="214"/>
      <c r="AB365" s="214"/>
      <c r="AC365" s="214"/>
    </row>
    <row r="366">
      <c r="A366" s="222"/>
      <c r="D366" s="299" t="s">
        <v>147</v>
      </c>
      <c r="E366" s="299">
        <v>3.0</v>
      </c>
      <c r="F366" s="251"/>
      <c r="G366" s="251"/>
      <c r="H366" s="312" t="s">
        <v>145</v>
      </c>
      <c r="I366" s="300" t="s">
        <v>144</v>
      </c>
      <c r="J366" s="214"/>
      <c r="K366" s="214"/>
      <c r="L366" s="214"/>
      <c r="M366" s="214"/>
      <c r="N366" s="214"/>
      <c r="O366" s="214"/>
      <c r="P366" s="214"/>
      <c r="Q366" s="214"/>
      <c r="R366" s="214"/>
      <c r="S366" s="214"/>
      <c r="T366" s="214"/>
      <c r="U366" s="214"/>
      <c r="V366" s="214"/>
      <c r="W366" s="214"/>
      <c r="X366" s="214"/>
      <c r="Y366" s="214"/>
      <c r="Z366" s="214"/>
      <c r="AA366" s="214"/>
      <c r="AB366" s="214"/>
      <c r="AC366" s="214"/>
    </row>
    <row r="367">
      <c r="A367" s="222"/>
      <c r="D367" s="232" t="s">
        <v>123</v>
      </c>
      <c r="E367" s="232">
        <v>1.0</v>
      </c>
      <c r="F367" s="233"/>
      <c r="G367" s="233"/>
      <c r="H367" s="234" t="s">
        <v>124</v>
      </c>
      <c r="I367" s="235" t="s">
        <v>105</v>
      </c>
      <c r="J367" s="214"/>
      <c r="K367" s="214"/>
      <c r="L367" s="214"/>
      <c r="M367" s="214"/>
      <c r="N367" s="214"/>
      <c r="O367" s="214"/>
      <c r="P367" s="214"/>
      <c r="Q367" s="214"/>
      <c r="R367" s="214"/>
      <c r="S367" s="214"/>
      <c r="T367" s="214"/>
      <c r="U367" s="214"/>
      <c r="V367" s="214"/>
      <c r="W367" s="214"/>
      <c r="X367" s="214"/>
      <c r="Y367" s="214"/>
      <c r="Z367" s="214"/>
      <c r="AA367" s="214"/>
      <c r="AB367" s="214"/>
      <c r="AC367" s="214"/>
    </row>
    <row r="368">
      <c r="A368" s="222"/>
      <c r="D368" s="232" t="s">
        <v>131</v>
      </c>
      <c r="E368" s="232">
        <v>1.0</v>
      </c>
      <c r="F368" s="233"/>
      <c r="G368" s="233"/>
      <c r="H368" s="234" t="s">
        <v>132</v>
      </c>
      <c r="I368" s="298" t="s">
        <v>105</v>
      </c>
      <c r="J368" s="214"/>
      <c r="K368" s="214"/>
      <c r="L368" s="214"/>
      <c r="M368" s="214"/>
      <c r="N368" s="214"/>
      <c r="O368" s="214"/>
      <c r="P368" s="214"/>
      <c r="Q368" s="214"/>
      <c r="R368" s="214"/>
      <c r="S368" s="214"/>
      <c r="T368" s="214"/>
      <c r="U368" s="214"/>
      <c r="V368" s="214"/>
      <c r="W368" s="214"/>
      <c r="X368" s="214"/>
      <c r="Y368" s="214"/>
      <c r="Z368" s="214"/>
      <c r="AA368" s="214"/>
      <c r="AB368" s="214"/>
      <c r="AC368" s="214"/>
    </row>
    <row r="369">
      <c r="A369" s="236"/>
      <c r="B369" s="237"/>
      <c r="C369" s="237"/>
      <c r="D369" s="264" t="s">
        <v>162</v>
      </c>
      <c r="E369" s="264">
        <v>2.0</v>
      </c>
      <c r="F369" s="479"/>
      <c r="G369" s="479"/>
      <c r="H369" s="266" t="s">
        <v>164</v>
      </c>
      <c r="I369" s="267" t="s">
        <v>163</v>
      </c>
      <c r="J369" s="214"/>
      <c r="K369" s="214"/>
      <c r="L369" s="214"/>
      <c r="M369" s="214"/>
      <c r="N369" s="214"/>
      <c r="O369" s="214"/>
      <c r="P369" s="214"/>
      <c r="Q369" s="214"/>
      <c r="R369" s="214"/>
      <c r="S369" s="214"/>
      <c r="T369" s="214"/>
      <c r="U369" s="214"/>
      <c r="V369" s="214"/>
      <c r="W369" s="214"/>
      <c r="X369" s="214"/>
      <c r="Y369" s="214"/>
      <c r="Z369" s="214"/>
      <c r="AA369" s="214"/>
      <c r="AB369" s="214"/>
      <c r="AC369" s="214"/>
    </row>
    <row r="370">
      <c r="A370" s="242" t="s">
        <v>408</v>
      </c>
      <c r="B370" s="243" t="s">
        <v>338</v>
      </c>
      <c r="C370" s="394">
        <f>sum(E370:E374)</f>
        <v>10</v>
      </c>
      <c r="D370" s="308" t="s">
        <v>117</v>
      </c>
      <c r="E370" s="308">
        <v>1.0</v>
      </c>
      <c r="F370" s="309"/>
      <c r="G370" s="309"/>
      <c r="H370" s="310" t="s">
        <v>238</v>
      </c>
      <c r="I370" s="311" t="s">
        <v>105</v>
      </c>
      <c r="J370" s="214"/>
      <c r="K370" s="214"/>
      <c r="L370" s="214"/>
      <c r="M370" s="214"/>
      <c r="N370" s="214"/>
      <c r="O370" s="214"/>
      <c r="P370" s="214"/>
      <c r="Q370" s="214"/>
      <c r="R370" s="214"/>
      <c r="S370" s="214"/>
      <c r="T370" s="214"/>
      <c r="U370" s="214"/>
      <c r="V370" s="214"/>
      <c r="W370" s="214"/>
      <c r="X370" s="214"/>
      <c r="Y370" s="214"/>
      <c r="Z370" s="214"/>
      <c r="AA370" s="214"/>
      <c r="AB370" s="214"/>
      <c r="AC370" s="214"/>
    </row>
    <row r="371">
      <c r="A371" s="222"/>
      <c r="D371" s="333" t="s">
        <v>101</v>
      </c>
      <c r="E371" s="333">
        <v>2.0</v>
      </c>
      <c r="F371" s="276"/>
      <c r="G371" s="276"/>
      <c r="H371" s="334" t="s">
        <v>102</v>
      </c>
      <c r="I371" s="297" t="s">
        <v>98</v>
      </c>
      <c r="J371" s="214"/>
      <c r="K371" s="214"/>
      <c r="L371" s="214"/>
      <c r="M371" s="214"/>
      <c r="N371" s="214"/>
      <c r="O371" s="214"/>
      <c r="P371" s="214"/>
      <c r="Q371" s="214"/>
      <c r="R371" s="214"/>
      <c r="S371" s="214"/>
      <c r="T371" s="214"/>
      <c r="U371" s="214"/>
      <c r="V371" s="214"/>
      <c r="W371" s="214"/>
      <c r="X371" s="214"/>
      <c r="Y371" s="214"/>
      <c r="Z371" s="214"/>
      <c r="AA371" s="214"/>
      <c r="AB371" s="214"/>
      <c r="AC371" s="214"/>
    </row>
    <row r="372">
      <c r="A372" s="222"/>
      <c r="D372" s="223" t="s">
        <v>179</v>
      </c>
      <c r="E372" s="223">
        <v>2.0</v>
      </c>
      <c r="F372" s="342"/>
      <c r="G372" s="342"/>
      <c r="H372" s="225" t="s">
        <v>180</v>
      </c>
      <c r="I372" s="344" t="s">
        <v>176</v>
      </c>
      <c r="J372" s="214"/>
      <c r="K372" s="214"/>
      <c r="L372" s="214"/>
      <c r="M372" s="214"/>
      <c r="N372" s="214"/>
      <c r="O372" s="214"/>
      <c r="P372" s="214"/>
      <c r="Q372" s="214"/>
      <c r="R372" s="214"/>
      <c r="S372" s="214"/>
      <c r="T372" s="214"/>
      <c r="U372" s="214"/>
      <c r="V372" s="214"/>
      <c r="W372" s="214"/>
      <c r="X372" s="214"/>
      <c r="Y372" s="214"/>
      <c r="Z372" s="214"/>
      <c r="AA372" s="214"/>
      <c r="AB372" s="214"/>
      <c r="AC372" s="214"/>
    </row>
    <row r="373">
      <c r="A373" s="222"/>
      <c r="D373" s="286" t="s">
        <v>64</v>
      </c>
      <c r="E373" s="286">
        <v>3.0</v>
      </c>
      <c r="F373" s="261"/>
      <c r="G373" s="261"/>
      <c r="H373" s="262" t="s">
        <v>66</v>
      </c>
      <c r="I373" s="263" t="s">
        <v>65</v>
      </c>
      <c r="J373" s="214"/>
      <c r="K373" s="214"/>
      <c r="L373" s="214"/>
      <c r="M373" s="214"/>
      <c r="N373" s="214"/>
      <c r="O373" s="214"/>
      <c r="P373" s="214"/>
      <c r="Q373" s="214"/>
      <c r="R373" s="214"/>
      <c r="S373" s="214"/>
      <c r="T373" s="214"/>
      <c r="U373" s="214"/>
      <c r="V373" s="214"/>
      <c r="W373" s="214"/>
      <c r="X373" s="214"/>
      <c r="Y373" s="214"/>
      <c r="Z373" s="214"/>
      <c r="AA373" s="214"/>
      <c r="AB373" s="214"/>
      <c r="AC373" s="214"/>
    </row>
    <row r="374">
      <c r="A374" s="236"/>
      <c r="B374" s="237"/>
      <c r="C374" s="237"/>
      <c r="D374" s="374" t="s">
        <v>254</v>
      </c>
      <c r="E374" s="374">
        <v>2.0</v>
      </c>
      <c r="F374" s="504"/>
      <c r="G374" s="504"/>
      <c r="H374" s="376" t="s">
        <v>255</v>
      </c>
      <c r="I374" s="505" t="s">
        <v>7</v>
      </c>
      <c r="J374" s="214"/>
      <c r="K374" s="214"/>
      <c r="L374" s="214"/>
      <c r="M374" s="214"/>
      <c r="N374" s="214"/>
      <c r="O374" s="214"/>
      <c r="P374" s="214"/>
      <c r="Q374" s="214"/>
      <c r="R374" s="214"/>
      <c r="S374" s="214"/>
      <c r="T374" s="214"/>
      <c r="U374" s="214"/>
      <c r="V374" s="214"/>
      <c r="W374" s="214"/>
      <c r="X374" s="214"/>
      <c r="Y374" s="214"/>
      <c r="Z374" s="214"/>
      <c r="AA374" s="214"/>
      <c r="AB374" s="214"/>
      <c r="AC374" s="214"/>
    </row>
    <row r="375">
      <c r="A375" s="242" t="s">
        <v>409</v>
      </c>
      <c r="B375" s="243" t="s">
        <v>410</v>
      </c>
      <c r="C375" s="394">
        <f>sum(E375:E379)</f>
        <v>10</v>
      </c>
      <c r="D375" s="356" t="s">
        <v>254</v>
      </c>
      <c r="E375" s="356">
        <v>2.0</v>
      </c>
      <c r="F375" s="499"/>
      <c r="G375" s="499"/>
      <c r="H375" s="447" t="s">
        <v>255</v>
      </c>
      <c r="I375" s="482" t="s">
        <v>7</v>
      </c>
      <c r="J375" s="214"/>
      <c r="K375" s="214"/>
      <c r="L375" s="214"/>
      <c r="M375" s="214"/>
      <c r="N375" s="214"/>
      <c r="O375" s="214"/>
      <c r="P375" s="214"/>
      <c r="Q375" s="214"/>
      <c r="R375" s="214"/>
      <c r="S375" s="214"/>
      <c r="T375" s="214"/>
      <c r="U375" s="214"/>
      <c r="V375" s="214"/>
      <c r="W375" s="214"/>
      <c r="X375" s="214"/>
      <c r="Y375" s="214"/>
      <c r="Z375" s="214"/>
      <c r="AA375" s="214"/>
      <c r="AB375" s="214"/>
      <c r="AC375" s="214"/>
    </row>
    <row r="376">
      <c r="A376" s="222"/>
      <c r="D376" s="506" t="s">
        <v>22</v>
      </c>
      <c r="E376" s="506">
        <v>2.0</v>
      </c>
      <c r="F376" s="370"/>
      <c r="G376" s="371"/>
      <c r="H376" s="507" t="s">
        <v>265</v>
      </c>
      <c r="I376" s="424" t="s">
        <v>23</v>
      </c>
      <c r="J376" s="214"/>
      <c r="K376" s="214"/>
      <c r="L376" s="214"/>
      <c r="M376" s="214"/>
      <c r="N376" s="214"/>
      <c r="O376" s="214"/>
      <c r="P376" s="214"/>
      <c r="Q376" s="214"/>
      <c r="R376" s="214"/>
      <c r="S376" s="214"/>
      <c r="T376" s="214"/>
      <c r="U376" s="214"/>
      <c r="V376" s="214"/>
      <c r="W376" s="214"/>
      <c r="X376" s="214"/>
      <c r="Y376" s="214"/>
      <c r="Z376" s="214"/>
      <c r="AA376" s="214"/>
      <c r="AB376" s="214"/>
      <c r="AC376" s="214"/>
    </row>
    <row r="377">
      <c r="A377" s="222"/>
      <c r="D377" s="286" t="s">
        <v>411</v>
      </c>
      <c r="E377" s="286">
        <v>2.0</v>
      </c>
      <c r="F377" s="261"/>
      <c r="G377" s="261"/>
      <c r="H377" s="262" t="s">
        <v>69</v>
      </c>
      <c r="I377" s="319" t="s">
        <v>65</v>
      </c>
      <c r="J377" s="214"/>
      <c r="K377" s="214"/>
      <c r="L377" s="214"/>
      <c r="M377" s="214"/>
      <c r="N377" s="214"/>
      <c r="O377" s="214"/>
      <c r="P377" s="214"/>
      <c r="Q377" s="214"/>
      <c r="R377" s="214"/>
      <c r="S377" s="214"/>
      <c r="T377" s="214"/>
      <c r="U377" s="214"/>
      <c r="V377" s="214"/>
      <c r="W377" s="214"/>
      <c r="X377" s="214"/>
      <c r="Y377" s="214"/>
      <c r="Z377" s="214"/>
      <c r="AA377" s="214"/>
      <c r="AB377" s="214"/>
      <c r="AC377" s="214"/>
    </row>
    <row r="378">
      <c r="A378" s="222"/>
      <c r="D378" s="271" t="s">
        <v>162</v>
      </c>
      <c r="E378" s="271">
        <v>2.0</v>
      </c>
      <c r="F378" s="272"/>
      <c r="G378" s="272"/>
      <c r="H378" s="273" t="s">
        <v>164</v>
      </c>
      <c r="I378" s="393" t="s">
        <v>163</v>
      </c>
      <c r="J378" s="214"/>
      <c r="K378" s="214"/>
      <c r="L378" s="214"/>
      <c r="M378" s="214"/>
      <c r="N378" s="214"/>
      <c r="O378" s="214"/>
      <c r="P378" s="214"/>
      <c r="Q378" s="214"/>
      <c r="R378" s="214"/>
      <c r="S378" s="214"/>
      <c r="T378" s="214"/>
      <c r="U378" s="214"/>
      <c r="V378" s="214"/>
      <c r="W378" s="214"/>
      <c r="X378" s="214"/>
      <c r="Y378" s="214"/>
      <c r="Z378" s="214"/>
      <c r="AA378" s="214"/>
      <c r="AB378" s="214"/>
      <c r="AC378" s="214"/>
    </row>
    <row r="379">
      <c r="A379" s="236"/>
      <c r="B379" s="237"/>
      <c r="C379" s="237"/>
      <c r="D379" s="508" t="s">
        <v>179</v>
      </c>
      <c r="E379" s="508">
        <v>2.0</v>
      </c>
      <c r="F379" s="401"/>
      <c r="G379" s="346"/>
      <c r="H379" s="509" t="s">
        <v>180</v>
      </c>
      <c r="I379" s="348" t="s">
        <v>176</v>
      </c>
      <c r="J379" s="214"/>
      <c r="K379" s="214"/>
      <c r="L379" s="214"/>
      <c r="M379" s="214"/>
      <c r="N379" s="214"/>
      <c r="O379" s="214"/>
      <c r="P379" s="214"/>
      <c r="Q379" s="214"/>
      <c r="R379" s="214"/>
      <c r="S379" s="214"/>
      <c r="T379" s="214"/>
      <c r="U379" s="214"/>
      <c r="V379" s="214"/>
      <c r="W379" s="214"/>
      <c r="X379" s="214"/>
      <c r="Y379" s="214"/>
      <c r="Z379" s="214"/>
      <c r="AA379" s="214"/>
      <c r="AB379" s="214"/>
      <c r="AC379" s="214"/>
    </row>
    <row r="380">
      <c r="A380" s="215" t="s">
        <v>412</v>
      </c>
      <c r="B380" s="216" t="s">
        <v>413</v>
      </c>
      <c r="C380" s="394">
        <f>sum(E380:E385)</f>
        <v>10</v>
      </c>
      <c r="D380" s="356" t="s">
        <v>11</v>
      </c>
      <c r="E380" s="356">
        <v>2.0</v>
      </c>
      <c r="F380" s="357"/>
      <c r="G380" s="357"/>
      <c r="H380" s="447" t="s">
        <v>294</v>
      </c>
      <c r="I380" s="359" t="s">
        <v>7</v>
      </c>
      <c r="J380" s="214"/>
      <c r="K380" s="214"/>
      <c r="L380" s="214"/>
      <c r="M380" s="214"/>
      <c r="N380" s="214"/>
      <c r="O380" s="214"/>
      <c r="P380" s="214"/>
      <c r="Q380" s="214"/>
      <c r="R380" s="214"/>
      <c r="S380" s="214"/>
      <c r="T380" s="214"/>
      <c r="U380" s="214"/>
      <c r="V380" s="214"/>
      <c r="W380" s="214"/>
      <c r="X380" s="214"/>
      <c r="Y380" s="214"/>
      <c r="Z380" s="214"/>
      <c r="AA380" s="214"/>
      <c r="AB380" s="214"/>
      <c r="AC380" s="214"/>
    </row>
    <row r="381">
      <c r="A381" s="222"/>
      <c r="D381" s="227" t="s">
        <v>6</v>
      </c>
      <c r="E381" s="227">
        <v>2.0</v>
      </c>
      <c r="F381" s="327"/>
      <c r="G381" s="228"/>
      <c r="H381" s="229" t="s">
        <v>8</v>
      </c>
      <c r="I381" s="510" t="s">
        <v>7</v>
      </c>
      <c r="J381" s="214"/>
      <c r="K381" s="214"/>
      <c r="L381" s="214"/>
      <c r="M381" s="214"/>
      <c r="N381" s="214"/>
      <c r="O381" s="214"/>
      <c r="P381" s="214"/>
      <c r="Q381" s="214"/>
      <c r="R381" s="214"/>
      <c r="S381" s="214"/>
      <c r="T381" s="214"/>
      <c r="U381" s="214"/>
      <c r="V381" s="214"/>
      <c r="W381" s="214"/>
      <c r="X381" s="214"/>
      <c r="Y381" s="214"/>
      <c r="Z381" s="214"/>
      <c r="AA381" s="214"/>
      <c r="AB381" s="214"/>
      <c r="AC381" s="214"/>
    </row>
    <row r="382">
      <c r="A382" s="222"/>
      <c r="D382" s="369" t="s">
        <v>22</v>
      </c>
      <c r="E382" s="369">
        <v>2.0</v>
      </c>
      <c r="F382" s="371"/>
      <c r="G382" s="371"/>
      <c r="H382" s="372" t="s">
        <v>265</v>
      </c>
      <c r="I382" s="373" t="s">
        <v>23</v>
      </c>
      <c r="J382" s="214"/>
      <c r="K382" s="214"/>
      <c r="L382" s="214"/>
      <c r="M382" s="214"/>
      <c r="N382" s="214"/>
      <c r="O382" s="214"/>
      <c r="P382" s="214"/>
      <c r="Q382" s="214"/>
      <c r="R382" s="214"/>
      <c r="S382" s="214"/>
      <c r="T382" s="214"/>
      <c r="U382" s="214"/>
      <c r="V382" s="214"/>
      <c r="W382" s="214"/>
      <c r="X382" s="214"/>
      <c r="Y382" s="214"/>
      <c r="Z382" s="214"/>
      <c r="AA382" s="214"/>
      <c r="AB382" s="214"/>
      <c r="AC382" s="214"/>
    </row>
    <row r="383">
      <c r="A383" s="222"/>
      <c r="D383" s="434" t="s">
        <v>39</v>
      </c>
      <c r="E383" s="434">
        <v>1.0</v>
      </c>
      <c r="F383" s="383"/>
      <c r="G383" s="383"/>
      <c r="H383" s="435" t="s">
        <v>40</v>
      </c>
      <c r="I383" s="386" t="s">
        <v>30</v>
      </c>
      <c r="J383" s="214"/>
      <c r="K383" s="214"/>
      <c r="L383" s="214"/>
      <c r="M383" s="214"/>
      <c r="N383" s="214"/>
      <c r="O383" s="214"/>
      <c r="P383" s="214"/>
      <c r="Q383" s="214"/>
      <c r="R383" s="214"/>
      <c r="S383" s="214"/>
      <c r="T383" s="214"/>
      <c r="U383" s="214"/>
      <c r="V383" s="214"/>
      <c r="W383" s="214"/>
      <c r="X383" s="214"/>
      <c r="Y383" s="214"/>
      <c r="Z383" s="214"/>
      <c r="AA383" s="214"/>
      <c r="AB383" s="214"/>
      <c r="AC383" s="214"/>
    </row>
    <row r="384">
      <c r="A384" s="222"/>
      <c r="D384" s="299" t="s">
        <v>159</v>
      </c>
      <c r="E384" s="299">
        <v>1.0</v>
      </c>
      <c r="F384" s="250"/>
      <c r="G384" s="250"/>
      <c r="H384" s="312" t="s">
        <v>160</v>
      </c>
      <c r="I384" s="253" t="s">
        <v>144</v>
      </c>
      <c r="J384" s="214"/>
      <c r="K384" s="214"/>
      <c r="L384" s="214"/>
      <c r="M384" s="214"/>
      <c r="N384" s="214"/>
      <c r="O384" s="214"/>
      <c r="P384" s="214"/>
      <c r="Q384" s="214"/>
      <c r="R384" s="214"/>
      <c r="S384" s="214"/>
      <c r="T384" s="214"/>
      <c r="U384" s="214"/>
      <c r="V384" s="214"/>
      <c r="W384" s="214"/>
      <c r="X384" s="214"/>
      <c r="Y384" s="214"/>
      <c r="Z384" s="214"/>
      <c r="AA384" s="214"/>
      <c r="AB384" s="214"/>
      <c r="AC384" s="214"/>
    </row>
    <row r="385">
      <c r="A385" s="236"/>
      <c r="B385" s="237"/>
      <c r="C385" s="237"/>
      <c r="D385" s="264" t="s">
        <v>162</v>
      </c>
      <c r="E385" s="264">
        <v>2.0</v>
      </c>
      <c r="F385" s="479"/>
      <c r="G385" s="479"/>
      <c r="H385" s="266" t="s">
        <v>164</v>
      </c>
      <c r="I385" s="267" t="s">
        <v>163</v>
      </c>
      <c r="J385" s="214"/>
      <c r="K385" s="214"/>
      <c r="L385" s="214"/>
      <c r="M385" s="214"/>
      <c r="N385" s="214"/>
      <c r="O385" s="214"/>
      <c r="P385" s="214"/>
      <c r="Q385" s="214"/>
      <c r="R385" s="214"/>
      <c r="S385" s="214"/>
      <c r="T385" s="214"/>
      <c r="U385" s="214"/>
      <c r="V385" s="214"/>
      <c r="W385" s="214"/>
      <c r="X385" s="214"/>
      <c r="Y385" s="214"/>
      <c r="Z385" s="214"/>
      <c r="AA385" s="214"/>
      <c r="AB385" s="214"/>
      <c r="AC385" s="214"/>
    </row>
    <row r="386">
      <c r="A386" s="242" t="s">
        <v>414</v>
      </c>
      <c r="B386" s="243" t="s">
        <v>415</v>
      </c>
      <c r="C386" s="394">
        <f>sum(E386:E392)</f>
        <v>10</v>
      </c>
      <c r="D386" s="356" t="s">
        <v>254</v>
      </c>
      <c r="E386" s="356">
        <v>2.0</v>
      </c>
      <c r="F386" s="357"/>
      <c r="G386" s="357"/>
      <c r="H386" s="447" t="s">
        <v>255</v>
      </c>
      <c r="I386" s="359" t="s">
        <v>7</v>
      </c>
      <c r="J386" s="214"/>
      <c r="K386" s="214"/>
      <c r="L386" s="214"/>
      <c r="M386" s="214"/>
      <c r="N386" s="214"/>
      <c r="O386" s="214"/>
      <c r="P386" s="214"/>
      <c r="Q386" s="214"/>
      <c r="R386" s="214"/>
      <c r="S386" s="214"/>
      <c r="T386" s="214"/>
      <c r="U386" s="214"/>
      <c r="V386" s="214"/>
      <c r="W386" s="214"/>
      <c r="X386" s="214"/>
      <c r="Y386" s="214"/>
      <c r="Z386" s="214"/>
      <c r="AA386" s="214"/>
      <c r="AB386" s="214"/>
      <c r="AC386" s="214"/>
    </row>
    <row r="387">
      <c r="A387" s="222"/>
      <c r="D387" s="333" t="s">
        <v>101</v>
      </c>
      <c r="E387" s="333">
        <v>2.0</v>
      </c>
      <c r="F387" s="276"/>
      <c r="G387" s="276"/>
      <c r="H387" s="334" t="s">
        <v>102</v>
      </c>
      <c r="I387" s="278" t="s">
        <v>98</v>
      </c>
      <c r="J387" s="214"/>
      <c r="K387" s="214"/>
      <c r="L387" s="214"/>
      <c r="M387" s="214"/>
      <c r="N387" s="214"/>
      <c r="O387" s="214"/>
      <c r="P387" s="214"/>
      <c r="Q387" s="214"/>
      <c r="R387" s="214"/>
      <c r="S387" s="214"/>
      <c r="T387" s="214"/>
      <c r="U387" s="214"/>
      <c r="V387" s="214"/>
      <c r="W387" s="214"/>
      <c r="X387" s="214"/>
      <c r="Y387" s="214"/>
      <c r="Z387" s="214"/>
      <c r="AA387" s="214"/>
      <c r="AB387" s="214"/>
      <c r="AC387" s="214"/>
    </row>
    <row r="388">
      <c r="A388" s="222"/>
      <c r="D388" s="434" t="s">
        <v>39</v>
      </c>
      <c r="E388" s="434">
        <v>1.0</v>
      </c>
      <c r="F388" s="383"/>
      <c r="G388" s="383"/>
      <c r="H388" s="435" t="s">
        <v>40</v>
      </c>
      <c r="I388" s="429" t="s">
        <v>30</v>
      </c>
      <c r="J388" s="214"/>
      <c r="K388" s="214"/>
      <c r="L388" s="214"/>
      <c r="M388" s="214"/>
      <c r="N388" s="214"/>
      <c r="O388" s="214"/>
      <c r="P388" s="214"/>
      <c r="Q388" s="214"/>
      <c r="R388" s="214"/>
      <c r="S388" s="214"/>
      <c r="T388" s="214"/>
      <c r="U388" s="214"/>
      <c r="V388" s="214"/>
      <c r="W388" s="214"/>
      <c r="X388" s="214"/>
      <c r="Y388" s="214"/>
      <c r="Z388" s="214"/>
      <c r="AA388" s="214"/>
      <c r="AB388" s="214"/>
      <c r="AC388" s="214"/>
    </row>
    <row r="389">
      <c r="A389" s="222"/>
      <c r="D389" s="286" t="s">
        <v>229</v>
      </c>
      <c r="E389" s="286">
        <v>2.0</v>
      </c>
      <c r="F389" s="261"/>
      <c r="G389" s="261"/>
      <c r="H389" s="262" t="s">
        <v>69</v>
      </c>
      <c r="I389" s="263" t="s">
        <v>65</v>
      </c>
      <c r="J389" s="214"/>
      <c r="K389" s="214"/>
      <c r="L389" s="214"/>
      <c r="M389" s="214"/>
      <c r="N389" s="214"/>
      <c r="O389" s="214"/>
      <c r="P389" s="214"/>
      <c r="Q389" s="214"/>
      <c r="R389" s="214"/>
      <c r="S389" s="214"/>
      <c r="T389" s="214"/>
      <c r="U389" s="214"/>
      <c r="V389" s="214"/>
      <c r="W389" s="214"/>
      <c r="X389" s="214"/>
      <c r="Y389" s="214"/>
      <c r="Z389" s="214"/>
      <c r="AA389" s="214"/>
      <c r="AB389" s="214"/>
      <c r="AC389" s="214"/>
    </row>
    <row r="390">
      <c r="A390" s="222"/>
      <c r="D390" s="286" t="s">
        <v>94</v>
      </c>
      <c r="E390" s="286">
        <v>1.0</v>
      </c>
      <c r="F390" s="318"/>
      <c r="G390" s="261"/>
      <c r="H390" s="414" t="s">
        <v>95</v>
      </c>
      <c r="I390" s="263" t="s">
        <v>65</v>
      </c>
      <c r="J390" s="214"/>
      <c r="K390" s="214"/>
      <c r="L390" s="214"/>
      <c r="M390" s="214"/>
      <c r="N390" s="214"/>
      <c r="O390" s="214"/>
      <c r="P390" s="214"/>
      <c r="Q390" s="214"/>
      <c r="R390" s="214"/>
      <c r="S390" s="214"/>
      <c r="T390" s="214"/>
      <c r="U390" s="214"/>
      <c r="V390" s="214"/>
      <c r="W390" s="214"/>
      <c r="X390" s="214"/>
      <c r="Y390" s="214"/>
      <c r="Z390" s="214"/>
      <c r="AA390" s="214"/>
      <c r="AB390" s="214"/>
      <c r="AC390" s="214"/>
    </row>
    <row r="391">
      <c r="A391" s="222"/>
      <c r="D391" s="232" t="s">
        <v>111</v>
      </c>
      <c r="E391" s="232">
        <v>1.0</v>
      </c>
      <c r="F391" s="254"/>
      <c r="G391" s="254"/>
      <c r="H391" s="234" t="s">
        <v>112</v>
      </c>
      <c r="I391" s="255" t="s">
        <v>105</v>
      </c>
      <c r="J391" s="214"/>
      <c r="K391" s="214"/>
      <c r="L391" s="214"/>
      <c r="M391" s="214"/>
      <c r="N391" s="214"/>
      <c r="O391" s="214"/>
      <c r="P391" s="214"/>
      <c r="Q391" s="214"/>
      <c r="R391" s="214"/>
      <c r="S391" s="214"/>
      <c r="T391" s="214"/>
      <c r="U391" s="214"/>
      <c r="V391" s="214"/>
      <c r="W391" s="214"/>
      <c r="X391" s="214"/>
      <c r="Y391" s="214"/>
      <c r="Z391" s="214"/>
      <c r="AA391" s="214"/>
      <c r="AB391" s="214"/>
      <c r="AC391" s="214"/>
    </row>
    <row r="392">
      <c r="A392" s="236"/>
      <c r="B392" s="237"/>
      <c r="C392" s="237"/>
      <c r="D392" s="264" t="s">
        <v>172</v>
      </c>
      <c r="E392" s="264">
        <v>1.0</v>
      </c>
      <c r="F392" s="479"/>
      <c r="G392" s="479"/>
      <c r="H392" s="266" t="s">
        <v>389</v>
      </c>
      <c r="I392" s="267" t="s">
        <v>163</v>
      </c>
      <c r="J392" s="214"/>
      <c r="K392" s="214"/>
      <c r="L392" s="214"/>
      <c r="M392" s="214"/>
      <c r="N392" s="214"/>
      <c r="O392" s="214"/>
      <c r="P392" s="214"/>
      <c r="Q392" s="214"/>
      <c r="R392" s="214"/>
      <c r="S392" s="214"/>
      <c r="T392" s="214"/>
      <c r="U392" s="214"/>
      <c r="V392" s="214"/>
      <c r="W392" s="214"/>
      <c r="X392" s="214"/>
      <c r="Y392" s="214"/>
      <c r="Z392" s="214"/>
      <c r="AA392" s="214"/>
      <c r="AB392" s="214"/>
      <c r="AC392" s="214"/>
    </row>
    <row r="393">
      <c r="A393" s="215" t="s">
        <v>416</v>
      </c>
      <c r="B393" s="243" t="s">
        <v>417</v>
      </c>
      <c r="C393" s="394">
        <f>sum(E393:E399)</f>
        <v>10</v>
      </c>
      <c r="D393" s="245" t="s">
        <v>55</v>
      </c>
      <c r="E393" s="245">
        <v>1.0</v>
      </c>
      <c r="F393" s="412"/>
      <c r="G393" s="412"/>
      <c r="H393" s="247" t="s">
        <v>56</v>
      </c>
      <c r="I393" s="417" t="s">
        <v>43</v>
      </c>
      <c r="J393" s="214"/>
      <c r="K393" s="214"/>
      <c r="L393" s="214"/>
      <c r="M393" s="214"/>
      <c r="N393" s="214"/>
      <c r="O393" s="214"/>
      <c r="P393" s="214"/>
      <c r="Q393" s="214"/>
      <c r="R393" s="214"/>
      <c r="S393" s="214"/>
      <c r="T393" s="214"/>
      <c r="U393" s="214"/>
      <c r="V393" s="214"/>
      <c r="W393" s="214"/>
      <c r="X393" s="214"/>
      <c r="Y393" s="214"/>
      <c r="Z393" s="214"/>
      <c r="AA393" s="214"/>
      <c r="AB393" s="214"/>
      <c r="AC393" s="214"/>
    </row>
    <row r="394">
      <c r="A394" s="222"/>
      <c r="D394" s="434" t="s">
        <v>306</v>
      </c>
      <c r="E394" s="434">
        <v>3.0</v>
      </c>
      <c r="F394" s="383"/>
      <c r="G394" s="384"/>
      <c r="H394" s="435" t="s">
        <v>31</v>
      </c>
      <c r="I394" s="429" t="s">
        <v>30</v>
      </c>
      <c r="J394" s="214"/>
      <c r="K394" s="214"/>
      <c r="L394" s="214"/>
      <c r="M394" s="214"/>
      <c r="N394" s="214"/>
      <c r="O394" s="214"/>
      <c r="P394" s="214"/>
      <c r="Q394" s="214"/>
      <c r="R394" s="214"/>
      <c r="S394" s="214"/>
      <c r="T394" s="214"/>
      <c r="U394" s="214"/>
      <c r="V394" s="214"/>
      <c r="W394" s="214"/>
      <c r="X394" s="214"/>
      <c r="Y394" s="214"/>
      <c r="Z394" s="214"/>
      <c r="AA394" s="214"/>
      <c r="AB394" s="214"/>
      <c r="AC394" s="214"/>
    </row>
    <row r="395">
      <c r="A395" s="222"/>
      <c r="D395" s="260" t="s">
        <v>229</v>
      </c>
      <c r="E395" s="260">
        <v>2.0</v>
      </c>
      <c r="F395" s="318"/>
      <c r="G395" s="261"/>
      <c r="H395" s="262" t="s">
        <v>69</v>
      </c>
      <c r="I395" s="319" t="s">
        <v>65</v>
      </c>
      <c r="J395" s="214"/>
      <c r="K395" s="214"/>
      <c r="L395" s="214"/>
      <c r="M395" s="214"/>
      <c r="N395" s="214"/>
      <c r="O395" s="214"/>
      <c r="P395" s="214"/>
      <c r="Q395" s="214"/>
      <c r="R395" s="214"/>
      <c r="S395" s="214"/>
      <c r="T395" s="214"/>
      <c r="U395" s="214"/>
      <c r="V395" s="214"/>
      <c r="W395" s="214"/>
      <c r="X395" s="214"/>
      <c r="Y395" s="214"/>
      <c r="Z395" s="214"/>
      <c r="AA395" s="214"/>
      <c r="AB395" s="214"/>
      <c r="AC395" s="214"/>
    </row>
    <row r="396">
      <c r="A396" s="222"/>
      <c r="D396" s="232" t="s">
        <v>120</v>
      </c>
      <c r="E396" s="232">
        <v>1.0</v>
      </c>
      <c r="F396" s="233"/>
      <c r="G396" s="233"/>
      <c r="H396" s="234" t="s">
        <v>289</v>
      </c>
      <c r="I396" s="298" t="s">
        <v>105</v>
      </c>
      <c r="J396" s="214"/>
      <c r="K396" s="214"/>
      <c r="L396" s="214"/>
      <c r="M396" s="214"/>
      <c r="N396" s="214"/>
      <c r="O396" s="214"/>
      <c r="P396" s="214"/>
      <c r="Q396" s="214"/>
      <c r="R396" s="214"/>
      <c r="S396" s="214"/>
      <c r="T396" s="214"/>
      <c r="U396" s="214"/>
      <c r="V396" s="214"/>
      <c r="W396" s="214"/>
      <c r="X396" s="214"/>
      <c r="Y396" s="214"/>
      <c r="Z396" s="214"/>
      <c r="AA396" s="214"/>
      <c r="AB396" s="214"/>
      <c r="AC396" s="214"/>
    </row>
    <row r="397">
      <c r="A397" s="222"/>
      <c r="D397" s="232" t="s">
        <v>137</v>
      </c>
      <c r="E397" s="232">
        <v>1.0</v>
      </c>
      <c r="F397" s="254"/>
      <c r="G397" s="233"/>
      <c r="H397" s="234" t="s">
        <v>138</v>
      </c>
      <c r="I397" s="235" t="s">
        <v>105</v>
      </c>
      <c r="J397" s="214"/>
      <c r="K397" s="214"/>
      <c r="L397" s="214"/>
      <c r="M397" s="214"/>
      <c r="N397" s="214"/>
      <c r="O397" s="214"/>
      <c r="P397" s="214"/>
      <c r="Q397" s="214"/>
      <c r="R397" s="214"/>
      <c r="S397" s="214"/>
      <c r="T397" s="214"/>
      <c r="U397" s="214"/>
      <c r="V397" s="214"/>
      <c r="W397" s="214"/>
      <c r="X397" s="214"/>
      <c r="Y397" s="214"/>
      <c r="Z397" s="214"/>
      <c r="AA397" s="214"/>
      <c r="AB397" s="214"/>
      <c r="AC397" s="214"/>
    </row>
    <row r="398">
      <c r="A398" s="222"/>
      <c r="D398" s="232" t="s">
        <v>117</v>
      </c>
      <c r="E398" s="232">
        <v>1.0</v>
      </c>
      <c r="F398" s="233"/>
      <c r="G398" s="233"/>
      <c r="H398" s="234" t="s">
        <v>238</v>
      </c>
      <c r="I398" s="235" t="s">
        <v>105</v>
      </c>
      <c r="J398" s="214"/>
      <c r="K398" s="214"/>
      <c r="L398" s="214"/>
      <c r="M398" s="214"/>
      <c r="N398" s="214"/>
      <c r="O398" s="214"/>
      <c r="P398" s="214"/>
      <c r="Q398" s="214"/>
      <c r="R398" s="214"/>
      <c r="S398" s="214"/>
      <c r="T398" s="214"/>
      <c r="U398" s="214"/>
      <c r="V398" s="214"/>
      <c r="W398" s="214"/>
      <c r="X398" s="214"/>
      <c r="Y398" s="214"/>
      <c r="Z398" s="214"/>
      <c r="AA398" s="214"/>
      <c r="AB398" s="214"/>
      <c r="AC398" s="214"/>
    </row>
    <row r="399">
      <c r="A399" s="236"/>
      <c r="B399" s="237"/>
      <c r="C399" s="237"/>
      <c r="D399" s="264" t="s">
        <v>169</v>
      </c>
      <c r="E399" s="264">
        <v>1.0</v>
      </c>
      <c r="F399" s="265"/>
      <c r="G399" s="265"/>
      <c r="H399" s="266" t="s">
        <v>170</v>
      </c>
      <c r="I399" s="511" t="s">
        <v>163</v>
      </c>
      <c r="J399" s="214"/>
      <c r="K399" s="214"/>
      <c r="L399" s="214"/>
      <c r="M399" s="214"/>
      <c r="N399" s="214"/>
      <c r="O399" s="214"/>
      <c r="P399" s="214"/>
      <c r="Q399" s="214"/>
      <c r="R399" s="214"/>
      <c r="S399" s="214"/>
      <c r="T399" s="214"/>
      <c r="U399" s="214"/>
      <c r="V399" s="214"/>
      <c r="W399" s="214"/>
      <c r="X399" s="214"/>
      <c r="Y399" s="214"/>
      <c r="Z399" s="214"/>
      <c r="AA399" s="214"/>
      <c r="AB399" s="214"/>
      <c r="AC399" s="214"/>
    </row>
    <row r="400">
      <c r="A400" s="242" t="s">
        <v>418</v>
      </c>
      <c r="B400" s="243" t="s">
        <v>419</v>
      </c>
      <c r="C400" s="394">
        <f>sum(E400:E405)</f>
        <v>10</v>
      </c>
      <c r="D400" s="512" t="s">
        <v>39</v>
      </c>
      <c r="E400" s="512">
        <v>1.0</v>
      </c>
      <c r="F400" s="488"/>
      <c r="G400" s="489"/>
      <c r="H400" s="513" t="s">
        <v>40</v>
      </c>
      <c r="I400" s="514" t="s">
        <v>30</v>
      </c>
      <c r="J400" s="214"/>
      <c r="K400" s="214"/>
      <c r="L400" s="214"/>
      <c r="M400" s="214"/>
      <c r="N400" s="214"/>
      <c r="O400" s="214"/>
      <c r="P400" s="214"/>
      <c r="Q400" s="214"/>
      <c r="R400" s="214"/>
      <c r="S400" s="214"/>
      <c r="T400" s="214"/>
      <c r="U400" s="214"/>
      <c r="V400" s="214"/>
      <c r="W400" s="214"/>
      <c r="X400" s="214"/>
      <c r="Y400" s="214"/>
      <c r="Z400" s="214"/>
      <c r="AA400" s="214"/>
      <c r="AB400" s="214"/>
      <c r="AC400" s="214"/>
    </row>
    <row r="401">
      <c r="A401" s="222"/>
      <c r="D401" s="369" t="s">
        <v>22</v>
      </c>
      <c r="E401" s="369">
        <v>2.0</v>
      </c>
      <c r="F401" s="371"/>
      <c r="G401" s="371"/>
      <c r="H401" s="372" t="s">
        <v>265</v>
      </c>
      <c r="I401" s="373" t="s">
        <v>23</v>
      </c>
      <c r="J401" s="214"/>
      <c r="K401" s="214"/>
      <c r="L401" s="214"/>
      <c r="M401" s="214"/>
      <c r="N401" s="214"/>
      <c r="O401" s="214"/>
      <c r="P401" s="214"/>
      <c r="Q401" s="214"/>
      <c r="R401" s="214"/>
      <c r="S401" s="214"/>
      <c r="T401" s="214"/>
      <c r="U401" s="214"/>
      <c r="V401" s="214"/>
      <c r="W401" s="214"/>
      <c r="X401" s="214"/>
      <c r="Y401" s="214"/>
      <c r="Z401" s="214"/>
      <c r="AA401" s="214"/>
      <c r="AB401" s="214"/>
      <c r="AC401" s="214"/>
    </row>
    <row r="402">
      <c r="A402" s="222"/>
      <c r="D402" s="260" t="s">
        <v>82</v>
      </c>
      <c r="E402" s="260">
        <v>1.0</v>
      </c>
      <c r="F402" s="261"/>
      <c r="G402" s="261"/>
      <c r="H402" s="463" t="s">
        <v>83</v>
      </c>
      <c r="I402" s="263" t="s">
        <v>65</v>
      </c>
      <c r="J402" s="214"/>
      <c r="K402" s="214"/>
      <c r="L402" s="214"/>
      <c r="M402" s="214"/>
      <c r="N402" s="214"/>
      <c r="O402" s="214"/>
      <c r="P402" s="214"/>
      <c r="Q402" s="214"/>
      <c r="R402" s="214"/>
      <c r="S402" s="214"/>
      <c r="T402" s="214"/>
      <c r="U402" s="214"/>
      <c r="V402" s="214"/>
      <c r="W402" s="214"/>
      <c r="X402" s="214"/>
      <c r="Y402" s="214"/>
      <c r="Z402" s="214"/>
      <c r="AA402" s="214"/>
      <c r="AB402" s="214"/>
      <c r="AC402" s="214"/>
    </row>
    <row r="403">
      <c r="A403" s="222"/>
      <c r="D403" s="333" t="s">
        <v>101</v>
      </c>
      <c r="E403" s="333">
        <v>2.0</v>
      </c>
      <c r="F403" s="296"/>
      <c r="G403" s="296"/>
      <c r="H403" s="334" t="s">
        <v>102</v>
      </c>
      <c r="I403" s="297" t="s">
        <v>98</v>
      </c>
      <c r="J403" s="214"/>
      <c r="K403" s="214"/>
      <c r="L403" s="214"/>
      <c r="M403" s="214"/>
      <c r="N403" s="214"/>
      <c r="O403" s="214"/>
      <c r="P403" s="214"/>
      <c r="Q403" s="214"/>
      <c r="R403" s="214"/>
      <c r="S403" s="214"/>
      <c r="T403" s="214"/>
      <c r="U403" s="214"/>
      <c r="V403" s="214"/>
      <c r="W403" s="214"/>
      <c r="X403" s="214"/>
      <c r="Y403" s="214"/>
      <c r="Z403" s="214"/>
      <c r="AA403" s="214"/>
      <c r="AB403" s="214"/>
      <c r="AC403" s="214"/>
    </row>
    <row r="404">
      <c r="A404" s="222"/>
      <c r="D404" s="299" t="s">
        <v>156</v>
      </c>
      <c r="E404" s="299">
        <v>2.0</v>
      </c>
      <c r="F404" s="251"/>
      <c r="G404" s="251"/>
      <c r="H404" s="312" t="s">
        <v>157</v>
      </c>
      <c r="I404" s="300" t="s">
        <v>144</v>
      </c>
      <c r="J404" s="214"/>
      <c r="K404" s="214"/>
      <c r="L404" s="214"/>
      <c r="M404" s="214"/>
      <c r="N404" s="214"/>
      <c r="O404" s="214"/>
      <c r="P404" s="214"/>
      <c r="Q404" s="214"/>
      <c r="R404" s="214"/>
      <c r="S404" s="214"/>
      <c r="T404" s="214"/>
      <c r="U404" s="214"/>
      <c r="V404" s="214"/>
      <c r="W404" s="214"/>
      <c r="X404" s="214"/>
      <c r="Y404" s="214"/>
      <c r="Z404" s="214"/>
      <c r="AA404" s="214"/>
      <c r="AB404" s="214"/>
      <c r="AC404" s="214"/>
    </row>
    <row r="405">
      <c r="A405" s="236"/>
      <c r="B405" s="237"/>
      <c r="C405" s="237"/>
      <c r="D405" s="264" t="s">
        <v>166</v>
      </c>
      <c r="E405" s="264">
        <v>2.0</v>
      </c>
      <c r="F405" s="265"/>
      <c r="G405" s="265"/>
      <c r="H405" s="266" t="s">
        <v>167</v>
      </c>
      <c r="I405" s="267" t="s">
        <v>163</v>
      </c>
      <c r="J405" s="214"/>
      <c r="K405" s="214"/>
      <c r="L405" s="214"/>
      <c r="M405" s="214"/>
      <c r="N405" s="214"/>
      <c r="O405" s="214"/>
      <c r="P405" s="214"/>
      <c r="Q405" s="214"/>
      <c r="R405" s="214"/>
      <c r="S405" s="214"/>
      <c r="T405" s="214"/>
      <c r="U405" s="214"/>
      <c r="V405" s="214"/>
      <c r="W405" s="214"/>
      <c r="X405" s="214"/>
      <c r="Y405" s="214"/>
      <c r="Z405" s="214"/>
      <c r="AA405" s="214"/>
      <c r="AB405" s="214"/>
      <c r="AC405" s="214"/>
    </row>
    <row r="406">
      <c r="A406" s="409" t="s">
        <v>420</v>
      </c>
      <c r="B406" s="409" t="s">
        <v>421</v>
      </c>
      <c r="C406" s="394">
        <f>sum(E406:E411)</f>
        <v>10</v>
      </c>
      <c r="D406" s="227" t="s">
        <v>254</v>
      </c>
      <c r="E406" s="227">
        <v>2.0</v>
      </c>
      <c r="F406" s="228"/>
      <c r="G406" s="228"/>
      <c r="H406" s="229" t="s">
        <v>255</v>
      </c>
      <c r="I406" s="392" t="s">
        <v>7</v>
      </c>
      <c r="J406" s="214"/>
      <c r="K406" s="214"/>
      <c r="L406" s="214"/>
      <c r="M406" s="214"/>
      <c r="N406" s="214"/>
      <c r="O406" s="214"/>
      <c r="P406" s="214"/>
      <c r="Q406" s="214"/>
      <c r="R406" s="214"/>
      <c r="S406" s="214"/>
      <c r="T406" s="214"/>
      <c r="U406" s="214"/>
      <c r="V406" s="214"/>
      <c r="W406" s="214"/>
      <c r="X406" s="214"/>
      <c r="Y406" s="214"/>
      <c r="Z406" s="214"/>
      <c r="AA406" s="214"/>
      <c r="AB406" s="214"/>
      <c r="AC406" s="214"/>
    </row>
    <row r="407">
      <c r="D407" s="256" t="s">
        <v>189</v>
      </c>
      <c r="E407" s="256">
        <v>1.0</v>
      </c>
      <c r="F407" s="257"/>
      <c r="G407" s="257"/>
      <c r="H407" s="258" t="s">
        <v>190</v>
      </c>
      <c r="I407" s="259" t="s">
        <v>186</v>
      </c>
      <c r="J407" s="214"/>
      <c r="K407" s="214"/>
      <c r="L407" s="214"/>
      <c r="M407" s="214"/>
      <c r="N407" s="214"/>
      <c r="O407" s="214"/>
      <c r="P407" s="214"/>
      <c r="Q407" s="214"/>
      <c r="R407" s="214"/>
      <c r="S407" s="214"/>
      <c r="T407" s="214"/>
      <c r="U407" s="214"/>
      <c r="V407" s="214"/>
      <c r="W407" s="214"/>
      <c r="X407" s="214"/>
      <c r="Y407" s="214"/>
      <c r="Z407" s="214"/>
      <c r="AA407" s="214"/>
      <c r="AB407" s="214"/>
      <c r="AC407" s="214"/>
    </row>
    <row r="408">
      <c r="D408" s="279" t="s">
        <v>55</v>
      </c>
      <c r="E408" s="279">
        <v>1.0</v>
      </c>
      <c r="F408" s="280"/>
      <c r="G408" s="280"/>
      <c r="H408" s="281" t="s">
        <v>56</v>
      </c>
      <c r="I408" s="282" t="s">
        <v>43</v>
      </c>
      <c r="J408" s="214"/>
      <c r="K408" s="214"/>
      <c r="L408" s="214"/>
      <c r="M408" s="214"/>
      <c r="N408" s="214"/>
      <c r="O408" s="214"/>
      <c r="P408" s="214"/>
      <c r="Q408" s="214"/>
      <c r="R408" s="214"/>
      <c r="S408" s="214"/>
      <c r="T408" s="214"/>
      <c r="U408" s="214"/>
      <c r="V408" s="214"/>
      <c r="W408" s="214"/>
      <c r="X408" s="214"/>
      <c r="Y408" s="214"/>
      <c r="Z408" s="214"/>
      <c r="AA408" s="214"/>
      <c r="AB408" s="214"/>
      <c r="AC408" s="214"/>
    </row>
    <row r="409">
      <c r="D409" s="260" t="s">
        <v>64</v>
      </c>
      <c r="E409" s="260">
        <v>3.0</v>
      </c>
      <c r="F409" s="318"/>
      <c r="G409" s="261"/>
      <c r="H409" s="262" t="s">
        <v>66</v>
      </c>
      <c r="I409" s="319" t="s">
        <v>65</v>
      </c>
      <c r="J409" s="214"/>
      <c r="K409" s="214"/>
      <c r="L409" s="214"/>
      <c r="M409" s="214"/>
      <c r="N409" s="214"/>
      <c r="O409" s="214"/>
      <c r="P409" s="214"/>
      <c r="Q409" s="214"/>
      <c r="R409" s="214"/>
      <c r="S409" s="214"/>
      <c r="T409" s="214"/>
      <c r="U409" s="214"/>
      <c r="V409" s="214"/>
      <c r="W409" s="214"/>
      <c r="X409" s="214"/>
      <c r="Y409" s="214"/>
      <c r="Z409" s="214"/>
      <c r="AA409" s="214"/>
      <c r="AB409" s="214"/>
      <c r="AC409" s="214"/>
    </row>
    <row r="410">
      <c r="D410" s="271" t="s">
        <v>162</v>
      </c>
      <c r="E410" s="271">
        <v>2.0</v>
      </c>
      <c r="F410" s="272"/>
      <c r="G410" s="272"/>
      <c r="H410" s="273" t="s">
        <v>164</v>
      </c>
      <c r="I410" s="274" t="s">
        <v>163</v>
      </c>
      <c r="J410" s="214"/>
      <c r="K410" s="214"/>
      <c r="L410" s="214"/>
      <c r="M410" s="214"/>
      <c r="N410" s="214"/>
      <c r="O410" s="214"/>
      <c r="P410" s="214"/>
      <c r="Q410" s="214"/>
      <c r="R410" s="214"/>
      <c r="S410" s="214"/>
      <c r="T410" s="214"/>
      <c r="U410" s="214"/>
      <c r="V410" s="214"/>
      <c r="W410" s="214"/>
      <c r="X410" s="214"/>
      <c r="Y410" s="214"/>
      <c r="Z410" s="214"/>
      <c r="AA410" s="214"/>
      <c r="AB410" s="214"/>
      <c r="AC410" s="214"/>
    </row>
    <row r="411">
      <c r="D411" s="232" t="s">
        <v>134</v>
      </c>
      <c r="E411" s="232">
        <v>1.0</v>
      </c>
      <c r="F411" s="254"/>
      <c r="G411" s="254"/>
      <c r="H411" s="234" t="s">
        <v>135</v>
      </c>
      <c r="I411" s="298" t="s">
        <v>105</v>
      </c>
      <c r="J411" s="214"/>
      <c r="K411" s="214"/>
      <c r="L411" s="214"/>
      <c r="M411" s="214"/>
      <c r="N411" s="214"/>
      <c r="O411" s="214"/>
      <c r="P411" s="214"/>
      <c r="Q411" s="214"/>
      <c r="R411" s="214"/>
      <c r="S411" s="214"/>
      <c r="T411" s="214"/>
      <c r="U411" s="214"/>
      <c r="V411" s="214"/>
      <c r="W411" s="214"/>
      <c r="X411" s="214"/>
      <c r="Y411" s="214"/>
      <c r="Z411" s="214"/>
      <c r="AA411" s="214"/>
      <c r="AB411" s="214"/>
      <c r="AC411" s="214"/>
    </row>
    <row r="412">
      <c r="A412" s="242" t="s">
        <v>422</v>
      </c>
      <c r="B412" s="243" t="s">
        <v>423</v>
      </c>
      <c r="C412" s="394">
        <f>sum(E412:E417)</f>
        <v>10</v>
      </c>
      <c r="D412" s="515" t="s">
        <v>229</v>
      </c>
      <c r="E412" s="515">
        <v>2.0</v>
      </c>
      <c r="F412" s="293"/>
      <c r="G412" s="324"/>
      <c r="H412" s="294" t="s">
        <v>69</v>
      </c>
      <c r="I412" s="457" t="s">
        <v>65</v>
      </c>
      <c r="J412" s="214"/>
      <c r="K412" s="214"/>
      <c r="L412" s="214"/>
      <c r="M412" s="214"/>
      <c r="N412" s="214"/>
      <c r="O412" s="214"/>
      <c r="P412" s="214"/>
      <c r="Q412" s="214"/>
      <c r="R412" s="214"/>
      <c r="S412" s="214"/>
      <c r="T412" s="214"/>
      <c r="U412" s="214"/>
      <c r="V412" s="214"/>
      <c r="W412" s="214"/>
      <c r="X412" s="214"/>
      <c r="Y412" s="214"/>
      <c r="Z412" s="214"/>
      <c r="AA412" s="214"/>
      <c r="AB412" s="214"/>
      <c r="AC412" s="214"/>
    </row>
    <row r="413">
      <c r="A413" s="222"/>
      <c r="D413" s="279" t="s">
        <v>55</v>
      </c>
      <c r="E413" s="279">
        <v>1.0</v>
      </c>
      <c r="F413" s="316"/>
      <c r="G413" s="316"/>
      <c r="H413" s="281" t="s">
        <v>56</v>
      </c>
      <c r="I413" s="282" t="s">
        <v>43</v>
      </c>
      <c r="J413" s="214"/>
      <c r="K413" s="214"/>
      <c r="L413" s="214"/>
      <c r="M413" s="214"/>
      <c r="N413" s="214"/>
      <c r="O413" s="214"/>
      <c r="P413" s="214"/>
      <c r="Q413" s="214"/>
      <c r="R413" s="214"/>
      <c r="S413" s="214"/>
      <c r="T413" s="214"/>
      <c r="U413" s="214"/>
      <c r="V413" s="214"/>
      <c r="W413" s="214"/>
      <c r="X413" s="214"/>
      <c r="Y413" s="214"/>
      <c r="Z413" s="214"/>
      <c r="AA413" s="214"/>
      <c r="AB413" s="214"/>
      <c r="AC413" s="214"/>
    </row>
    <row r="414">
      <c r="A414" s="222"/>
      <c r="D414" s="333" t="s">
        <v>97</v>
      </c>
      <c r="E414" s="333">
        <v>2.0</v>
      </c>
      <c r="F414" s="296"/>
      <c r="G414" s="296"/>
      <c r="H414" s="334" t="s">
        <v>99</v>
      </c>
      <c r="I414" s="297" t="s">
        <v>98</v>
      </c>
      <c r="J414" s="214"/>
      <c r="K414" s="214"/>
      <c r="L414" s="214"/>
      <c r="M414" s="214"/>
      <c r="N414" s="214"/>
      <c r="O414" s="214"/>
      <c r="P414" s="214"/>
      <c r="Q414" s="214"/>
      <c r="R414" s="214"/>
      <c r="S414" s="214"/>
      <c r="T414" s="214"/>
      <c r="U414" s="214"/>
      <c r="V414" s="214"/>
      <c r="W414" s="214"/>
      <c r="X414" s="214"/>
      <c r="Y414" s="214"/>
      <c r="Z414" s="214"/>
      <c r="AA414" s="214"/>
      <c r="AB414" s="214"/>
      <c r="AC414" s="214"/>
    </row>
    <row r="415">
      <c r="A415" s="222"/>
      <c r="D415" s="369" t="s">
        <v>22</v>
      </c>
      <c r="E415" s="369">
        <v>2.0</v>
      </c>
      <c r="F415" s="370"/>
      <c r="G415" s="370"/>
      <c r="H415" s="372" t="s">
        <v>265</v>
      </c>
      <c r="I415" s="424" t="s">
        <v>23</v>
      </c>
      <c r="J415" s="214"/>
      <c r="K415" s="214"/>
      <c r="L415" s="214"/>
      <c r="M415" s="214"/>
      <c r="N415" s="214"/>
      <c r="O415" s="214"/>
      <c r="P415" s="214"/>
      <c r="Q415" s="214"/>
      <c r="R415" s="214"/>
      <c r="S415" s="214"/>
      <c r="T415" s="214"/>
      <c r="U415" s="214"/>
      <c r="V415" s="214"/>
      <c r="W415" s="214"/>
      <c r="X415" s="214"/>
      <c r="Y415" s="214"/>
      <c r="Z415" s="214"/>
      <c r="AA415" s="214"/>
      <c r="AB415" s="214"/>
      <c r="AC415" s="214"/>
    </row>
    <row r="416">
      <c r="A416" s="222"/>
      <c r="D416" s="402" t="s">
        <v>166</v>
      </c>
      <c r="E416" s="402">
        <v>2.0</v>
      </c>
      <c r="F416" s="272"/>
      <c r="G416" s="272"/>
      <c r="H416" s="403" t="s">
        <v>167</v>
      </c>
      <c r="I416" s="393" t="s">
        <v>163</v>
      </c>
      <c r="J416" s="214"/>
      <c r="K416" s="214"/>
      <c r="L416" s="214"/>
      <c r="M416" s="214"/>
      <c r="N416" s="214"/>
      <c r="O416" s="214"/>
      <c r="P416" s="214"/>
      <c r="Q416" s="214"/>
      <c r="R416" s="214"/>
      <c r="S416" s="214"/>
      <c r="T416" s="214"/>
      <c r="U416" s="214"/>
      <c r="V416" s="214"/>
      <c r="W416" s="214"/>
      <c r="X416" s="214"/>
      <c r="Y416" s="214"/>
      <c r="Z416" s="214"/>
      <c r="AA416" s="214"/>
      <c r="AB416" s="214"/>
      <c r="AC416" s="214"/>
    </row>
    <row r="417">
      <c r="A417" s="236"/>
      <c r="B417" s="237"/>
      <c r="C417" s="237"/>
      <c r="D417" s="287" t="s">
        <v>134</v>
      </c>
      <c r="E417" s="287">
        <v>1.0</v>
      </c>
      <c r="F417" s="288"/>
      <c r="G417" s="288"/>
      <c r="H417" s="289" t="s">
        <v>135</v>
      </c>
      <c r="I417" s="290" t="s">
        <v>105</v>
      </c>
      <c r="J417" s="214"/>
      <c r="K417" s="214"/>
      <c r="L417" s="214"/>
      <c r="M417" s="214"/>
      <c r="N417" s="214"/>
      <c r="O417" s="214"/>
      <c r="P417" s="214"/>
      <c r="Q417" s="214"/>
      <c r="R417" s="214"/>
      <c r="S417" s="214"/>
      <c r="T417" s="214"/>
      <c r="U417" s="214"/>
      <c r="V417" s="214"/>
      <c r="W417" s="214"/>
      <c r="X417" s="214"/>
      <c r="Y417" s="214"/>
      <c r="Z417" s="214"/>
      <c r="AA417" s="214"/>
      <c r="AB417" s="214"/>
      <c r="AC417" s="214"/>
    </row>
    <row r="418">
      <c r="A418" s="242" t="s">
        <v>424</v>
      </c>
      <c r="B418" s="243" t="s">
        <v>381</v>
      </c>
      <c r="C418" s="394">
        <f>sum(E418:E423)</f>
        <v>10</v>
      </c>
      <c r="D418" s="356" t="s">
        <v>254</v>
      </c>
      <c r="E418" s="356">
        <v>2.0</v>
      </c>
      <c r="F418" s="357"/>
      <c r="G418" s="357"/>
      <c r="H418" s="447" t="s">
        <v>255</v>
      </c>
      <c r="I418" s="359" t="s">
        <v>7</v>
      </c>
      <c r="J418" s="214"/>
      <c r="K418" s="214"/>
      <c r="L418" s="214"/>
      <c r="M418" s="214"/>
      <c r="N418" s="214"/>
      <c r="O418" s="214"/>
      <c r="P418" s="214"/>
      <c r="Q418" s="214"/>
      <c r="R418" s="214"/>
      <c r="S418" s="214"/>
      <c r="T418" s="214"/>
      <c r="U418" s="214"/>
      <c r="V418" s="214"/>
      <c r="W418" s="214"/>
      <c r="X418" s="214"/>
      <c r="Y418" s="214"/>
      <c r="Z418" s="214"/>
      <c r="AA418" s="214"/>
      <c r="AB418" s="214"/>
      <c r="AC418" s="214"/>
    </row>
    <row r="419">
      <c r="A419" s="222"/>
      <c r="D419" s="260" t="s">
        <v>229</v>
      </c>
      <c r="E419" s="260">
        <v>2.0</v>
      </c>
      <c r="F419" s="318"/>
      <c r="G419" s="261"/>
      <c r="H419" s="262" t="s">
        <v>69</v>
      </c>
      <c r="I419" s="319" t="s">
        <v>65</v>
      </c>
      <c r="J419" s="214"/>
      <c r="K419" s="214"/>
      <c r="L419" s="214"/>
      <c r="M419" s="214"/>
      <c r="N419" s="214"/>
      <c r="O419" s="214"/>
      <c r="P419" s="214"/>
      <c r="Q419" s="214"/>
      <c r="R419" s="214"/>
      <c r="S419" s="214"/>
      <c r="T419" s="214"/>
      <c r="U419" s="214"/>
      <c r="V419" s="214"/>
      <c r="W419" s="214"/>
      <c r="X419" s="214"/>
      <c r="Y419" s="214"/>
      <c r="Z419" s="214"/>
      <c r="AA419" s="214"/>
      <c r="AB419" s="214"/>
      <c r="AC419" s="214"/>
    </row>
    <row r="420">
      <c r="A420" s="222"/>
      <c r="D420" s="223" t="s">
        <v>182</v>
      </c>
      <c r="E420" s="223">
        <v>3.0</v>
      </c>
      <c r="F420" s="224"/>
      <c r="G420" s="224"/>
      <c r="H420" s="225" t="s">
        <v>183</v>
      </c>
      <c r="I420" s="344" t="s">
        <v>176</v>
      </c>
      <c r="J420" s="214"/>
      <c r="K420" s="214"/>
      <c r="L420" s="214"/>
      <c r="M420" s="214"/>
      <c r="N420" s="214"/>
      <c r="O420" s="214"/>
      <c r="P420" s="214"/>
      <c r="Q420" s="214"/>
      <c r="R420" s="214"/>
      <c r="S420" s="214"/>
      <c r="T420" s="214"/>
      <c r="U420" s="214"/>
      <c r="V420" s="214"/>
      <c r="W420" s="214"/>
      <c r="X420" s="214"/>
      <c r="Y420" s="214"/>
      <c r="Z420" s="214"/>
      <c r="AA420" s="214"/>
      <c r="AB420" s="214"/>
      <c r="AC420" s="214"/>
    </row>
    <row r="421">
      <c r="A421" s="222"/>
      <c r="D421" s="256" t="s">
        <v>189</v>
      </c>
      <c r="E421" s="256">
        <v>1.0</v>
      </c>
      <c r="F421" s="257"/>
      <c r="G421" s="257"/>
      <c r="H421" s="258" t="s">
        <v>190</v>
      </c>
      <c r="I421" s="259" t="s">
        <v>186</v>
      </c>
      <c r="J421" s="214"/>
      <c r="K421" s="214"/>
      <c r="L421" s="214"/>
      <c r="M421" s="214"/>
      <c r="N421" s="214"/>
      <c r="O421" s="214"/>
      <c r="P421" s="214"/>
      <c r="Q421" s="214"/>
      <c r="R421" s="214"/>
      <c r="S421" s="214"/>
      <c r="T421" s="214"/>
      <c r="U421" s="214"/>
      <c r="V421" s="214"/>
      <c r="W421" s="214"/>
      <c r="X421" s="214"/>
      <c r="Y421" s="214"/>
      <c r="Z421" s="214"/>
      <c r="AA421" s="214"/>
      <c r="AB421" s="214"/>
      <c r="AC421" s="214"/>
    </row>
    <row r="422">
      <c r="A422" s="222"/>
      <c r="D422" s="232" t="s">
        <v>134</v>
      </c>
      <c r="E422" s="232">
        <v>1.0</v>
      </c>
      <c r="F422" s="254"/>
      <c r="G422" s="233"/>
      <c r="H422" s="234" t="s">
        <v>135</v>
      </c>
      <c r="I422" s="235" t="s">
        <v>105</v>
      </c>
      <c r="J422" s="214"/>
      <c r="K422" s="214"/>
      <c r="L422" s="214"/>
      <c r="M422" s="214"/>
      <c r="N422" s="214"/>
      <c r="O422" s="214"/>
      <c r="P422" s="214"/>
      <c r="Q422" s="214"/>
      <c r="R422" s="214"/>
      <c r="S422" s="214"/>
      <c r="T422" s="214"/>
      <c r="U422" s="214"/>
      <c r="V422" s="214"/>
      <c r="W422" s="214"/>
      <c r="X422" s="214"/>
      <c r="Y422" s="214"/>
      <c r="Z422" s="214"/>
      <c r="AA422" s="214"/>
      <c r="AB422" s="214"/>
      <c r="AC422" s="214"/>
    </row>
    <row r="423">
      <c r="A423" s="236"/>
      <c r="B423" s="237"/>
      <c r="C423" s="237"/>
      <c r="D423" s="287" t="s">
        <v>126</v>
      </c>
      <c r="E423" s="287">
        <v>1.0</v>
      </c>
      <c r="F423" s="288"/>
      <c r="G423" s="288"/>
      <c r="H423" s="289" t="s">
        <v>127</v>
      </c>
      <c r="I423" s="290" t="s">
        <v>105</v>
      </c>
      <c r="J423" s="214"/>
      <c r="K423" s="214"/>
      <c r="L423" s="214"/>
      <c r="M423" s="214"/>
      <c r="N423" s="214"/>
      <c r="O423" s="214"/>
      <c r="P423" s="214"/>
      <c r="Q423" s="214"/>
      <c r="R423" s="214"/>
      <c r="S423" s="214"/>
      <c r="T423" s="214"/>
      <c r="U423" s="214"/>
      <c r="V423" s="214"/>
      <c r="W423" s="214"/>
      <c r="X423" s="214"/>
      <c r="Y423" s="214"/>
      <c r="Z423" s="214"/>
      <c r="AA423" s="214"/>
      <c r="AB423" s="214"/>
      <c r="AC423" s="214"/>
    </row>
    <row r="424">
      <c r="A424" s="242" t="s">
        <v>414</v>
      </c>
      <c r="B424" s="243" t="s">
        <v>415</v>
      </c>
      <c r="C424" s="394">
        <f>sum(E424:E430)</f>
        <v>10</v>
      </c>
      <c r="D424" s="356" t="s">
        <v>254</v>
      </c>
      <c r="E424" s="356">
        <v>2.0</v>
      </c>
      <c r="F424" s="357"/>
      <c r="G424" s="357"/>
      <c r="H424" s="447" t="s">
        <v>255</v>
      </c>
      <c r="I424" s="359" t="s">
        <v>7</v>
      </c>
      <c r="J424" s="214"/>
      <c r="K424" s="214"/>
      <c r="L424" s="214"/>
      <c r="M424" s="214"/>
      <c r="N424" s="214"/>
      <c r="O424" s="214"/>
      <c r="P424" s="214"/>
      <c r="Q424" s="214"/>
      <c r="R424" s="214"/>
      <c r="S424" s="214"/>
      <c r="T424" s="214"/>
      <c r="U424" s="214"/>
      <c r="V424" s="214"/>
      <c r="W424" s="214"/>
      <c r="X424" s="214"/>
      <c r="Y424" s="214"/>
      <c r="Z424" s="214"/>
      <c r="AA424" s="214"/>
      <c r="AB424" s="214"/>
      <c r="AC424" s="214"/>
    </row>
    <row r="425">
      <c r="A425" s="222"/>
      <c r="D425" s="333" t="s">
        <v>101</v>
      </c>
      <c r="E425" s="333">
        <v>2.0</v>
      </c>
      <c r="F425" s="296"/>
      <c r="G425" s="296"/>
      <c r="H425" s="334" t="s">
        <v>102</v>
      </c>
      <c r="I425" s="278" t="s">
        <v>98</v>
      </c>
      <c r="J425" s="214"/>
      <c r="K425" s="214"/>
      <c r="L425" s="214"/>
      <c r="M425" s="214"/>
      <c r="N425" s="214"/>
      <c r="O425" s="214"/>
      <c r="P425" s="214"/>
      <c r="Q425" s="214"/>
      <c r="R425" s="214"/>
      <c r="S425" s="214"/>
      <c r="T425" s="214"/>
      <c r="U425" s="214"/>
      <c r="V425" s="214"/>
      <c r="W425" s="214"/>
      <c r="X425" s="214"/>
      <c r="Y425" s="214"/>
      <c r="Z425" s="214"/>
      <c r="AA425" s="214"/>
      <c r="AB425" s="214"/>
      <c r="AC425" s="214"/>
    </row>
    <row r="426">
      <c r="A426" s="222"/>
      <c r="D426" s="382" t="s">
        <v>39</v>
      </c>
      <c r="E426" s="382">
        <v>1.0</v>
      </c>
      <c r="F426" s="384"/>
      <c r="G426" s="384"/>
      <c r="H426" s="385" t="s">
        <v>40</v>
      </c>
      <c r="I426" s="429" t="s">
        <v>30</v>
      </c>
      <c r="J426" s="214"/>
      <c r="K426" s="214"/>
      <c r="L426" s="214"/>
      <c r="M426" s="214"/>
      <c r="N426" s="214"/>
      <c r="O426" s="214"/>
      <c r="P426" s="214"/>
      <c r="Q426" s="214"/>
      <c r="R426" s="214"/>
      <c r="S426" s="214"/>
      <c r="T426" s="214"/>
      <c r="U426" s="214"/>
      <c r="V426" s="214"/>
      <c r="W426" s="214"/>
      <c r="X426" s="214"/>
      <c r="Y426" s="214"/>
      <c r="Z426" s="214"/>
      <c r="AA426" s="214"/>
      <c r="AB426" s="214"/>
      <c r="AC426" s="214"/>
    </row>
    <row r="427">
      <c r="A427" s="222"/>
      <c r="D427" s="286" t="s">
        <v>229</v>
      </c>
      <c r="E427" s="286">
        <v>2.0</v>
      </c>
      <c r="F427" s="318"/>
      <c r="G427" s="261"/>
      <c r="H427" s="262" t="s">
        <v>69</v>
      </c>
      <c r="I427" s="263" t="s">
        <v>65</v>
      </c>
      <c r="J427" s="214"/>
      <c r="K427" s="214"/>
      <c r="L427" s="214"/>
      <c r="M427" s="214"/>
      <c r="N427" s="214"/>
      <c r="O427" s="214"/>
      <c r="P427" s="214"/>
      <c r="Q427" s="214"/>
      <c r="R427" s="214"/>
      <c r="S427" s="214"/>
      <c r="T427" s="214"/>
      <c r="U427" s="214"/>
      <c r="V427" s="214"/>
      <c r="W427" s="214"/>
      <c r="X427" s="214"/>
      <c r="Y427" s="214"/>
      <c r="Z427" s="214"/>
      <c r="AA427" s="214"/>
      <c r="AB427" s="214"/>
      <c r="AC427" s="214"/>
    </row>
    <row r="428">
      <c r="A428" s="222"/>
      <c r="D428" s="286" t="s">
        <v>94</v>
      </c>
      <c r="E428" s="286">
        <v>1.0</v>
      </c>
      <c r="F428" s="261"/>
      <c r="G428" s="261"/>
      <c r="H428" s="414" t="s">
        <v>95</v>
      </c>
      <c r="I428" s="263" t="s">
        <v>65</v>
      </c>
      <c r="J428" s="214"/>
      <c r="K428" s="214"/>
      <c r="L428" s="214"/>
      <c r="M428" s="214"/>
      <c r="N428" s="214"/>
      <c r="O428" s="214"/>
      <c r="P428" s="214"/>
      <c r="Q428" s="214"/>
      <c r="R428" s="214"/>
      <c r="S428" s="214"/>
      <c r="T428" s="214"/>
      <c r="U428" s="214"/>
      <c r="V428" s="214"/>
      <c r="W428" s="214"/>
      <c r="X428" s="214"/>
      <c r="Y428" s="214"/>
      <c r="Z428" s="214"/>
      <c r="AA428" s="214"/>
      <c r="AB428" s="214"/>
      <c r="AC428" s="214"/>
    </row>
    <row r="429">
      <c r="A429" s="222"/>
      <c r="D429" s="232" t="s">
        <v>111</v>
      </c>
      <c r="E429" s="232">
        <v>1.0</v>
      </c>
      <c r="F429" s="233"/>
      <c r="G429" s="233"/>
      <c r="H429" s="234" t="s">
        <v>112</v>
      </c>
      <c r="I429" s="516" t="s">
        <v>105</v>
      </c>
      <c r="J429" s="214"/>
      <c r="K429" s="214"/>
      <c r="L429" s="214"/>
      <c r="M429" s="214"/>
      <c r="N429" s="214"/>
      <c r="O429" s="214"/>
      <c r="P429" s="214"/>
      <c r="Q429" s="214"/>
      <c r="R429" s="214"/>
      <c r="S429" s="214"/>
      <c r="T429" s="214"/>
      <c r="U429" s="214"/>
      <c r="V429" s="214"/>
      <c r="W429" s="214"/>
      <c r="X429" s="214"/>
      <c r="Y429" s="214"/>
      <c r="Z429" s="214"/>
      <c r="AA429" s="214"/>
      <c r="AB429" s="214"/>
      <c r="AC429" s="214"/>
    </row>
    <row r="430">
      <c r="A430" s="236"/>
      <c r="B430" s="237"/>
      <c r="C430" s="237"/>
      <c r="D430" s="264" t="s">
        <v>172</v>
      </c>
      <c r="E430" s="264">
        <v>1.0</v>
      </c>
      <c r="F430" s="479"/>
      <c r="G430" s="479"/>
      <c r="H430" s="266" t="s">
        <v>389</v>
      </c>
      <c r="I430" s="267" t="s">
        <v>163</v>
      </c>
      <c r="J430" s="214"/>
      <c r="K430" s="214"/>
      <c r="L430" s="214"/>
      <c r="M430" s="214"/>
      <c r="N430" s="214"/>
      <c r="O430" s="214"/>
      <c r="P430" s="214"/>
      <c r="Q430" s="214"/>
      <c r="R430" s="214"/>
      <c r="S430" s="214"/>
      <c r="T430" s="214"/>
      <c r="U430" s="214"/>
      <c r="V430" s="214"/>
      <c r="W430" s="214"/>
      <c r="X430" s="214"/>
      <c r="Y430" s="214"/>
      <c r="Z430" s="214"/>
      <c r="AA430" s="214"/>
      <c r="AB430" s="214"/>
      <c r="AC430" s="214"/>
    </row>
    <row r="431">
      <c r="A431" s="215" t="s">
        <v>425</v>
      </c>
      <c r="B431" s="243" t="s">
        <v>426</v>
      </c>
      <c r="C431" s="394">
        <f>sum(E431:E436)</f>
        <v>10</v>
      </c>
      <c r="D431" s="292" t="s">
        <v>64</v>
      </c>
      <c r="E431" s="292">
        <v>3.0</v>
      </c>
      <c r="F431" s="324"/>
      <c r="G431" s="324"/>
      <c r="H431" s="294" t="s">
        <v>69</v>
      </c>
      <c r="I431" s="295" t="s">
        <v>65</v>
      </c>
      <c r="J431" s="214"/>
      <c r="K431" s="214"/>
      <c r="L431" s="214"/>
      <c r="M431" s="214"/>
      <c r="N431" s="214"/>
      <c r="O431" s="214"/>
      <c r="P431" s="214"/>
      <c r="Q431" s="214"/>
      <c r="R431" s="214"/>
      <c r="S431" s="214"/>
      <c r="T431" s="214"/>
      <c r="U431" s="214"/>
      <c r="V431" s="214"/>
      <c r="W431" s="214"/>
      <c r="X431" s="214"/>
      <c r="Y431" s="214"/>
      <c r="Z431" s="214"/>
      <c r="AA431" s="214"/>
      <c r="AB431" s="214"/>
      <c r="AC431" s="214"/>
    </row>
    <row r="432">
      <c r="A432" s="222"/>
      <c r="D432" s="279" t="s">
        <v>58</v>
      </c>
      <c r="E432" s="279">
        <v>1.0</v>
      </c>
      <c r="F432" s="280"/>
      <c r="G432" s="280"/>
      <c r="H432" s="281" t="s">
        <v>59</v>
      </c>
      <c r="I432" s="282" t="s">
        <v>43</v>
      </c>
      <c r="J432" s="214"/>
      <c r="K432" s="214"/>
      <c r="L432" s="214"/>
      <c r="M432" s="214"/>
      <c r="N432" s="214"/>
      <c r="O432" s="214"/>
      <c r="P432" s="214"/>
      <c r="Q432" s="214"/>
      <c r="R432" s="214"/>
      <c r="S432" s="214"/>
      <c r="T432" s="214"/>
      <c r="U432" s="214"/>
      <c r="V432" s="214"/>
      <c r="W432" s="214"/>
      <c r="X432" s="214"/>
      <c r="Y432" s="214"/>
      <c r="Z432" s="214"/>
      <c r="AA432" s="214"/>
      <c r="AB432" s="214"/>
      <c r="AC432" s="214"/>
    </row>
    <row r="433">
      <c r="A433" s="222"/>
      <c r="D433" s="341" t="s">
        <v>182</v>
      </c>
      <c r="E433" s="341">
        <v>3.0</v>
      </c>
      <c r="F433" s="224"/>
      <c r="G433" s="342"/>
      <c r="H433" s="343" t="s">
        <v>183</v>
      </c>
      <c r="I433" s="226" t="s">
        <v>176</v>
      </c>
      <c r="J433" s="214"/>
      <c r="K433" s="214"/>
      <c r="L433" s="214"/>
      <c r="M433" s="214"/>
      <c r="N433" s="214"/>
      <c r="O433" s="214"/>
      <c r="P433" s="214"/>
      <c r="Q433" s="214"/>
      <c r="R433" s="214"/>
      <c r="S433" s="214"/>
      <c r="T433" s="214"/>
      <c r="U433" s="214"/>
      <c r="V433" s="214"/>
      <c r="W433" s="214"/>
      <c r="X433" s="214"/>
      <c r="Y433" s="214"/>
      <c r="Z433" s="214"/>
      <c r="AA433" s="214"/>
      <c r="AB433" s="214"/>
      <c r="AC433" s="214"/>
    </row>
    <row r="434">
      <c r="A434" s="222"/>
      <c r="D434" s="256" t="s">
        <v>185</v>
      </c>
      <c r="E434" s="256">
        <v>1.0</v>
      </c>
      <c r="F434" s="257"/>
      <c r="G434" s="257"/>
      <c r="H434" s="258" t="s">
        <v>187</v>
      </c>
      <c r="I434" s="259" t="s">
        <v>186</v>
      </c>
      <c r="J434" s="214"/>
      <c r="K434" s="214"/>
      <c r="L434" s="214"/>
      <c r="M434" s="214"/>
      <c r="N434" s="214"/>
      <c r="O434" s="214"/>
      <c r="P434" s="214"/>
      <c r="Q434" s="214"/>
      <c r="R434" s="214"/>
      <c r="S434" s="214"/>
      <c r="T434" s="214"/>
      <c r="U434" s="214"/>
      <c r="V434" s="214"/>
      <c r="W434" s="214"/>
      <c r="X434" s="214"/>
      <c r="Y434" s="214"/>
      <c r="Z434" s="214"/>
      <c r="AA434" s="214"/>
      <c r="AB434" s="214"/>
      <c r="AC434" s="214"/>
    </row>
    <row r="435">
      <c r="A435" s="222"/>
      <c r="D435" s="232" t="s">
        <v>134</v>
      </c>
      <c r="E435" s="232">
        <v>1.0</v>
      </c>
      <c r="F435" s="254"/>
      <c r="G435" s="254"/>
      <c r="H435" s="234" t="s">
        <v>135</v>
      </c>
      <c r="I435" s="235" t="s">
        <v>105</v>
      </c>
      <c r="J435" s="214"/>
      <c r="K435" s="214"/>
      <c r="L435" s="214"/>
      <c r="M435" s="214"/>
      <c r="N435" s="214"/>
      <c r="O435" s="214"/>
      <c r="P435" s="214"/>
      <c r="Q435" s="214"/>
      <c r="R435" s="214"/>
      <c r="S435" s="214"/>
      <c r="T435" s="214"/>
      <c r="U435" s="214"/>
      <c r="V435" s="214"/>
      <c r="W435" s="214"/>
      <c r="X435" s="214"/>
      <c r="Y435" s="214"/>
      <c r="Z435" s="214"/>
      <c r="AA435" s="214"/>
      <c r="AB435" s="214"/>
      <c r="AC435" s="214"/>
    </row>
    <row r="436">
      <c r="A436" s="236"/>
      <c r="B436" s="237"/>
      <c r="C436" s="237"/>
      <c r="D436" s="360" t="s">
        <v>36</v>
      </c>
      <c r="E436" s="360">
        <v>1.0</v>
      </c>
      <c r="F436" s="517"/>
      <c r="G436" s="517"/>
      <c r="H436" s="362" t="s">
        <v>37</v>
      </c>
      <c r="I436" s="518" t="s">
        <v>30</v>
      </c>
      <c r="J436" s="214"/>
      <c r="K436" s="214"/>
      <c r="L436" s="214"/>
      <c r="M436" s="214"/>
      <c r="N436" s="214"/>
      <c r="O436" s="214"/>
      <c r="P436" s="214"/>
      <c r="Q436" s="214"/>
      <c r="R436" s="214"/>
      <c r="S436" s="214"/>
      <c r="T436" s="214"/>
      <c r="U436" s="214"/>
      <c r="V436" s="214"/>
      <c r="W436" s="214"/>
      <c r="X436" s="214"/>
      <c r="Y436" s="214"/>
      <c r="Z436" s="214"/>
      <c r="AA436" s="214"/>
      <c r="AB436" s="214"/>
      <c r="AC436" s="214"/>
    </row>
    <row r="437">
      <c r="A437" s="242" t="s">
        <v>427</v>
      </c>
      <c r="B437" s="243" t="s">
        <v>428</v>
      </c>
      <c r="C437" s="394">
        <f>sum(E437:E442)</f>
        <v>10</v>
      </c>
      <c r="D437" s="356" t="s">
        <v>6</v>
      </c>
      <c r="E437" s="356">
        <v>2.0</v>
      </c>
      <c r="F437" s="357"/>
      <c r="G437" s="357"/>
      <c r="H437" s="447" t="s">
        <v>8</v>
      </c>
      <c r="I437" s="519" t="s">
        <v>7</v>
      </c>
      <c r="J437" s="214"/>
      <c r="K437" s="214"/>
      <c r="L437" s="214"/>
      <c r="M437" s="214"/>
      <c r="N437" s="214"/>
      <c r="O437" s="214"/>
      <c r="P437" s="214"/>
      <c r="Q437" s="214"/>
      <c r="R437" s="214"/>
      <c r="S437" s="214"/>
      <c r="T437" s="214"/>
      <c r="U437" s="214"/>
      <c r="V437" s="214"/>
      <c r="W437" s="214"/>
      <c r="X437" s="214"/>
      <c r="Y437" s="214"/>
      <c r="Z437" s="214"/>
      <c r="AA437" s="214"/>
      <c r="AB437" s="214"/>
      <c r="AC437" s="214"/>
    </row>
    <row r="438">
      <c r="A438" s="222"/>
      <c r="D438" s="286" t="s">
        <v>70</v>
      </c>
      <c r="E438" s="286">
        <v>2.0</v>
      </c>
      <c r="F438" s="318"/>
      <c r="G438" s="318"/>
      <c r="H438" s="262" t="s">
        <v>237</v>
      </c>
      <c r="I438" s="263" t="s">
        <v>65</v>
      </c>
      <c r="J438" s="214"/>
      <c r="K438" s="214"/>
      <c r="L438" s="214"/>
      <c r="M438" s="214"/>
      <c r="N438" s="214"/>
      <c r="O438" s="214"/>
      <c r="P438" s="214"/>
      <c r="Q438" s="214"/>
      <c r="R438" s="214"/>
      <c r="S438" s="214"/>
      <c r="T438" s="214"/>
      <c r="U438" s="214"/>
      <c r="V438" s="214"/>
      <c r="W438" s="214"/>
      <c r="X438" s="214"/>
      <c r="Y438" s="214"/>
      <c r="Z438" s="214"/>
      <c r="AA438" s="214"/>
      <c r="AB438" s="214"/>
      <c r="AC438" s="214"/>
    </row>
    <row r="439">
      <c r="A439" s="222"/>
      <c r="D439" s="279" t="s">
        <v>55</v>
      </c>
      <c r="E439" s="279">
        <v>1.0</v>
      </c>
      <c r="F439" s="280"/>
      <c r="G439" s="280"/>
      <c r="H439" s="281" t="s">
        <v>56</v>
      </c>
      <c r="I439" s="282" t="s">
        <v>43</v>
      </c>
      <c r="J439" s="214"/>
      <c r="K439" s="214"/>
      <c r="L439" s="214"/>
      <c r="M439" s="214"/>
      <c r="N439" s="214"/>
      <c r="O439" s="214"/>
      <c r="P439" s="214"/>
      <c r="Q439" s="214"/>
      <c r="R439" s="214"/>
      <c r="S439" s="214"/>
      <c r="T439" s="214"/>
      <c r="U439" s="214"/>
      <c r="V439" s="214"/>
      <c r="W439" s="214"/>
      <c r="X439" s="214"/>
      <c r="Y439" s="214"/>
      <c r="Z439" s="214"/>
      <c r="AA439" s="214"/>
      <c r="AB439" s="214"/>
      <c r="AC439" s="214"/>
    </row>
    <row r="440">
      <c r="A440" s="222"/>
      <c r="D440" s="256" t="s">
        <v>189</v>
      </c>
      <c r="E440" s="256">
        <v>1.0</v>
      </c>
      <c r="F440" s="257"/>
      <c r="G440" s="257"/>
      <c r="H440" s="258" t="s">
        <v>190</v>
      </c>
      <c r="I440" s="259" t="s">
        <v>186</v>
      </c>
      <c r="J440" s="214"/>
      <c r="K440" s="214"/>
      <c r="L440" s="214"/>
      <c r="M440" s="214"/>
      <c r="N440" s="214"/>
      <c r="O440" s="214"/>
      <c r="P440" s="214"/>
      <c r="Q440" s="214"/>
      <c r="R440" s="214"/>
      <c r="S440" s="214"/>
      <c r="T440" s="214"/>
      <c r="U440" s="214"/>
      <c r="V440" s="214"/>
      <c r="W440" s="214"/>
      <c r="X440" s="214"/>
      <c r="Y440" s="214"/>
      <c r="Z440" s="214"/>
      <c r="AA440" s="214"/>
      <c r="AB440" s="214"/>
      <c r="AC440" s="214"/>
    </row>
    <row r="441">
      <c r="A441" s="222"/>
      <c r="D441" s="232" t="s">
        <v>104</v>
      </c>
      <c r="E441" s="232">
        <v>2.0</v>
      </c>
      <c r="F441" s="233"/>
      <c r="G441" s="233"/>
      <c r="H441" s="234" t="s">
        <v>106</v>
      </c>
      <c r="I441" s="298" t="s">
        <v>105</v>
      </c>
      <c r="J441" s="214"/>
      <c r="K441" s="214"/>
      <c r="L441" s="214"/>
      <c r="M441" s="214"/>
      <c r="N441" s="214"/>
      <c r="O441" s="214"/>
      <c r="P441" s="214"/>
      <c r="Q441" s="214"/>
      <c r="R441" s="214"/>
      <c r="S441" s="214"/>
      <c r="T441" s="214"/>
      <c r="U441" s="214"/>
      <c r="V441" s="214"/>
      <c r="W441" s="214"/>
      <c r="X441" s="214"/>
      <c r="Y441" s="214"/>
      <c r="Z441" s="214"/>
      <c r="AA441" s="214"/>
      <c r="AB441" s="214"/>
      <c r="AC441" s="214"/>
    </row>
    <row r="442">
      <c r="A442" s="236"/>
      <c r="B442" s="237"/>
      <c r="C442" s="237"/>
      <c r="D442" s="320" t="s">
        <v>156</v>
      </c>
      <c r="E442" s="320">
        <v>2.0</v>
      </c>
      <c r="F442" s="436"/>
      <c r="G442" s="436"/>
      <c r="H442" s="322" t="s">
        <v>157</v>
      </c>
      <c r="I442" s="323" t="s">
        <v>144</v>
      </c>
      <c r="J442" s="214"/>
      <c r="K442" s="214"/>
      <c r="L442" s="214"/>
      <c r="M442" s="214"/>
      <c r="N442" s="214"/>
      <c r="O442" s="214"/>
      <c r="P442" s="214"/>
      <c r="Q442" s="214"/>
      <c r="R442" s="214"/>
      <c r="S442" s="214"/>
      <c r="T442" s="214"/>
      <c r="U442" s="214"/>
      <c r="V442" s="214"/>
      <c r="W442" s="214"/>
      <c r="X442" s="214"/>
      <c r="Y442" s="214"/>
      <c r="Z442" s="214"/>
      <c r="AA442" s="214"/>
      <c r="AB442" s="214"/>
      <c r="AC442" s="214"/>
    </row>
    <row r="443">
      <c r="A443" s="242" t="s">
        <v>429</v>
      </c>
      <c r="B443" s="243" t="s">
        <v>236</v>
      </c>
      <c r="C443" s="394">
        <f>sum(E443:E447)</f>
        <v>10</v>
      </c>
      <c r="D443" s="356" t="s">
        <v>254</v>
      </c>
      <c r="E443" s="356">
        <v>2.0</v>
      </c>
      <c r="F443" s="357"/>
      <c r="G443" s="357"/>
      <c r="H443" s="447" t="s">
        <v>255</v>
      </c>
      <c r="I443" s="359" t="s">
        <v>7</v>
      </c>
      <c r="J443" s="214"/>
      <c r="K443" s="214"/>
      <c r="L443" s="214"/>
      <c r="M443" s="214"/>
      <c r="N443" s="214"/>
      <c r="O443" s="214"/>
      <c r="P443" s="214"/>
      <c r="Q443" s="214"/>
      <c r="R443" s="214"/>
      <c r="S443" s="214"/>
      <c r="T443" s="214"/>
      <c r="U443" s="214"/>
      <c r="V443" s="214"/>
      <c r="W443" s="214"/>
      <c r="X443" s="214"/>
      <c r="Y443" s="214"/>
      <c r="Z443" s="214"/>
      <c r="AA443" s="214"/>
      <c r="AB443" s="214"/>
      <c r="AC443" s="214"/>
    </row>
    <row r="444">
      <c r="A444" s="222"/>
      <c r="D444" s="279" t="s">
        <v>58</v>
      </c>
      <c r="E444" s="279">
        <v>1.0</v>
      </c>
      <c r="F444" s="316"/>
      <c r="G444" s="316"/>
      <c r="H444" s="281" t="s">
        <v>59</v>
      </c>
      <c r="I444" s="448" t="s">
        <v>43</v>
      </c>
      <c r="J444" s="214"/>
      <c r="K444" s="214"/>
      <c r="L444" s="214"/>
      <c r="M444" s="214"/>
      <c r="N444" s="214"/>
      <c r="O444" s="214"/>
      <c r="P444" s="214"/>
      <c r="Q444" s="214"/>
      <c r="R444" s="214"/>
      <c r="S444" s="214"/>
      <c r="T444" s="214"/>
      <c r="U444" s="214"/>
      <c r="V444" s="214"/>
      <c r="W444" s="214"/>
      <c r="X444" s="214"/>
      <c r="Y444" s="214"/>
      <c r="Z444" s="214"/>
      <c r="AA444" s="214"/>
      <c r="AB444" s="214"/>
      <c r="AC444" s="214"/>
    </row>
    <row r="445">
      <c r="A445" s="222"/>
      <c r="D445" s="286" t="s">
        <v>64</v>
      </c>
      <c r="E445" s="286">
        <v>3.0</v>
      </c>
      <c r="F445" s="261"/>
      <c r="G445" s="261"/>
      <c r="H445" s="262" t="s">
        <v>66</v>
      </c>
      <c r="I445" s="263" t="s">
        <v>65</v>
      </c>
      <c r="J445" s="214"/>
      <c r="K445" s="214"/>
      <c r="L445" s="214"/>
      <c r="M445" s="214"/>
      <c r="N445" s="214"/>
      <c r="O445" s="214"/>
      <c r="P445" s="214"/>
      <c r="Q445" s="214"/>
      <c r="R445" s="214"/>
      <c r="S445" s="214"/>
      <c r="T445" s="214"/>
      <c r="U445" s="214"/>
      <c r="V445" s="214"/>
      <c r="W445" s="214"/>
      <c r="X445" s="214"/>
      <c r="Y445" s="214"/>
      <c r="Z445" s="214"/>
      <c r="AA445" s="214"/>
      <c r="AB445" s="214"/>
      <c r="AC445" s="214"/>
    </row>
    <row r="446">
      <c r="A446" s="222"/>
      <c r="D446" s="341" t="s">
        <v>182</v>
      </c>
      <c r="E446" s="341">
        <v>3.0</v>
      </c>
      <c r="F446" s="342"/>
      <c r="G446" s="342"/>
      <c r="H446" s="343" t="s">
        <v>183</v>
      </c>
      <c r="I446" s="344" t="s">
        <v>176</v>
      </c>
      <c r="J446" s="214"/>
      <c r="K446" s="214"/>
      <c r="L446" s="214"/>
      <c r="M446" s="214"/>
      <c r="N446" s="214"/>
      <c r="O446" s="214"/>
      <c r="P446" s="214"/>
      <c r="Q446" s="214"/>
      <c r="R446" s="214"/>
      <c r="S446" s="214"/>
      <c r="T446" s="214"/>
      <c r="U446" s="214"/>
      <c r="V446" s="214"/>
      <c r="W446" s="214"/>
      <c r="X446" s="214"/>
      <c r="Y446" s="214"/>
      <c r="Z446" s="214"/>
      <c r="AA446" s="214"/>
      <c r="AB446" s="214"/>
      <c r="AC446" s="214"/>
    </row>
    <row r="447">
      <c r="A447" s="236"/>
      <c r="B447" s="237"/>
      <c r="C447" s="237"/>
      <c r="D447" s="502" t="s">
        <v>189</v>
      </c>
      <c r="E447" s="502">
        <v>1.0</v>
      </c>
      <c r="F447" s="496"/>
      <c r="G447" s="500"/>
      <c r="H447" s="503" t="s">
        <v>190</v>
      </c>
      <c r="I447" s="498" t="s">
        <v>186</v>
      </c>
      <c r="J447" s="214"/>
      <c r="K447" s="214"/>
      <c r="L447" s="214"/>
      <c r="M447" s="214"/>
      <c r="N447" s="214"/>
      <c r="O447" s="214"/>
      <c r="P447" s="214"/>
      <c r="Q447" s="214"/>
      <c r="R447" s="214"/>
      <c r="S447" s="214"/>
      <c r="T447" s="214"/>
      <c r="U447" s="214"/>
      <c r="V447" s="214"/>
      <c r="W447" s="214"/>
      <c r="X447" s="214"/>
      <c r="Y447" s="214"/>
      <c r="Z447" s="214"/>
      <c r="AA447" s="214"/>
      <c r="AB447" s="214"/>
      <c r="AC447" s="214"/>
    </row>
    <row r="448">
      <c r="A448" s="242" t="s">
        <v>430</v>
      </c>
      <c r="B448" s="243" t="s">
        <v>431</v>
      </c>
      <c r="C448" s="394">
        <f>sum(E448:E452)</f>
        <v>10</v>
      </c>
      <c r="D448" s="308" t="s">
        <v>111</v>
      </c>
      <c r="E448" s="308">
        <v>1.0</v>
      </c>
      <c r="F448" s="473"/>
      <c r="G448" s="473"/>
      <c r="H448" s="310" t="s">
        <v>112</v>
      </c>
      <c r="I448" s="520" t="s">
        <v>105</v>
      </c>
      <c r="J448" s="214"/>
      <c r="K448" s="214"/>
      <c r="L448" s="214"/>
      <c r="M448" s="214"/>
      <c r="N448" s="214"/>
      <c r="O448" s="214"/>
      <c r="P448" s="214"/>
      <c r="Q448" s="214"/>
      <c r="R448" s="214"/>
      <c r="S448" s="214"/>
      <c r="T448" s="214"/>
      <c r="U448" s="214"/>
      <c r="V448" s="214"/>
      <c r="W448" s="214"/>
      <c r="X448" s="214"/>
      <c r="Y448" s="214"/>
      <c r="Z448" s="214"/>
      <c r="AA448" s="214"/>
      <c r="AB448" s="214"/>
      <c r="AC448" s="214"/>
    </row>
    <row r="449">
      <c r="A449" s="222"/>
      <c r="D449" s="299" t="s">
        <v>143</v>
      </c>
      <c r="E449" s="299">
        <v>5.0</v>
      </c>
      <c r="F449" s="250"/>
      <c r="G449" s="250"/>
      <c r="H449" s="312" t="s">
        <v>145</v>
      </c>
      <c r="I449" s="253" t="s">
        <v>144</v>
      </c>
      <c r="J449" s="214"/>
      <c r="K449" s="214"/>
      <c r="L449" s="214"/>
      <c r="M449" s="214"/>
      <c r="N449" s="214"/>
      <c r="O449" s="214"/>
      <c r="P449" s="214"/>
      <c r="Q449" s="214"/>
      <c r="R449" s="214"/>
      <c r="S449" s="214"/>
      <c r="T449" s="214"/>
      <c r="U449" s="214"/>
      <c r="V449" s="214"/>
      <c r="W449" s="214"/>
      <c r="X449" s="214"/>
      <c r="Y449" s="214"/>
      <c r="Z449" s="214"/>
      <c r="AA449" s="214"/>
      <c r="AB449" s="214"/>
      <c r="AC449" s="214"/>
    </row>
    <row r="450">
      <c r="A450" s="222"/>
      <c r="D450" s="279" t="s">
        <v>52</v>
      </c>
      <c r="E450" s="279">
        <v>1.0</v>
      </c>
      <c r="F450" s="316"/>
      <c r="G450" s="316"/>
      <c r="H450" s="281" t="s">
        <v>53</v>
      </c>
      <c r="I450" s="448" t="s">
        <v>43</v>
      </c>
      <c r="J450" s="214"/>
      <c r="K450" s="214"/>
      <c r="L450" s="214"/>
      <c r="M450" s="214"/>
      <c r="N450" s="214"/>
      <c r="O450" s="214"/>
      <c r="P450" s="214"/>
      <c r="Q450" s="214"/>
      <c r="R450" s="214"/>
      <c r="S450" s="214"/>
      <c r="T450" s="214"/>
      <c r="U450" s="214"/>
      <c r="V450" s="214"/>
      <c r="W450" s="214"/>
      <c r="X450" s="214"/>
      <c r="Y450" s="214"/>
      <c r="Z450" s="214"/>
      <c r="AA450" s="214"/>
      <c r="AB450" s="214"/>
      <c r="AC450" s="214"/>
    </row>
    <row r="451">
      <c r="A451" s="222"/>
      <c r="D451" s="232" t="s">
        <v>134</v>
      </c>
      <c r="E451" s="232">
        <v>1.0</v>
      </c>
      <c r="F451" s="254"/>
      <c r="G451" s="254"/>
      <c r="H451" s="234" t="s">
        <v>135</v>
      </c>
      <c r="I451" s="235" t="s">
        <v>105</v>
      </c>
      <c r="J451" s="214"/>
      <c r="K451" s="214"/>
      <c r="L451" s="214"/>
      <c r="M451" s="214"/>
      <c r="N451" s="214"/>
      <c r="O451" s="214"/>
      <c r="P451" s="214"/>
      <c r="Q451" s="214"/>
      <c r="R451" s="214"/>
      <c r="S451" s="214"/>
      <c r="T451" s="214"/>
      <c r="U451" s="214"/>
      <c r="V451" s="214"/>
      <c r="W451" s="214"/>
      <c r="X451" s="214"/>
      <c r="Y451" s="214"/>
      <c r="Z451" s="214"/>
      <c r="AA451" s="214"/>
      <c r="AB451" s="214"/>
      <c r="AC451" s="214"/>
    </row>
    <row r="452">
      <c r="A452" s="236"/>
      <c r="B452" s="237"/>
      <c r="C452" s="237"/>
      <c r="D452" s="459" t="s">
        <v>351</v>
      </c>
      <c r="E452" s="459">
        <v>2.0</v>
      </c>
      <c r="F452" s="404"/>
      <c r="G452" s="288"/>
      <c r="H452" s="460" t="s">
        <v>432</v>
      </c>
      <c r="I452" s="461" t="s">
        <v>105</v>
      </c>
      <c r="J452" s="214"/>
      <c r="K452" s="214"/>
      <c r="L452" s="214"/>
      <c r="M452" s="214"/>
      <c r="N452" s="214"/>
      <c r="O452" s="214"/>
      <c r="P452" s="214"/>
      <c r="Q452" s="214"/>
      <c r="R452" s="214"/>
      <c r="S452" s="214"/>
      <c r="T452" s="214"/>
      <c r="U452" s="214"/>
      <c r="V452" s="214"/>
      <c r="W452" s="214"/>
      <c r="X452" s="214"/>
      <c r="Y452" s="214"/>
      <c r="Z452" s="214"/>
      <c r="AA452" s="214"/>
      <c r="AB452" s="214"/>
      <c r="AC452" s="214"/>
    </row>
    <row r="453">
      <c r="A453" s="242" t="s">
        <v>433</v>
      </c>
      <c r="B453" s="243" t="s">
        <v>434</v>
      </c>
      <c r="C453" s="394">
        <f>sum(E453:E457)</f>
        <v>10</v>
      </c>
      <c r="D453" s="356" t="s">
        <v>254</v>
      </c>
      <c r="E453" s="356">
        <v>2.0</v>
      </c>
      <c r="F453" s="357"/>
      <c r="G453" s="357"/>
      <c r="H453" s="447" t="s">
        <v>255</v>
      </c>
      <c r="I453" s="359" t="s">
        <v>7</v>
      </c>
      <c r="J453" s="214"/>
      <c r="K453" s="214"/>
      <c r="L453" s="214"/>
      <c r="M453" s="214"/>
      <c r="N453" s="214"/>
      <c r="O453" s="214"/>
      <c r="P453" s="214"/>
      <c r="Q453" s="214"/>
      <c r="R453" s="214"/>
      <c r="S453" s="214"/>
      <c r="T453" s="214"/>
      <c r="U453" s="214"/>
      <c r="V453" s="214"/>
      <c r="W453" s="214"/>
      <c r="X453" s="214"/>
      <c r="Y453" s="214"/>
      <c r="Z453" s="214"/>
      <c r="AA453" s="214"/>
      <c r="AB453" s="214"/>
      <c r="AC453" s="214"/>
    </row>
    <row r="454">
      <c r="A454" s="222"/>
      <c r="D454" s="341" t="s">
        <v>179</v>
      </c>
      <c r="E454" s="341">
        <v>2.0</v>
      </c>
      <c r="F454" s="342"/>
      <c r="G454" s="342"/>
      <c r="H454" s="343" t="s">
        <v>180</v>
      </c>
      <c r="I454" s="226" t="s">
        <v>176</v>
      </c>
      <c r="J454" s="214"/>
      <c r="K454" s="214"/>
      <c r="L454" s="214"/>
      <c r="M454" s="214"/>
      <c r="N454" s="214"/>
      <c r="O454" s="214"/>
      <c r="P454" s="214"/>
      <c r="Q454" s="214"/>
      <c r="R454" s="214"/>
      <c r="S454" s="214"/>
      <c r="T454" s="214"/>
      <c r="U454" s="214"/>
      <c r="V454" s="214"/>
      <c r="W454" s="214"/>
      <c r="X454" s="214"/>
      <c r="Y454" s="214"/>
      <c r="Z454" s="214"/>
      <c r="AA454" s="214"/>
      <c r="AB454" s="214"/>
      <c r="AC454" s="214"/>
    </row>
    <row r="455">
      <c r="A455" s="222"/>
      <c r="D455" s="271" t="s">
        <v>166</v>
      </c>
      <c r="E455" s="271">
        <v>2.0</v>
      </c>
      <c r="F455" s="272"/>
      <c r="G455" s="272"/>
      <c r="H455" s="273" t="s">
        <v>167</v>
      </c>
      <c r="I455" s="274" t="s">
        <v>163</v>
      </c>
      <c r="J455" s="214"/>
      <c r="K455" s="214"/>
      <c r="L455" s="214"/>
      <c r="M455" s="214"/>
      <c r="N455" s="214"/>
      <c r="O455" s="214"/>
      <c r="P455" s="214"/>
      <c r="Q455" s="214"/>
      <c r="R455" s="214"/>
      <c r="S455" s="214"/>
      <c r="T455" s="214"/>
      <c r="U455" s="214"/>
      <c r="V455" s="214"/>
      <c r="W455" s="214"/>
      <c r="X455" s="214"/>
      <c r="Y455" s="214"/>
      <c r="Z455" s="214"/>
      <c r="AA455" s="214"/>
      <c r="AB455" s="214"/>
      <c r="AC455" s="214"/>
    </row>
    <row r="456">
      <c r="A456" s="222"/>
      <c r="D456" s="382" t="s">
        <v>306</v>
      </c>
      <c r="E456" s="382">
        <v>3.0</v>
      </c>
      <c r="F456" s="384"/>
      <c r="G456" s="384"/>
      <c r="H456" s="385" t="s">
        <v>31</v>
      </c>
      <c r="I456" s="429" t="s">
        <v>30</v>
      </c>
      <c r="J456" s="214"/>
      <c r="K456" s="214"/>
      <c r="L456" s="214"/>
      <c r="M456" s="214"/>
      <c r="N456" s="214"/>
      <c r="O456" s="214"/>
      <c r="P456" s="214"/>
      <c r="Q456" s="214"/>
      <c r="R456" s="214"/>
      <c r="S456" s="214"/>
      <c r="T456" s="214"/>
      <c r="U456" s="214"/>
      <c r="V456" s="214"/>
      <c r="W456" s="214"/>
      <c r="X456" s="214"/>
      <c r="Y456" s="214"/>
      <c r="Z456" s="214"/>
      <c r="AA456" s="214"/>
      <c r="AB456" s="214"/>
      <c r="AC456" s="214"/>
    </row>
    <row r="457">
      <c r="A457" s="236"/>
      <c r="B457" s="237"/>
      <c r="C457" s="237"/>
      <c r="D457" s="287" t="s">
        <v>126</v>
      </c>
      <c r="E457" s="287">
        <v>1.0</v>
      </c>
      <c r="F457" s="288"/>
      <c r="G457" s="288"/>
      <c r="H457" s="289" t="s">
        <v>127</v>
      </c>
      <c r="I457" s="290" t="s">
        <v>105</v>
      </c>
      <c r="J457" s="214"/>
      <c r="K457" s="214"/>
      <c r="L457" s="214"/>
      <c r="M457" s="214"/>
      <c r="N457" s="214"/>
      <c r="O457" s="214"/>
      <c r="P457" s="214"/>
      <c r="Q457" s="214"/>
      <c r="R457" s="214"/>
      <c r="S457" s="214"/>
      <c r="T457" s="214"/>
      <c r="U457" s="214"/>
      <c r="V457" s="214"/>
      <c r="W457" s="214"/>
      <c r="X457" s="214"/>
      <c r="Y457" s="214"/>
      <c r="Z457" s="214"/>
      <c r="AA457" s="214"/>
      <c r="AB457" s="214"/>
      <c r="AC457" s="214"/>
    </row>
    <row r="458">
      <c r="A458" s="215" t="s">
        <v>435</v>
      </c>
      <c r="B458" s="243" t="s">
        <v>291</v>
      </c>
      <c r="C458" s="394">
        <f>sum(E458:E461)</f>
        <v>10</v>
      </c>
      <c r="D458" s="292" t="s">
        <v>64</v>
      </c>
      <c r="E458" s="292">
        <v>3.0</v>
      </c>
      <c r="F458" s="324"/>
      <c r="G458" s="324"/>
      <c r="H458" s="262" t="s">
        <v>66</v>
      </c>
      <c r="I458" s="295" t="s">
        <v>65</v>
      </c>
      <c r="J458" s="214"/>
      <c r="K458" s="214"/>
      <c r="L458" s="214"/>
      <c r="M458" s="214"/>
      <c r="N458" s="214"/>
      <c r="O458" s="214"/>
      <c r="P458" s="214"/>
      <c r="Q458" s="214"/>
      <c r="R458" s="214"/>
      <c r="S458" s="214"/>
      <c r="T458" s="214"/>
      <c r="U458" s="214"/>
      <c r="V458" s="214"/>
      <c r="W458" s="214"/>
      <c r="X458" s="214"/>
      <c r="Y458" s="214"/>
      <c r="Z458" s="214"/>
      <c r="AA458" s="214"/>
      <c r="AB458" s="214"/>
      <c r="AC458" s="214"/>
    </row>
    <row r="459">
      <c r="A459" s="222"/>
      <c r="D459" s="402" t="s">
        <v>162</v>
      </c>
      <c r="E459" s="402">
        <v>2.0</v>
      </c>
      <c r="F459" s="317"/>
      <c r="G459" s="272"/>
      <c r="H459" s="403" t="s">
        <v>164</v>
      </c>
      <c r="I459" s="393" t="s">
        <v>163</v>
      </c>
      <c r="J459" s="214"/>
      <c r="K459" s="214"/>
      <c r="L459" s="214"/>
      <c r="M459" s="214"/>
      <c r="N459" s="214"/>
      <c r="O459" s="214"/>
      <c r="P459" s="214"/>
      <c r="Q459" s="214"/>
      <c r="R459" s="214"/>
      <c r="S459" s="214"/>
      <c r="T459" s="214"/>
      <c r="U459" s="214"/>
      <c r="V459" s="214"/>
      <c r="W459" s="214"/>
      <c r="X459" s="214"/>
      <c r="Y459" s="214"/>
      <c r="Z459" s="214"/>
      <c r="AA459" s="214"/>
      <c r="AB459" s="214"/>
      <c r="AC459" s="214"/>
    </row>
    <row r="460">
      <c r="A460" s="222"/>
      <c r="D460" s="227" t="s">
        <v>17</v>
      </c>
      <c r="E460" s="227">
        <v>2.0</v>
      </c>
      <c r="F460" s="228"/>
      <c r="G460" s="228"/>
      <c r="H460" s="445" t="s">
        <v>260</v>
      </c>
      <c r="I460" s="230" t="s">
        <v>7</v>
      </c>
      <c r="J460" s="214"/>
      <c r="K460" s="214"/>
      <c r="L460" s="214"/>
      <c r="M460" s="214"/>
      <c r="N460" s="214"/>
      <c r="O460" s="214"/>
      <c r="P460" s="214"/>
      <c r="Q460" s="214"/>
      <c r="R460" s="214"/>
      <c r="S460" s="214"/>
      <c r="T460" s="214"/>
      <c r="U460" s="214"/>
      <c r="V460" s="214"/>
      <c r="W460" s="214"/>
      <c r="X460" s="214"/>
      <c r="Y460" s="214"/>
      <c r="Z460" s="214"/>
      <c r="AA460" s="214"/>
      <c r="AB460" s="214"/>
      <c r="AC460" s="214"/>
    </row>
    <row r="461">
      <c r="A461" s="236"/>
      <c r="B461" s="237"/>
      <c r="C461" s="237"/>
      <c r="D461" s="223" t="s">
        <v>182</v>
      </c>
      <c r="E461" s="223">
        <v>3.0</v>
      </c>
      <c r="F461" s="342"/>
      <c r="G461" s="342"/>
      <c r="H461" s="225" t="s">
        <v>183</v>
      </c>
      <c r="I461" s="226" t="s">
        <v>176</v>
      </c>
      <c r="J461" s="214"/>
      <c r="K461" s="214"/>
      <c r="L461" s="214"/>
      <c r="M461" s="214"/>
      <c r="N461" s="214"/>
      <c r="O461" s="214"/>
      <c r="P461" s="214"/>
      <c r="Q461" s="214"/>
      <c r="R461" s="214"/>
      <c r="S461" s="214"/>
      <c r="T461" s="214"/>
      <c r="U461" s="214"/>
      <c r="V461" s="214"/>
      <c r="W461" s="214"/>
      <c r="X461" s="214"/>
      <c r="Y461" s="214"/>
      <c r="Z461" s="214"/>
      <c r="AA461" s="214"/>
      <c r="AB461" s="214"/>
      <c r="AC461" s="214"/>
    </row>
    <row r="462">
      <c r="A462" s="242" t="s">
        <v>436</v>
      </c>
      <c r="B462" s="243" t="s">
        <v>437</v>
      </c>
      <c r="C462" s="394">
        <f>sum(E462:E467)</f>
        <v>10</v>
      </c>
      <c r="D462" s="426" t="s">
        <v>22</v>
      </c>
      <c r="E462" s="426">
        <v>2.0</v>
      </c>
      <c r="F462" s="397"/>
      <c r="G462" s="397"/>
      <c r="H462" s="427" t="s">
        <v>265</v>
      </c>
      <c r="I462" s="428" t="s">
        <v>23</v>
      </c>
      <c r="J462" s="214"/>
      <c r="K462" s="214"/>
      <c r="L462" s="214"/>
      <c r="M462" s="214"/>
      <c r="N462" s="214"/>
      <c r="O462" s="214"/>
      <c r="P462" s="214"/>
      <c r="Q462" s="214"/>
      <c r="R462" s="214"/>
      <c r="S462" s="214"/>
      <c r="T462" s="214"/>
      <c r="U462" s="214"/>
      <c r="V462" s="214"/>
      <c r="W462" s="214"/>
      <c r="X462" s="214"/>
      <c r="Y462" s="214"/>
      <c r="Z462" s="214"/>
      <c r="AA462" s="214"/>
      <c r="AB462" s="214"/>
      <c r="AC462" s="214"/>
    </row>
    <row r="463">
      <c r="A463" s="222"/>
      <c r="D463" s="271" t="s">
        <v>162</v>
      </c>
      <c r="E463" s="271">
        <v>2.0</v>
      </c>
      <c r="F463" s="272"/>
      <c r="G463" s="272"/>
      <c r="H463" s="273" t="s">
        <v>164</v>
      </c>
      <c r="I463" s="274" t="s">
        <v>163</v>
      </c>
      <c r="J463" s="214"/>
      <c r="K463" s="214"/>
      <c r="L463" s="214"/>
      <c r="M463" s="214"/>
      <c r="N463" s="214"/>
      <c r="O463" s="214"/>
      <c r="P463" s="214"/>
      <c r="Q463" s="214"/>
      <c r="R463" s="214"/>
      <c r="S463" s="214"/>
      <c r="T463" s="214"/>
      <c r="U463" s="214"/>
      <c r="V463" s="214"/>
      <c r="W463" s="214"/>
      <c r="X463" s="214"/>
      <c r="Y463" s="214"/>
      <c r="Z463" s="214"/>
      <c r="AA463" s="214"/>
      <c r="AB463" s="214"/>
      <c r="AC463" s="214"/>
    </row>
    <row r="464">
      <c r="A464" s="222"/>
      <c r="D464" s="227" t="s">
        <v>254</v>
      </c>
      <c r="E464" s="227">
        <v>2.0</v>
      </c>
      <c r="F464" s="228"/>
      <c r="G464" s="228"/>
      <c r="H464" s="229" t="s">
        <v>255</v>
      </c>
      <c r="I464" s="230" t="s">
        <v>7</v>
      </c>
      <c r="J464" s="214"/>
      <c r="K464" s="214"/>
      <c r="L464" s="214"/>
      <c r="M464" s="214"/>
      <c r="N464" s="214"/>
      <c r="O464" s="214"/>
      <c r="P464" s="214"/>
      <c r="Q464" s="214"/>
      <c r="R464" s="214"/>
      <c r="S464" s="214"/>
      <c r="T464" s="214"/>
      <c r="U464" s="214"/>
      <c r="V464" s="214"/>
      <c r="W464" s="214"/>
      <c r="X464" s="214"/>
      <c r="Y464" s="214"/>
      <c r="Z464" s="214"/>
      <c r="AA464" s="214"/>
      <c r="AB464" s="214"/>
      <c r="AC464" s="214"/>
    </row>
    <row r="465">
      <c r="A465" s="222"/>
      <c r="D465" s="279" t="s">
        <v>58</v>
      </c>
      <c r="E465" s="279">
        <v>1.0</v>
      </c>
      <c r="F465" s="280"/>
      <c r="G465" s="280"/>
      <c r="H465" s="281" t="s">
        <v>59</v>
      </c>
      <c r="I465" s="282" t="s">
        <v>43</v>
      </c>
      <c r="J465" s="214"/>
      <c r="K465" s="214"/>
      <c r="L465" s="214"/>
      <c r="M465" s="214"/>
      <c r="N465" s="214"/>
      <c r="O465" s="214"/>
      <c r="P465" s="214"/>
      <c r="Q465" s="214"/>
      <c r="R465" s="214"/>
      <c r="S465" s="214"/>
      <c r="T465" s="214"/>
      <c r="U465" s="214"/>
      <c r="V465" s="214"/>
      <c r="W465" s="214"/>
      <c r="X465" s="214"/>
      <c r="Y465" s="214"/>
      <c r="Z465" s="214"/>
      <c r="AA465" s="214"/>
      <c r="AB465" s="214"/>
      <c r="AC465" s="214"/>
    </row>
    <row r="466">
      <c r="A466" s="222"/>
      <c r="D466" s="286" t="s">
        <v>229</v>
      </c>
      <c r="E466" s="286">
        <v>2.0</v>
      </c>
      <c r="F466" s="318"/>
      <c r="G466" s="318"/>
      <c r="H466" s="262" t="s">
        <v>69</v>
      </c>
      <c r="I466" s="319" t="s">
        <v>65</v>
      </c>
      <c r="J466" s="214"/>
      <c r="K466" s="214"/>
      <c r="L466" s="214"/>
      <c r="M466" s="214"/>
      <c r="N466" s="214"/>
      <c r="O466" s="214"/>
      <c r="P466" s="214"/>
      <c r="Q466" s="214"/>
      <c r="R466" s="214"/>
      <c r="S466" s="214"/>
      <c r="T466" s="214"/>
      <c r="U466" s="214"/>
      <c r="V466" s="214"/>
      <c r="W466" s="214"/>
      <c r="X466" s="214"/>
      <c r="Y466" s="214"/>
      <c r="Z466" s="214"/>
      <c r="AA466" s="214"/>
      <c r="AB466" s="214"/>
      <c r="AC466" s="214"/>
    </row>
    <row r="467">
      <c r="A467" s="236"/>
      <c r="B467" s="237"/>
      <c r="C467" s="237"/>
      <c r="D467" s="287" t="s">
        <v>140</v>
      </c>
      <c r="E467" s="287">
        <v>1.0</v>
      </c>
      <c r="F467" s="288"/>
      <c r="G467" s="288"/>
      <c r="H467" s="289" t="s">
        <v>141</v>
      </c>
      <c r="I467" s="290" t="s">
        <v>105</v>
      </c>
      <c r="J467" s="214"/>
      <c r="K467" s="214"/>
      <c r="L467" s="214"/>
      <c r="M467" s="214"/>
      <c r="N467" s="214"/>
      <c r="O467" s="214"/>
      <c r="P467" s="214"/>
      <c r="Q467" s="214"/>
      <c r="R467" s="214"/>
      <c r="S467" s="214"/>
      <c r="T467" s="214"/>
      <c r="U467" s="214"/>
      <c r="V467" s="214"/>
      <c r="W467" s="214"/>
      <c r="X467" s="214"/>
      <c r="Y467" s="214"/>
      <c r="Z467" s="214"/>
      <c r="AA467" s="214"/>
      <c r="AB467" s="214"/>
      <c r="AC467" s="214"/>
    </row>
    <row r="468">
      <c r="A468" s="215" t="s">
        <v>438</v>
      </c>
      <c r="B468" s="216" t="s">
        <v>439</v>
      </c>
      <c r="C468" s="394">
        <f>sum(E468:E472)</f>
        <v>10</v>
      </c>
      <c r="D468" s="521" t="s">
        <v>147</v>
      </c>
      <c r="E468" s="521">
        <v>3.0</v>
      </c>
      <c r="F468" s="522"/>
      <c r="G468" s="522"/>
      <c r="H468" s="523" t="s">
        <v>145</v>
      </c>
      <c r="I468" s="524" t="s">
        <v>144</v>
      </c>
      <c r="J468" s="214"/>
      <c r="K468" s="214"/>
      <c r="L468" s="214"/>
      <c r="M468" s="214"/>
      <c r="N468" s="214"/>
      <c r="O468" s="214"/>
      <c r="P468" s="214"/>
      <c r="Q468" s="214"/>
      <c r="R468" s="214"/>
      <c r="S468" s="214"/>
      <c r="T468" s="214"/>
      <c r="U468" s="214"/>
      <c r="V468" s="214"/>
      <c r="W468" s="214"/>
      <c r="X468" s="214"/>
      <c r="Y468" s="214"/>
      <c r="Z468" s="214"/>
      <c r="AA468" s="214"/>
      <c r="AB468" s="214"/>
      <c r="AC468" s="214"/>
    </row>
    <row r="469">
      <c r="A469" s="222"/>
      <c r="D469" s="286" t="s">
        <v>64</v>
      </c>
      <c r="E469" s="286">
        <v>3.0</v>
      </c>
      <c r="F469" s="318"/>
      <c r="G469" s="318"/>
      <c r="H469" s="262" t="s">
        <v>66</v>
      </c>
      <c r="I469" s="263" t="s">
        <v>65</v>
      </c>
      <c r="J469" s="214"/>
      <c r="K469" s="214"/>
      <c r="L469" s="214"/>
      <c r="M469" s="214"/>
      <c r="N469" s="214"/>
      <c r="O469" s="214"/>
      <c r="P469" s="214"/>
      <c r="Q469" s="214"/>
      <c r="R469" s="214"/>
      <c r="S469" s="214"/>
      <c r="T469" s="214"/>
      <c r="U469" s="214"/>
      <c r="V469" s="214"/>
      <c r="W469" s="214"/>
      <c r="X469" s="214"/>
      <c r="Y469" s="214"/>
      <c r="Z469" s="214"/>
      <c r="AA469" s="214"/>
      <c r="AB469" s="214"/>
      <c r="AC469" s="214"/>
    </row>
    <row r="470">
      <c r="A470" s="222"/>
      <c r="I470" s="368"/>
      <c r="J470" s="214"/>
      <c r="K470" s="214"/>
      <c r="L470" s="214"/>
      <c r="M470" s="214"/>
      <c r="N470" s="214"/>
      <c r="O470" s="214"/>
      <c r="P470" s="214"/>
      <c r="Q470" s="214"/>
      <c r="R470" s="214"/>
      <c r="S470" s="214"/>
      <c r="T470" s="214"/>
      <c r="U470" s="214"/>
      <c r="V470" s="214"/>
      <c r="W470" s="214"/>
      <c r="X470" s="214"/>
      <c r="Y470" s="214"/>
      <c r="Z470" s="214"/>
      <c r="AA470" s="214"/>
      <c r="AB470" s="214"/>
      <c r="AC470" s="214"/>
    </row>
    <row r="471">
      <c r="A471" s="222"/>
      <c r="D471" s="223" t="s">
        <v>179</v>
      </c>
      <c r="E471" s="223">
        <v>2.0</v>
      </c>
      <c r="F471" s="224"/>
      <c r="G471" s="342"/>
      <c r="H471" s="225" t="s">
        <v>180</v>
      </c>
      <c r="I471" s="344" t="s">
        <v>176</v>
      </c>
      <c r="J471" s="214"/>
      <c r="K471" s="214"/>
      <c r="L471" s="214"/>
      <c r="M471" s="214"/>
      <c r="N471" s="214"/>
      <c r="O471" s="214"/>
      <c r="P471" s="214"/>
      <c r="Q471" s="214"/>
      <c r="R471" s="214"/>
      <c r="S471" s="214"/>
      <c r="T471" s="214"/>
      <c r="U471" s="214"/>
      <c r="V471" s="214"/>
      <c r="W471" s="214"/>
      <c r="X471" s="214"/>
      <c r="Y471" s="214"/>
      <c r="Z471" s="214"/>
      <c r="AA471" s="214"/>
      <c r="AB471" s="214"/>
      <c r="AC471" s="214"/>
    </row>
    <row r="472">
      <c r="A472" s="236"/>
      <c r="B472" s="237"/>
      <c r="C472" s="237"/>
      <c r="D472" s="374" t="s">
        <v>254</v>
      </c>
      <c r="E472" s="374">
        <v>2.0</v>
      </c>
      <c r="F472" s="375"/>
      <c r="G472" s="375"/>
      <c r="H472" s="376" t="s">
        <v>255</v>
      </c>
      <c r="I472" s="377" t="s">
        <v>7</v>
      </c>
      <c r="J472" s="214"/>
      <c r="K472" s="214"/>
      <c r="L472" s="214"/>
      <c r="M472" s="214"/>
      <c r="N472" s="214"/>
      <c r="O472" s="214"/>
      <c r="P472" s="214"/>
      <c r="Q472" s="214"/>
      <c r="R472" s="214"/>
      <c r="S472" s="214"/>
      <c r="T472" s="214"/>
      <c r="U472" s="214"/>
      <c r="V472" s="214"/>
      <c r="W472" s="214"/>
      <c r="X472" s="214"/>
      <c r="Y472" s="214"/>
      <c r="Z472" s="214"/>
      <c r="AA472" s="214"/>
      <c r="AB472" s="214"/>
      <c r="AC472" s="214"/>
    </row>
    <row r="473">
      <c r="A473" s="242" t="s">
        <v>440</v>
      </c>
      <c r="B473" s="243" t="s">
        <v>441</v>
      </c>
      <c r="C473" s="394">
        <f>sum(E473:E476)</f>
        <v>10</v>
      </c>
      <c r="D473" s="521" t="s">
        <v>143</v>
      </c>
      <c r="E473" s="521">
        <v>5.0</v>
      </c>
      <c r="F473" s="525"/>
      <c r="G473" s="525"/>
      <c r="H473" s="523" t="s">
        <v>145</v>
      </c>
      <c r="I473" s="524" t="s">
        <v>144</v>
      </c>
      <c r="J473" s="214"/>
      <c r="K473" s="214"/>
      <c r="L473" s="214"/>
      <c r="M473" s="214"/>
      <c r="N473" s="214"/>
      <c r="O473" s="214"/>
      <c r="P473" s="214"/>
      <c r="Q473" s="214"/>
      <c r="R473" s="214"/>
      <c r="S473" s="214"/>
      <c r="T473" s="214"/>
      <c r="U473" s="214"/>
      <c r="V473" s="214"/>
      <c r="W473" s="214"/>
      <c r="X473" s="214"/>
      <c r="Y473" s="214"/>
      <c r="Z473" s="214"/>
      <c r="AA473" s="214"/>
      <c r="AB473" s="214"/>
      <c r="AC473" s="214"/>
    </row>
    <row r="474">
      <c r="A474" s="222"/>
      <c r="D474" s="271" t="s">
        <v>162</v>
      </c>
      <c r="E474" s="271">
        <v>2.0</v>
      </c>
      <c r="F474" s="272"/>
      <c r="G474" s="272"/>
      <c r="H474" s="273" t="s">
        <v>164</v>
      </c>
      <c r="I474" s="393" t="s">
        <v>163</v>
      </c>
      <c r="J474" s="214"/>
      <c r="K474" s="214"/>
      <c r="L474" s="214"/>
      <c r="M474" s="214"/>
      <c r="N474" s="214"/>
      <c r="O474" s="214"/>
      <c r="P474" s="214"/>
      <c r="Q474" s="214"/>
      <c r="R474" s="214"/>
      <c r="S474" s="214"/>
      <c r="T474" s="214"/>
      <c r="U474" s="214"/>
      <c r="V474" s="214"/>
      <c r="W474" s="214"/>
      <c r="X474" s="214"/>
      <c r="Y474" s="214"/>
      <c r="Z474" s="214"/>
      <c r="AA474" s="214"/>
      <c r="AB474" s="214"/>
      <c r="AC474" s="214"/>
    </row>
    <row r="475">
      <c r="A475" s="222"/>
      <c r="D475" s="286" t="s">
        <v>76</v>
      </c>
      <c r="E475" s="286">
        <v>2.0</v>
      </c>
      <c r="F475" s="318"/>
      <c r="G475" s="261"/>
      <c r="H475" s="262" t="s">
        <v>77</v>
      </c>
      <c r="I475" s="526" t="s">
        <v>65</v>
      </c>
      <c r="J475" s="214"/>
      <c r="K475" s="214"/>
      <c r="L475" s="214"/>
      <c r="M475" s="214"/>
      <c r="N475" s="214"/>
      <c r="O475" s="214"/>
      <c r="P475" s="214"/>
      <c r="Q475" s="214"/>
      <c r="R475" s="214"/>
      <c r="S475" s="214"/>
      <c r="T475" s="214"/>
      <c r="U475" s="214"/>
      <c r="V475" s="214"/>
      <c r="W475" s="214"/>
      <c r="X475" s="214"/>
      <c r="Y475" s="214"/>
      <c r="Z475" s="214"/>
      <c r="AA475" s="214"/>
      <c r="AB475" s="214"/>
      <c r="AC475" s="214"/>
    </row>
    <row r="476">
      <c r="A476" s="236"/>
      <c r="B476" s="237"/>
      <c r="C476" s="237"/>
      <c r="D476" s="287" t="s">
        <v>239</v>
      </c>
      <c r="E476" s="287">
        <v>1.0</v>
      </c>
      <c r="F476" s="404"/>
      <c r="G476" s="404"/>
      <c r="H476" s="289" t="s">
        <v>115</v>
      </c>
      <c r="I476" s="461" t="s">
        <v>105</v>
      </c>
      <c r="J476" s="214"/>
      <c r="K476" s="214"/>
      <c r="L476" s="214"/>
      <c r="M476" s="214"/>
      <c r="N476" s="214"/>
      <c r="O476" s="214"/>
      <c r="P476" s="214"/>
      <c r="Q476" s="214"/>
      <c r="R476" s="214"/>
      <c r="S476" s="214"/>
      <c r="T476" s="214"/>
      <c r="U476" s="214"/>
      <c r="V476" s="214"/>
      <c r="W476" s="214"/>
      <c r="X476" s="214"/>
      <c r="Y476" s="214"/>
      <c r="Z476" s="214"/>
      <c r="AA476" s="214"/>
      <c r="AB476" s="214"/>
      <c r="AC476" s="214"/>
    </row>
    <row r="477">
      <c r="A477" s="215" t="s">
        <v>442</v>
      </c>
      <c r="B477" s="243" t="s">
        <v>443</v>
      </c>
      <c r="C477" s="394">
        <f>sum(E477:E481)</f>
        <v>10</v>
      </c>
      <c r="D477" s="335" t="s">
        <v>162</v>
      </c>
      <c r="E477" s="335">
        <v>2.0</v>
      </c>
      <c r="F477" s="354"/>
      <c r="G477" s="354"/>
      <c r="H477" s="337" t="s">
        <v>164</v>
      </c>
      <c r="I477" s="355" t="s">
        <v>163</v>
      </c>
      <c r="J477" s="527"/>
      <c r="K477" s="527"/>
      <c r="L477" s="527"/>
      <c r="M477" s="527"/>
      <c r="N477" s="527"/>
      <c r="O477" s="527"/>
      <c r="P477" s="527"/>
      <c r="Q477" s="527"/>
      <c r="R477" s="527"/>
      <c r="S477" s="527"/>
      <c r="T477" s="527"/>
      <c r="U477" s="527"/>
      <c r="V477" s="527"/>
      <c r="W477" s="527"/>
      <c r="X477" s="527"/>
      <c r="Y477" s="527"/>
      <c r="Z477" s="527"/>
      <c r="AA477" s="527"/>
      <c r="AB477" s="527"/>
      <c r="AC477" s="527"/>
    </row>
    <row r="478">
      <c r="A478" s="222"/>
      <c r="D478" s="227" t="s">
        <v>11</v>
      </c>
      <c r="E478" s="227">
        <v>2.0</v>
      </c>
      <c r="F478" s="327"/>
      <c r="G478" s="228"/>
      <c r="H478" s="229" t="s">
        <v>294</v>
      </c>
      <c r="I478" s="230" t="s">
        <v>7</v>
      </c>
      <c r="J478" s="527"/>
      <c r="K478" s="527"/>
      <c r="L478" s="527"/>
      <c r="M478" s="527"/>
      <c r="N478" s="527"/>
      <c r="O478" s="527"/>
      <c r="P478" s="527"/>
      <c r="Q478" s="527"/>
      <c r="R478" s="527"/>
      <c r="S478" s="527"/>
      <c r="T478" s="527"/>
      <c r="U478" s="527"/>
      <c r="V478" s="527"/>
      <c r="W478" s="527"/>
      <c r="X478" s="527"/>
      <c r="Y478" s="527"/>
      <c r="Z478" s="527"/>
      <c r="AA478" s="527"/>
      <c r="AB478" s="527"/>
      <c r="AC478" s="527"/>
    </row>
    <row r="479">
      <c r="A479" s="222"/>
      <c r="D479" s="279" t="s">
        <v>61</v>
      </c>
      <c r="E479" s="279">
        <v>2.0</v>
      </c>
      <c r="F479" s="280"/>
      <c r="G479" s="280"/>
      <c r="H479" s="281" t="s">
        <v>62</v>
      </c>
      <c r="I479" s="528" t="s">
        <v>43</v>
      </c>
      <c r="J479" s="527"/>
      <c r="K479" s="527"/>
      <c r="L479" s="527"/>
      <c r="M479" s="527"/>
      <c r="N479" s="527"/>
      <c r="O479" s="527"/>
      <c r="P479" s="527"/>
      <c r="Q479" s="527"/>
      <c r="R479" s="527"/>
      <c r="S479" s="527"/>
      <c r="T479" s="527"/>
      <c r="U479" s="527"/>
      <c r="V479" s="527"/>
      <c r="W479" s="527"/>
      <c r="X479" s="527"/>
      <c r="Y479" s="527"/>
      <c r="Z479" s="527"/>
      <c r="AA479" s="527"/>
      <c r="AB479" s="527"/>
      <c r="AC479" s="527"/>
    </row>
    <row r="480">
      <c r="A480" s="222"/>
      <c r="D480" s="286" t="s">
        <v>88</v>
      </c>
      <c r="E480" s="286">
        <v>1.0</v>
      </c>
      <c r="F480" s="261"/>
      <c r="G480" s="261"/>
      <c r="H480" s="414" t="s">
        <v>89</v>
      </c>
      <c r="I480" s="263" t="s">
        <v>65</v>
      </c>
      <c r="J480" s="527"/>
      <c r="K480" s="527"/>
      <c r="L480" s="527"/>
      <c r="M480" s="527"/>
      <c r="N480" s="527"/>
      <c r="O480" s="527"/>
      <c r="P480" s="527"/>
      <c r="Q480" s="527"/>
      <c r="R480" s="527"/>
      <c r="S480" s="527"/>
      <c r="T480" s="527"/>
      <c r="U480" s="527"/>
      <c r="V480" s="527"/>
      <c r="W480" s="527"/>
      <c r="X480" s="527"/>
      <c r="Y480" s="527"/>
      <c r="Z480" s="527"/>
      <c r="AA480" s="527"/>
      <c r="AB480" s="527"/>
      <c r="AC480" s="527"/>
    </row>
    <row r="481">
      <c r="A481" s="236"/>
      <c r="B481" s="237"/>
      <c r="C481" s="237"/>
      <c r="D481" s="223" t="s">
        <v>182</v>
      </c>
      <c r="E481" s="223">
        <v>3.0</v>
      </c>
      <c r="F481" s="224"/>
      <c r="G481" s="224"/>
      <c r="H481" s="225" t="s">
        <v>183</v>
      </c>
      <c r="I481" s="226" t="s">
        <v>176</v>
      </c>
      <c r="J481" s="527"/>
      <c r="K481" s="527"/>
      <c r="L481" s="527"/>
      <c r="M481" s="527"/>
      <c r="N481" s="527"/>
      <c r="O481" s="527"/>
      <c r="P481" s="527"/>
      <c r="Q481" s="527"/>
      <c r="R481" s="527"/>
      <c r="S481" s="527"/>
      <c r="T481" s="527"/>
      <c r="U481" s="527"/>
      <c r="V481" s="527"/>
      <c r="W481" s="527"/>
      <c r="X481" s="527"/>
      <c r="Y481" s="527"/>
      <c r="Z481" s="527"/>
      <c r="AA481" s="527"/>
      <c r="AB481" s="527"/>
      <c r="AC481" s="527"/>
    </row>
    <row r="482" ht="17.25" customHeight="1">
      <c r="A482" s="349" t="s">
        <v>444</v>
      </c>
      <c r="B482" s="529" t="s">
        <v>445</v>
      </c>
      <c r="C482" s="394">
        <f>sum(E482:E485)</f>
        <v>10</v>
      </c>
      <c r="D482" s="356" t="s">
        <v>254</v>
      </c>
      <c r="E482" s="356">
        <v>2.0</v>
      </c>
      <c r="F482" s="357"/>
      <c r="G482" s="357"/>
      <c r="H482" s="447" t="s">
        <v>255</v>
      </c>
      <c r="I482" s="359" t="s">
        <v>7</v>
      </c>
    </row>
    <row r="483">
      <c r="A483" s="222"/>
      <c r="D483" s="223" t="s">
        <v>182</v>
      </c>
      <c r="E483" s="223">
        <v>3.0</v>
      </c>
      <c r="F483" s="224"/>
      <c r="G483" s="224"/>
      <c r="H483" s="225" t="s">
        <v>183</v>
      </c>
      <c r="I483" s="226" t="s">
        <v>176</v>
      </c>
    </row>
    <row r="484">
      <c r="A484" s="222"/>
      <c r="D484" s="231" t="s">
        <v>223</v>
      </c>
      <c r="E484" s="232">
        <v>2.0</v>
      </c>
      <c r="F484" s="233"/>
      <c r="G484" s="233"/>
      <c r="H484" s="234" t="s">
        <v>224</v>
      </c>
      <c r="I484" s="235" t="s">
        <v>105</v>
      </c>
    </row>
    <row r="485">
      <c r="A485" s="236"/>
      <c r="B485" s="237"/>
      <c r="C485" s="237"/>
      <c r="D485" s="238" t="s">
        <v>64</v>
      </c>
      <c r="E485" s="238">
        <v>3.0</v>
      </c>
      <c r="F485" s="239"/>
      <c r="G485" s="239"/>
      <c r="H485" s="446" t="s">
        <v>66</v>
      </c>
      <c r="I485" s="241" t="s">
        <v>65</v>
      </c>
    </row>
    <row r="486">
      <c r="A486" s="530" t="s">
        <v>446</v>
      </c>
      <c r="B486" s="531" t="s">
        <v>447</v>
      </c>
      <c r="C486" s="532">
        <f>sum(E486:E489)</f>
        <v>10</v>
      </c>
      <c r="D486" s="382" t="s">
        <v>306</v>
      </c>
      <c r="E486" s="382">
        <v>3.0</v>
      </c>
      <c r="F486" s="384"/>
      <c r="G486" s="384"/>
      <c r="H486" s="385" t="s">
        <v>31</v>
      </c>
      <c r="I486" s="429" t="s">
        <v>30</v>
      </c>
    </row>
    <row r="487">
      <c r="A487" s="222"/>
      <c r="D487" s="275" t="s">
        <v>97</v>
      </c>
      <c r="E487" s="275">
        <v>2.0</v>
      </c>
      <c r="F487" s="276"/>
      <c r="G487" s="276"/>
      <c r="H487" s="277" t="s">
        <v>99</v>
      </c>
      <c r="I487" s="278" t="s">
        <v>98</v>
      </c>
    </row>
    <row r="488">
      <c r="A488" s="222"/>
      <c r="D488" s="271" t="s">
        <v>162</v>
      </c>
      <c r="E488" s="271">
        <v>2.0</v>
      </c>
      <c r="F488" s="317"/>
      <c r="G488" s="272"/>
      <c r="H488" s="273" t="s">
        <v>164</v>
      </c>
      <c r="I488" s="274" t="s">
        <v>163</v>
      </c>
    </row>
    <row r="489">
      <c r="A489" s="236"/>
      <c r="B489" s="237"/>
      <c r="C489" s="237"/>
      <c r="D489" s="345" t="s">
        <v>182</v>
      </c>
      <c r="E489" s="345">
        <v>3.0</v>
      </c>
      <c r="F489" s="401"/>
      <c r="G489" s="401"/>
      <c r="H489" s="347" t="s">
        <v>183</v>
      </c>
      <c r="I489" s="533" t="s">
        <v>176</v>
      </c>
    </row>
    <row r="490">
      <c r="A490" s="534" t="s">
        <v>448</v>
      </c>
      <c r="B490" s="529" t="s">
        <v>388</v>
      </c>
      <c r="C490" s="416">
        <f>sum(E490:E496)</f>
        <v>10</v>
      </c>
      <c r="D490" s="426" t="s">
        <v>22</v>
      </c>
      <c r="E490" s="426">
        <v>2.0</v>
      </c>
      <c r="F490" s="396"/>
      <c r="G490" s="396"/>
      <c r="H490" s="427" t="s">
        <v>265</v>
      </c>
      <c r="I490" s="428" t="s">
        <v>23</v>
      </c>
    </row>
    <row r="491">
      <c r="A491" s="222"/>
      <c r="D491" s="434" t="s">
        <v>36</v>
      </c>
      <c r="E491" s="434">
        <v>1.0</v>
      </c>
      <c r="F491" s="384"/>
      <c r="G491" s="384"/>
      <c r="H491" s="435" t="s">
        <v>37</v>
      </c>
      <c r="I491" s="429" t="s">
        <v>30</v>
      </c>
    </row>
    <row r="492">
      <c r="A492" s="222"/>
      <c r="D492" s="260" t="s">
        <v>229</v>
      </c>
      <c r="E492" s="260">
        <v>2.0</v>
      </c>
      <c r="F492" s="261"/>
      <c r="G492" s="261"/>
      <c r="H492" s="262" t="s">
        <v>69</v>
      </c>
      <c r="I492" s="263" t="s">
        <v>65</v>
      </c>
    </row>
    <row r="493">
      <c r="A493" s="222"/>
      <c r="D493" s="232" t="s">
        <v>239</v>
      </c>
      <c r="E493" s="232">
        <v>1.0</v>
      </c>
      <c r="F493" s="233"/>
      <c r="G493" s="233"/>
      <c r="H493" s="234" t="s">
        <v>115</v>
      </c>
      <c r="I493" s="235" t="s">
        <v>105</v>
      </c>
    </row>
    <row r="494">
      <c r="A494" s="222"/>
      <c r="D494" s="232" t="s">
        <v>134</v>
      </c>
      <c r="E494" s="232">
        <v>1.0</v>
      </c>
      <c r="F494" s="233"/>
      <c r="G494" s="233"/>
      <c r="H494" s="234" t="s">
        <v>135</v>
      </c>
      <c r="I494" s="235" t="s">
        <v>105</v>
      </c>
    </row>
    <row r="495">
      <c r="A495" s="222"/>
      <c r="D495" s="299" t="s">
        <v>159</v>
      </c>
      <c r="E495" s="299">
        <v>1.0</v>
      </c>
      <c r="F495" s="251"/>
      <c r="G495" s="251"/>
      <c r="H495" s="312" t="s">
        <v>145</v>
      </c>
      <c r="I495" s="253" t="s">
        <v>144</v>
      </c>
    </row>
    <row r="496">
      <c r="A496" s="236"/>
      <c r="B496" s="237"/>
      <c r="C496" s="237"/>
      <c r="D496" s="264" t="s">
        <v>162</v>
      </c>
      <c r="E496" s="264">
        <v>2.0</v>
      </c>
      <c r="F496" s="479"/>
      <c r="G496" s="479"/>
      <c r="H496" s="266" t="s">
        <v>164</v>
      </c>
      <c r="I496" s="480" t="s">
        <v>163</v>
      </c>
    </row>
    <row r="497">
      <c r="A497" s="242" t="s">
        <v>449</v>
      </c>
      <c r="B497" s="243" t="s">
        <v>251</v>
      </c>
      <c r="C497" s="244">
        <f>sum(E497:E501)</f>
        <v>10</v>
      </c>
      <c r="D497" s="535" t="s">
        <v>156</v>
      </c>
      <c r="E497" s="535">
        <v>2.0</v>
      </c>
      <c r="F497" s="522"/>
      <c r="G497" s="522"/>
      <c r="H497" s="536" t="s">
        <v>157</v>
      </c>
      <c r="I497" s="524" t="s">
        <v>144</v>
      </c>
      <c r="J497" s="214"/>
      <c r="K497" s="214"/>
      <c r="L497" s="214"/>
      <c r="M497" s="214"/>
      <c r="N497" s="214"/>
      <c r="O497" s="214"/>
      <c r="P497" s="214"/>
      <c r="Q497" s="214"/>
      <c r="R497" s="214"/>
      <c r="S497" s="214"/>
      <c r="T497" s="214"/>
      <c r="U497" s="214"/>
      <c r="V497" s="214"/>
      <c r="W497" s="214"/>
      <c r="X497" s="214"/>
      <c r="Y497" s="214"/>
      <c r="Z497" s="214"/>
      <c r="AA497" s="214"/>
      <c r="AB497" s="214"/>
      <c r="AC497" s="214"/>
    </row>
    <row r="498">
      <c r="A498" s="222"/>
      <c r="D498" s="271" t="s">
        <v>166</v>
      </c>
      <c r="E498" s="271">
        <v>2.0</v>
      </c>
      <c r="F498" s="272"/>
      <c r="G498" s="272"/>
      <c r="H498" s="273" t="s">
        <v>167</v>
      </c>
      <c r="I498" s="274" t="s">
        <v>163</v>
      </c>
      <c r="J498" s="214"/>
      <c r="K498" s="214"/>
      <c r="L498" s="214"/>
      <c r="M498" s="214"/>
      <c r="N498" s="214"/>
      <c r="O498" s="214"/>
      <c r="P498" s="214"/>
      <c r="Q498" s="214"/>
      <c r="R498" s="214"/>
      <c r="S498" s="214"/>
      <c r="T498" s="214"/>
      <c r="U498" s="214"/>
      <c r="V498" s="214"/>
      <c r="W498" s="214"/>
      <c r="X498" s="214"/>
      <c r="Y498" s="214"/>
      <c r="Z498" s="214"/>
      <c r="AA498" s="214"/>
      <c r="AB498" s="214"/>
      <c r="AC498" s="214"/>
    </row>
    <row r="499">
      <c r="A499" s="222"/>
      <c r="D499" s="223" t="s">
        <v>175</v>
      </c>
      <c r="E499" s="425">
        <v>4.0</v>
      </c>
      <c r="F499" s="342"/>
      <c r="G499" s="342"/>
      <c r="H499" s="225" t="s">
        <v>232</v>
      </c>
      <c r="I499" s="344" t="s">
        <v>176</v>
      </c>
      <c r="J499" s="214"/>
      <c r="K499" s="214"/>
      <c r="L499" s="214"/>
      <c r="M499" s="214"/>
      <c r="N499" s="214"/>
      <c r="O499" s="214"/>
      <c r="P499" s="214"/>
      <c r="Q499" s="214"/>
      <c r="R499" s="214"/>
      <c r="S499" s="214"/>
      <c r="T499" s="214"/>
      <c r="U499" s="214"/>
      <c r="V499" s="214"/>
      <c r="W499" s="214"/>
      <c r="X499" s="214"/>
      <c r="Y499" s="214"/>
      <c r="Z499" s="214"/>
      <c r="AA499" s="214"/>
      <c r="AB499" s="214"/>
      <c r="AC499" s="214"/>
    </row>
    <row r="500">
      <c r="A500" s="222"/>
      <c r="D500" s="232" t="s">
        <v>134</v>
      </c>
      <c r="E500" s="232">
        <v>1.0</v>
      </c>
      <c r="F500" s="233"/>
      <c r="G500" s="233"/>
      <c r="H500" s="234" t="s">
        <v>135</v>
      </c>
      <c r="I500" s="235" t="s">
        <v>105</v>
      </c>
      <c r="J500" s="214"/>
      <c r="K500" s="214"/>
      <c r="L500" s="214"/>
      <c r="M500" s="214"/>
      <c r="N500" s="214"/>
      <c r="O500" s="214"/>
      <c r="P500" s="214"/>
      <c r="Q500" s="214"/>
      <c r="R500" s="214"/>
      <c r="S500" s="214"/>
      <c r="T500" s="214"/>
      <c r="U500" s="214"/>
      <c r="V500" s="214"/>
      <c r="W500" s="214"/>
      <c r="X500" s="214"/>
      <c r="Y500" s="214"/>
      <c r="Z500" s="214"/>
      <c r="AA500" s="214"/>
      <c r="AB500" s="214"/>
      <c r="AC500" s="214"/>
    </row>
    <row r="501">
      <c r="A501" s="236"/>
      <c r="B501" s="237"/>
      <c r="C501" s="237"/>
      <c r="D501" s="287" t="s">
        <v>111</v>
      </c>
      <c r="E501" s="287">
        <v>1.0</v>
      </c>
      <c r="F501" s="404"/>
      <c r="G501" s="404"/>
      <c r="H501" s="289" t="s">
        <v>112</v>
      </c>
      <c r="I501" s="537" t="s">
        <v>105</v>
      </c>
      <c r="J501" s="214"/>
      <c r="K501" s="214"/>
      <c r="L501" s="214"/>
      <c r="M501" s="214"/>
      <c r="N501" s="214"/>
      <c r="O501" s="214"/>
      <c r="P501" s="214"/>
      <c r="Q501" s="214"/>
      <c r="R501" s="214"/>
      <c r="S501" s="214"/>
      <c r="T501" s="214"/>
      <c r="U501" s="214"/>
      <c r="V501" s="214"/>
      <c r="W501" s="214"/>
      <c r="X501" s="214"/>
      <c r="Y501" s="214"/>
      <c r="Z501" s="214"/>
      <c r="AA501" s="214"/>
      <c r="AB501" s="214"/>
      <c r="AC501" s="214"/>
    </row>
    <row r="502">
      <c r="A502" s="242" t="s">
        <v>450</v>
      </c>
      <c r="B502" s="243" t="s">
        <v>310</v>
      </c>
      <c r="C502" s="244">
        <f>sum(E502:E505)</f>
        <v>10</v>
      </c>
      <c r="D502" s="292" t="s">
        <v>70</v>
      </c>
      <c r="E502" s="292">
        <v>2.0</v>
      </c>
      <c r="F502" s="293"/>
      <c r="G502" s="293"/>
      <c r="H502" s="294" t="s">
        <v>237</v>
      </c>
      <c r="I502" s="457" t="s">
        <v>65</v>
      </c>
      <c r="J502" s="214"/>
      <c r="K502" s="214"/>
      <c r="L502" s="214"/>
      <c r="M502" s="214"/>
      <c r="N502" s="214"/>
      <c r="O502" s="214"/>
      <c r="P502" s="214"/>
      <c r="Q502" s="214"/>
      <c r="R502" s="214"/>
      <c r="S502" s="214"/>
      <c r="T502" s="214"/>
      <c r="U502" s="214"/>
      <c r="V502" s="214"/>
      <c r="W502" s="214"/>
      <c r="X502" s="214"/>
      <c r="Y502" s="214"/>
      <c r="Z502" s="214"/>
      <c r="AA502" s="214"/>
      <c r="AB502" s="214"/>
      <c r="AC502" s="214"/>
    </row>
    <row r="503">
      <c r="A503" s="222"/>
      <c r="D503" s="333" t="s">
        <v>101</v>
      </c>
      <c r="E503" s="333">
        <v>2.0</v>
      </c>
      <c r="F503" s="296"/>
      <c r="G503" s="296"/>
      <c r="H503" s="334" t="s">
        <v>102</v>
      </c>
      <c r="I503" s="297" t="s">
        <v>98</v>
      </c>
      <c r="J503" s="214"/>
      <c r="K503" s="214"/>
      <c r="L503" s="214"/>
      <c r="M503" s="214"/>
      <c r="N503" s="214"/>
      <c r="O503" s="214"/>
      <c r="P503" s="214"/>
      <c r="Q503" s="214"/>
      <c r="R503" s="214"/>
      <c r="S503" s="214"/>
      <c r="T503" s="214"/>
      <c r="U503" s="214"/>
      <c r="V503" s="214"/>
      <c r="W503" s="214"/>
      <c r="X503" s="214"/>
      <c r="Y503" s="214"/>
      <c r="Z503" s="214"/>
      <c r="AA503" s="214"/>
      <c r="AB503" s="214"/>
      <c r="AC503" s="214"/>
    </row>
    <row r="504">
      <c r="A504" s="222"/>
      <c r="D504" s="271" t="s">
        <v>162</v>
      </c>
      <c r="E504" s="271">
        <v>2.0</v>
      </c>
      <c r="F504" s="317"/>
      <c r="G504" s="272"/>
      <c r="H504" s="273" t="s">
        <v>164</v>
      </c>
      <c r="I504" s="274" t="s">
        <v>163</v>
      </c>
      <c r="J504" s="214"/>
      <c r="K504" s="214"/>
      <c r="L504" s="214"/>
      <c r="M504" s="214"/>
      <c r="N504" s="214"/>
      <c r="O504" s="214"/>
      <c r="P504" s="214"/>
      <c r="Q504" s="214"/>
      <c r="R504" s="214"/>
      <c r="S504" s="214"/>
      <c r="T504" s="214"/>
      <c r="U504" s="214"/>
      <c r="V504" s="214"/>
      <c r="W504" s="214"/>
      <c r="X504" s="214"/>
      <c r="Y504" s="214"/>
      <c r="Z504" s="214"/>
      <c r="AA504" s="214"/>
      <c r="AB504" s="214"/>
      <c r="AC504" s="214"/>
    </row>
    <row r="505">
      <c r="A505" s="236"/>
      <c r="B505" s="237"/>
      <c r="C505" s="237"/>
      <c r="D505" s="345" t="s">
        <v>175</v>
      </c>
      <c r="E505" s="400">
        <v>4.0</v>
      </c>
      <c r="F505" s="346"/>
      <c r="G505" s="346"/>
      <c r="H505" s="347" t="s">
        <v>232</v>
      </c>
      <c r="I505" s="348" t="s">
        <v>176</v>
      </c>
      <c r="J505" s="214"/>
      <c r="K505" s="214"/>
      <c r="L505" s="214"/>
      <c r="M505" s="214"/>
      <c r="N505" s="214"/>
      <c r="O505" s="214"/>
      <c r="P505" s="214"/>
      <c r="Q505" s="214"/>
      <c r="R505" s="214"/>
      <c r="S505" s="214"/>
      <c r="T505" s="214"/>
      <c r="U505" s="214"/>
      <c r="V505" s="214"/>
      <c r="W505" s="214"/>
      <c r="X505" s="214"/>
      <c r="Y505" s="214"/>
      <c r="Z505" s="214"/>
      <c r="AA505" s="214"/>
      <c r="AB505" s="214"/>
      <c r="AC505" s="214"/>
    </row>
    <row r="506">
      <c r="A506" s="242" t="s">
        <v>451</v>
      </c>
      <c r="B506" s="243" t="s">
        <v>452</v>
      </c>
      <c r="C506" s="244">
        <f>sum(E506:E509)</f>
        <v>10</v>
      </c>
      <c r="D506" s="218" t="s">
        <v>175</v>
      </c>
      <c r="E506" s="269">
        <v>4.0</v>
      </c>
      <c r="F506" s="270"/>
      <c r="G506" s="270"/>
      <c r="H506" s="220" t="s">
        <v>232</v>
      </c>
      <c r="I506" s="221" t="s">
        <v>176</v>
      </c>
      <c r="J506" s="214"/>
      <c r="K506" s="214"/>
      <c r="L506" s="214"/>
      <c r="M506" s="214"/>
      <c r="N506" s="214"/>
      <c r="O506" s="214"/>
      <c r="P506" s="214"/>
      <c r="Q506" s="214"/>
      <c r="R506" s="214"/>
      <c r="S506" s="214"/>
      <c r="T506" s="214"/>
      <c r="U506" s="214"/>
      <c r="V506" s="214"/>
      <c r="W506" s="214"/>
      <c r="X506" s="214"/>
      <c r="Y506" s="214"/>
      <c r="Z506" s="214"/>
      <c r="AA506" s="214"/>
      <c r="AB506" s="214"/>
      <c r="AC506" s="214"/>
    </row>
    <row r="507">
      <c r="A507" s="222"/>
      <c r="D507" s="271" t="s">
        <v>172</v>
      </c>
      <c r="E507" s="271">
        <v>1.0</v>
      </c>
      <c r="F507" s="272"/>
      <c r="G507" s="272"/>
      <c r="H507" s="273" t="s">
        <v>389</v>
      </c>
      <c r="I507" s="274" t="s">
        <v>163</v>
      </c>
      <c r="J507" s="214"/>
      <c r="K507" s="214"/>
      <c r="L507" s="214"/>
      <c r="M507" s="214"/>
      <c r="N507" s="214"/>
      <c r="O507" s="214"/>
      <c r="P507" s="214"/>
      <c r="Q507" s="214"/>
      <c r="R507" s="214"/>
      <c r="S507" s="214"/>
      <c r="T507" s="214"/>
      <c r="U507" s="214"/>
      <c r="V507" s="214"/>
      <c r="W507" s="214"/>
      <c r="X507" s="214"/>
      <c r="Y507" s="214"/>
      <c r="Z507" s="214"/>
      <c r="AA507" s="214"/>
      <c r="AB507" s="214"/>
      <c r="AC507" s="214"/>
    </row>
    <row r="508">
      <c r="A508" s="222"/>
      <c r="D508" s="249" t="s">
        <v>156</v>
      </c>
      <c r="E508" s="249">
        <v>2.0</v>
      </c>
      <c r="F508" s="251"/>
      <c r="G508" s="251"/>
      <c r="H508" s="252" t="s">
        <v>157</v>
      </c>
      <c r="I508" s="253" t="s">
        <v>144</v>
      </c>
      <c r="J508" s="214"/>
      <c r="K508" s="214"/>
      <c r="L508" s="214"/>
      <c r="M508" s="214"/>
      <c r="N508" s="214"/>
      <c r="O508" s="214"/>
      <c r="P508" s="214"/>
      <c r="Q508" s="214"/>
      <c r="R508" s="214"/>
      <c r="S508" s="214"/>
      <c r="T508" s="214"/>
      <c r="U508" s="214"/>
      <c r="V508" s="214"/>
      <c r="W508" s="214"/>
      <c r="X508" s="214"/>
      <c r="Y508" s="214"/>
      <c r="Z508" s="214"/>
      <c r="AA508" s="214"/>
      <c r="AB508" s="214"/>
      <c r="AC508" s="214"/>
    </row>
    <row r="509">
      <c r="A509" s="236"/>
      <c r="B509" s="237"/>
      <c r="C509" s="237"/>
      <c r="D509" s="238" t="s">
        <v>64</v>
      </c>
      <c r="E509" s="238">
        <v>3.0</v>
      </c>
      <c r="F509" s="239"/>
      <c r="G509" s="239"/>
      <c r="H509" s="262" t="s">
        <v>66</v>
      </c>
      <c r="I509" s="241" t="s">
        <v>65</v>
      </c>
      <c r="J509" s="214"/>
      <c r="K509" s="214"/>
      <c r="L509" s="214"/>
      <c r="M509" s="214"/>
      <c r="N509" s="214"/>
      <c r="O509" s="214"/>
      <c r="P509" s="214"/>
      <c r="Q509" s="214"/>
      <c r="R509" s="214"/>
      <c r="S509" s="214"/>
      <c r="T509" s="214"/>
      <c r="U509" s="214"/>
      <c r="V509" s="214"/>
      <c r="W509" s="214"/>
      <c r="X509" s="214"/>
      <c r="Y509" s="214"/>
      <c r="Z509" s="214"/>
      <c r="AA509" s="214"/>
      <c r="AB509" s="214"/>
      <c r="AC509" s="214"/>
    </row>
    <row r="510">
      <c r="A510" s="242" t="s">
        <v>453</v>
      </c>
      <c r="B510" s="243" t="s">
        <v>454</v>
      </c>
      <c r="C510" s="244">
        <f>sum(E510:E513)</f>
        <v>10</v>
      </c>
      <c r="D510" s="521" t="s">
        <v>156</v>
      </c>
      <c r="E510" s="521">
        <v>2.0</v>
      </c>
      <c r="F510" s="525"/>
      <c r="G510" s="525"/>
      <c r="H510" s="523" t="s">
        <v>157</v>
      </c>
      <c r="I510" s="538" t="s">
        <v>144</v>
      </c>
      <c r="J510" s="214"/>
      <c r="K510" s="214"/>
      <c r="L510" s="214"/>
      <c r="M510" s="214"/>
      <c r="N510" s="214"/>
      <c r="O510" s="214"/>
      <c r="P510" s="214"/>
      <c r="Q510" s="214"/>
      <c r="R510" s="214"/>
      <c r="S510" s="214"/>
      <c r="T510" s="214"/>
      <c r="U510" s="214"/>
      <c r="V510" s="214"/>
      <c r="W510" s="214"/>
      <c r="X510" s="214"/>
      <c r="Y510" s="214"/>
      <c r="Z510" s="214"/>
      <c r="AA510" s="214"/>
      <c r="AB510" s="214"/>
      <c r="AC510" s="214"/>
    </row>
    <row r="511">
      <c r="A511" s="222"/>
      <c r="D511" s="223" t="s">
        <v>175</v>
      </c>
      <c r="E511" s="425">
        <v>4.0</v>
      </c>
      <c r="F511" s="342"/>
      <c r="G511" s="342"/>
      <c r="H511" s="225" t="s">
        <v>232</v>
      </c>
      <c r="I511" s="226" t="s">
        <v>176</v>
      </c>
      <c r="J511" s="214"/>
      <c r="K511" s="214"/>
      <c r="L511" s="214"/>
      <c r="M511" s="214"/>
      <c r="N511" s="214"/>
      <c r="O511" s="214"/>
      <c r="P511" s="214"/>
      <c r="Q511" s="214"/>
      <c r="R511" s="214"/>
      <c r="S511" s="214"/>
      <c r="T511" s="214"/>
      <c r="U511" s="214"/>
      <c r="V511" s="214"/>
      <c r="W511" s="214"/>
      <c r="X511" s="214"/>
      <c r="Y511" s="214"/>
      <c r="Z511" s="214"/>
      <c r="AA511" s="214"/>
      <c r="AB511" s="214"/>
      <c r="AC511" s="214"/>
    </row>
    <row r="512">
      <c r="A512" s="222"/>
      <c r="D512" s="271" t="s">
        <v>166</v>
      </c>
      <c r="E512" s="271">
        <v>2.0</v>
      </c>
      <c r="F512" s="317"/>
      <c r="G512" s="317"/>
      <c r="H512" s="273" t="s">
        <v>167</v>
      </c>
      <c r="I512" s="393" t="s">
        <v>163</v>
      </c>
      <c r="J512" s="214"/>
      <c r="K512" s="214"/>
      <c r="L512" s="214"/>
      <c r="M512" s="214"/>
      <c r="N512" s="214"/>
      <c r="O512" s="214"/>
      <c r="P512" s="214"/>
      <c r="Q512" s="214"/>
      <c r="R512" s="214"/>
      <c r="S512" s="214"/>
      <c r="T512" s="214"/>
      <c r="U512" s="214"/>
      <c r="V512" s="214"/>
      <c r="W512" s="214"/>
      <c r="X512" s="214"/>
      <c r="Y512" s="214"/>
      <c r="Z512" s="214"/>
      <c r="AA512" s="214"/>
      <c r="AB512" s="214"/>
      <c r="AC512" s="214"/>
    </row>
    <row r="513">
      <c r="A513" s="236"/>
      <c r="B513" s="237"/>
      <c r="C513" s="237"/>
      <c r="D513" s="418" t="s">
        <v>22</v>
      </c>
      <c r="E513" s="418">
        <v>2.0</v>
      </c>
      <c r="F513" s="539"/>
      <c r="G513" s="419"/>
      <c r="H513" s="420" t="s">
        <v>265</v>
      </c>
      <c r="I513" s="421" t="s">
        <v>23</v>
      </c>
      <c r="J513" s="214"/>
      <c r="K513" s="214"/>
      <c r="L513" s="214"/>
      <c r="M513" s="214"/>
      <c r="N513" s="214"/>
      <c r="O513" s="214"/>
      <c r="P513" s="214"/>
      <c r="Q513" s="214"/>
      <c r="R513" s="214"/>
      <c r="S513" s="214"/>
      <c r="T513" s="214"/>
      <c r="U513" s="214"/>
      <c r="V513" s="214"/>
      <c r="W513" s="214"/>
      <c r="X513" s="214"/>
      <c r="Y513" s="214"/>
      <c r="Z513" s="214"/>
      <c r="AA513" s="214"/>
      <c r="AB513" s="214"/>
      <c r="AC513" s="214"/>
    </row>
    <row r="514">
      <c r="A514" s="540" t="s">
        <v>455</v>
      </c>
      <c r="B514" s="243" t="s">
        <v>310</v>
      </c>
      <c r="C514" s="244">
        <f>sum(E514:E518)</f>
        <v>10</v>
      </c>
      <c r="D514" s="378" t="s">
        <v>97</v>
      </c>
      <c r="E514" s="378">
        <v>2.0</v>
      </c>
      <c r="F514" s="481"/>
      <c r="G514" s="379"/>
      <c r="H514" s="380" t="s">
        <v>99</v>
      </c>
      <c r="I514" s="493" t="s">
        <v>98</v>
      </c>
      <c r="J514" s="214"/>
      <c r="K514" s="214"/>
      <c r="L514" s="214"/>
      <c r="M514" s="214"/>
      <c r="N514" s="214"/>
      <c r="O514" s="214"/>
      <c r="P514" s="214"/>
      <c r="Q514" s="214"/>
      <c r="R514" s="214"/>
      <c r="S514" s="214"/>
      <c r="T514" s="214"/>
      <c r="U514" s="214"/>
      <c r="V514" s="214"/>
      <c r="W514" s="214"/>
      <c r="X514" s="214"/>
      <c r="Y514" s="214"/>
      <c r="Z514" s="214"/>
      <c r="AA514" s="214"/>
      <c r="AB514" s="214"/>
      <c r="AC514" s="214"/>
    </row>
    <row r="515">
      <c r="A515" s="222"/>
      <c r="D515" s="271" t="s">
        <v>166</v>
      </c>
      <c r="E515" s="271">
        <v>2.0</v>
      </c>
      <c r="F515" s="272"/>
      <c r="G515" s="272"/>
      <c r="H515" s="273" t="s">
        <v>167</v>
      </c>
      <c r="I515" s="274" t="s">
        <v>163</v>
      </c>
      <c r="J515" s="214"/>
      <c r="K515" s="214"/>
      <c r="L515" s="214"/>
      <c r="M515" s="214"/>
      <c r="N515" s="214"/>
      <c r="O515" s="214"/>
      <c r="P515" s="214"/>
      <c r="Q515" s="214"/>
      <c r="R515" s="214"/>
      <c r="S515" s="214"/>
      <c r="T515" s="214"/>
      <c r="U515" s="214"/>
      <c r="V515" s="214"/>
      <c r="W515" s="214"/>
      <c r="X515" s="214"/>
      <c r="Y515" s="214"/>
      <c r="Z515" s="214"/>
      <c r="AA515" s="214"/>
      <c r="AB515" s="214"/>
      <c r="AC515" s="214"/>
    </row>
    <row r="516">
      <c r="A516" s="222"/>
      <c r="D516" s="223" t="s">
        <v>175</v>
      </c>
      <c r="E516" s="425">
        <v>4.0</v>
      </c>
      <c r="F516" s="224"/>
      <c r="G516" s="342"/>
      <c r="H516" s="225" t="s">
        <v>232</v>
      </c>
      <c r="I516" s="344" t="s">
        <v>176</v>
      </c>
      <c r="J516" s="214"/>
      <c r="K516" s="214"/>
      <c r="L516" s="214"/>
      <c r="M516" s="214"/>
      <c r="N516" s="214"/>
      <c r="O516" s="214"/>
      <c r="P516" s="214"/>
      <c r="Q516" s="214"/>
      <c r="R516" s="214"/>
      <c r="S516" s="214"/>
      <c r="T516" s="214"/>
      <c r="U516" s="214"/>
      <c r="V516" s="214"/>
      <c r="W516" s="214"/>
      <c r="X516" s="214"/>
      <c r="Y516" s="214"/>
      <c r="Z516" s="214"/>
      <c r="AA516" s="214"/>
      <c r="AB516" s="214"/>
      <c r="AC516" s="214"/>
    </row>
    <row r="517">
      <c r="A517" s="222"/>
      <c r="D517" s="256" t="s">
        <v>189</v>
      </c>
      <c r="E517" s="256">
        <v>1.0</v>
      </c>
      <c r="F517" s="257"/>
      <c r="G517" s="257"/>
      <c r="H517" s="258" t="s">
        <v>190</v>
      </c>
      <c r="I517" s="259" t="s">
        <v>186</v>
      </c>
      <c r="J517" s="214"/>
      <c r="K517" s="214"/>
      <c r="L517" s="214"/>
      <c r="M517" s="214"/>
      <c r="N517" s="214"/>
      <c r="O517" s="214"/>
      <c r="P517" s="214"/>
      <c r="Q517" s="214"/>
      <c r="R517" s="214"/>
      <c r="S517" s="214"/>
      <c r="T517" s="214"/>
      <c r="U517" s="214"/>
      <c r="V517" s="214"/>
      <c r="W517" s="214"/>
      <c r="X517" s="214"/>
      <c r="Y517" s="214"/>
      <c r="Z517" s="214"/>
      <c r="AA517" s="214"/>
      <c r="AB517" s="214"/>
      <c r="AC517" s="214"/>
    </row>
    <row r="518">
      <c r="A518" s="236"/>
      <c r="B518" s="237"/>
      <c r="C518" s="237"/>
      <c r="D518" s="232" t="s">
        <v>140</v>
      </c>
      <c r="E518" s="232">
        <v>1.0</v>
      </c>
      <c r="F518" s="233"/>
      <c r="G518" s="233"/>
      <c r="H518" s="234" t="s">
        <v>141</v>
      </c>
      <c r="I518" s="235" t="s">
        <v>105</v>
      </c>
      <c r="J518" s="214"/>
      <c r="K518" s="214"/>
      <c r="L518" s="214"/>
      <c r="M518" s="214"/>
      <c r="N518" s="214"/>
      <c r="O518" s="214"/>
      <c r="P518" s="214"/>
      <c r="Q518" s="214"/>
      <c r="R518" s="214"/>
      <c r="S518" s="214"/>
      <c r="T518" s="214"/>
      <c r="U518" s="214"/>
      <c r="V518" s="214"/>
      <c r="W518" s="214"/>
      <c r="X518" s="214"/>
      <c r="Y518" s="214"/>
      <c r="Z518" s="214"/>
      <c r="AA518" s="214"/>
      <c r="AB518" s="214"/>
      <c r="AC518" s="214"/>
    </row>
    <row r="519">
      <c r="A519" s="455" t="s">
        <v>456</v>
      </c>
      <c r="B519" s="541" t="s">
        <v>251</v>
      </c>
      <c r="C519" s="244">
        <f>sum(E519:E522)</f>
        <v>10</v>
      </c>
      <c r="D519" s="292" t="s">
        <v>229</v>
      </c>
      <c r="E519" s="292">
        <v>2.0</v>
      </c>
      <c r="F519" s="324"/>
      <c r="G519" s="324"/>
      <c r="H519" s="294" t="s">
        <v>69</v>
      </c>
      <c r="I519" s="295" t="s">
        <v>65</v>
      </c>
      <c r="J519" s="214"/>
      <c r="K519" s="214"/>
      <c r="L519" s="214"/>
      <c r="M519" s="214"/>
      <c r="N519" s="214"/>
      <c r="O519" s="214"/>
      <c r="P519" s="214"/>
      <c r="Q519" s="214"/>
      <c r="R519" s="214"/>
      <c r="S519" s="214"/>
      <c r="T519" s="214"/>
      <c r="U519" s="214"/>
      <c r="V519" s="214"/>
      <c r="W519" s="214"/>
      <c r="X519" s="214"/>
      <c r="Y519" s="214"/>
      <c r="Z519" s="214"/>
      <c r="AA519" s="214"/>
      <c r="AB519" s="214"/>
      <c r="AC519" s="214"/>
    </row>
    <row r="520">
      <c r="A520" s="222"/>
      <c r="D520" s="275" t="s">
        <v>97</v>
      </c>
      <c r="E520" s="275">
        <v>2.0</v>
      </c>
      <c r="F520" s="276"/>
      <c r="G520" s="276"/>
      <c r="H520" s="277" t="s">
        <v>99</v>
      </c>
      <c r="I520" s="278" t="s">
        <v>98</v>
      </c>
      <c r="J520" s="214"/>
      <c r="K520" s="214"/>
      <c r="L520" s="214"/>
      <c r="M520" s="214"/>
      <c r="N520" s="214"/>
      <c r="O520" s="214"/>
      <c r="P520" s="214"/>
      <c r="Q520" s="214"/>
      <c r="R520" s="214"/>
      <c r="S520" s="214"/>
      <c r="T520" s="214"/>
      <c r="U520" s="214"/>
      <c r="V520" s="214"/>
      <c r="W520" s="214"/>
      <c r="X520" s="214"/>
      <c r="Y520" s="214"/>
      <c r="Z520" s="214"/>
      <c r="AA520" s="214"/>
      <c r="AB520" s="214"/>
      <c r="AC520" s="214"/>
    </row>
    <row r="521">
      <c r="A521" s="222"/>
      <c r="D521" s="299" t="s">
        <v>153</v>
      </c>
      <c r="E521" s="299">
        <v>2.0</v>
      </c>
      <c r="F521" s="250"/>
      <c r="G521" s="251"/>
      <c r="H521" s="312" t="s">
        <v>154</v>
      </c>
      <c r="I521" s="253" t="s">
        <v>144</v>
      </c>
      <c r="J521" s="214"/>
      <c r="K521" s="214"/>
      <c r="L521" s="214"/>
      <c r="M521" s="214"/>
      <c r="N521" s="214"/>
      <c r="O521" s="214"/>
      <c r="P521" s="214"/>
      <c r="Q521" s="214"/>
      <c r="R521" s="214"/>
      <c r="S521" s="214"/>
      <c r="T521" s="214"/>
      <c r="U521" s="214"/>
      <c r="V521" s="214"/>
      <c r="W521" s="214"/>
      <c r="X521" s="214"/>
      <c r="Y521" s="214"/>
      <c r="Z521" s="214"/>
      <c r="AA521" s="214"/>
      <c r="AB521" s="214"/>
      <c r="AC521" s="214"/>
    </row>
    <row r="522">
      <c r="A522" s="236"/>
      <c r="B522" s="237"/>
      <c r="C522" s="237"/>
      <c r="D522" s="223" t="s">
        <v>175</v>
      </c>
      <c r="E522" s="425">
        <v>4.0</v>
      </c>
      <c r="F522" s="342"/>
      <c r="G522" s="342"/>
      <c r="H522" s="225" t="s">
        <v>232</v>
      </c>
      <c r="I522" s="344" t="s">
        <v>176</v>
      </c>
      <c r="J522" s="214"/>
      <c r="K522" s="214"/>
      <c r="L522" s="214"/>
      <c r="M522" s="214"/>
      <c r="N522" s="214"/>
      <c r="O522" s="214"/>
      <c r="P522" s="214"/>
      <c r="Q522" s="214"/>
      <c r="R522" s="214"/>
      <c r="S522" s="214"/>
      <c r="T522" s="214"/>
      <c r="U522" s="214"/>
      <c r="V522" s="214"/>
      <c r="W522" s="214"/>
      <c r="X522" s="214"/>
      <c r="Y522" s="214"/>
      <c r="Z522" s="214"/>
      <c r="AA522" s="214"/>
      <c r="AB522" s="214"/>
      <c r="AC522" s="214"/>
    </row>
    <row r="523">
      <c r="A523" s="530" t="s">
        <v>457</v>
      </c>
      <c r="B523" s="531" t="s">
        <v>458</v>
      </c>
      <c r="C523" s="542">
        <f>sum(E523:E527)</f>
        <v>10</v>
      </c>
      <c r="D523" s="227" t="s">
        <v>254</v>
      </c>
      <c r="E523" s="227">
        <v>2.0</v>
      </c>
      <c r="F523" s="228"/>
      <c r="G523" s="228"/>
      <c r="H523" s="229" t="s">
        <v>255</v>
      </c>
      <c r="I523" s="230" t="s">
        <v>7</v>
      </c>
    </row>
    <row r="524">
      <c r="A524" s="222"/>
      <c r="D524" s="286" t="s">
        <v>64</v>
      </c>
      <c r="E524" s="286">
        <v>3.0</v>
      </c>
      <c r="F524" s="261"/>
      <c r="G524" s="261"/>
      <c r="H524" s="262" t="s">
        <v>66</v>
      </c>
      <c r="I524" s="263" t="s">
        <v>65</v>
      </c>
    </row>
    <row r="525">
      <c r="A525" s="222"/>
      <c r="D525" s="223" t="s">
        <v>179</v>
      </c>
      <c r="E525" s="223">
        <v>2.0</v>
      </c>
      <c r="F525" s="342"/>
      <c r="G525" s="342"/>
      <c r="H525" s="225" t="s">
        <v>180</v>
      </c>
      <c r="I525" s="344" t="s">
        <v>176</v>
      </c>
    </row>
    <row r="526">
      <c r="A526" s="222"/>
      <c r="D526" s="313" t="s">
        <v>189</v>
      </c>
      <c r="E526" s="313">
        <v>1.0</v>
      </c>
      <c r="F526" s="301"/>
      <c r="G526" s="257"/>
      <c r="H526" s="314" t="s">
        <v>190</v>
      </c>
      <c r="I526" s="315" t="s">
        <v>186</v>
      </c>
    </row>
    <row r="527">
      <c r="A527" s="236"/>
      <c r="B527" s="237"/>
      <c r="C527" s="237"/>
      <c r="D527" s="543" t="s">
        <v>459</v>
      </c>
      <c r="E527" s="544">
        <v>2.0</v>
      </c>
      <c r="F527" s="545"/>
      <c r="G527" s="546"/>
      <c r="H527" s="547" t="s">
        <v>460</v>
      </c>
      <c r="I527" s="548" t="s">
        <v>43</v>
      </c>
    </row>
    <row r="528" ht="19.5" customHeight="1">
      <c r="A528" s="215" t="s">
        <v>461</v>
      </c>
      <c r="B528" s="216" t="s">
        <v>462</v>
      </c>
      <c r="C528" s="244">
        <f>sum(E528:E532)</f>
        <v>10</v>
      </c>
      <c r="D528" s="335" t="s">
        <v>162</v>
      </c>
      <c r="E528" s="335">
        <v>2.0</v>
      </c>
      <c r="F528" s="354"/>
      <c r="G528" s="354"/>
      <c r="H528" s="337" t="s">
        <v>164</v>
      </c>
      <c r="I528" s="355" t="s">
        <v>163</v>
      </c>
      <c r="J528" s="527"/>
      <c r="K528" s="527"/>
      <c r="L528" s="527"/>
      <c r="M528" s="527"/>
      <c r="N528" s="527"/>
      <c r="O528" s="527"/>
      <c r="P528" s="527"/>
      <c r="Q528" s="527"/>
      <c r="R528" s="527"/>
      <c r="S528" s="527"/>
      <c r="T528" s="527"/>
      <c r="U528" s="527"/>
      <c r="V528" s="527"/>
      <c r="W528" s="527"/>
      <c r="X528" s="527"/>
      <c r="Y528" s="527"/>
      <c r="Z528" s="527"/>
      <c r="AA528" s="527"/>
      <c r="AB528" s="527"/>
      <c r="AC528" s="527"/>
    </row>
    <row r="529" ht="19.5" customHeight="1">
      <c r="A529" s="222"/>
      <c r="D529" s="223" t="s">
        <v>182</v>
      </c>
      <c r="E529" s="223">
        <v>3.0</v>
      </c>
      <c r="F529" s="224"/>
      <c r="G529" s="342"/>
      <c r="H529" s="225" t="s">
        <v>183</v>
      </c>
      <c r="I529" s="344" t="s">
        <v>176</v>
      </c>
      <c r="J529" s="527"/>
      <c r="K529" s="527"/>
      <c r="L529" s="527"/>
      <c r="M529" s="527"/>
      <c r="N529" s="527"/>
      <c r="O529" s="527"/>
      <c r="P529" s="527"/>
      <c r="Q529" s="527"/>
      <c r="R529" s="527"/>
      <c r="S529" s="527"/>
      <c r="T529" s="527"/>
      <c r="U529" s="527"/>
      <c r="V529" s="527"/>
      <c r="W529" s="527"/>
      <c r="X529" s="527"/>
      <c r="Y529" s="527"/>
      <c r="Z529" s="527"/>
      <c r="AA529" s="527"/>
      <c r="AB529" s="527"/>
      <c r="AC529" s="527"/>
    </row>
    <row r="530" ht="19.5" customHeight="1">
      <c r="A530" s="222"/>
      <c r="D530" s="232" t="s">
        <v>134</v>
      </c>
      <c r="E530" s="232">
        <v>1.0</v>
      </c>
      <c r="F530" s="233"/>
      <c r="G530" s="233"/>
      <c r="H530" s="234" t="s">
        <v>135</v>
      </c>
      <c r="I530" s="235" t="s">
        <v>105</v>
      </c>
      <c r="J530" s="527"/>
      <c r="K530" s="527"/>
      <c r="L530" s="527"/>
      <c r="M530" s="527"/>
      <c r="N530" s="527"/>
      <c r="O530" s="527"/>
      <c r="P530" s="527"/>
      <c r="Q530" s="527"/>
      <c r="R530" s="527"/>
      <c r="S530" s="527"/>
      <c r="T530" s="527"/>
      <c r="U530" s="527"/>
      <c r="V530" s="527"/>
      <c r="W530" s="527"/>
      <c r="X530" s="527"/>
      <c r="Y530" s="527"/>
      <c r="Z530" s="527"/>
      <c r="AA530" s="527"/>
      <c r="AB530" s="527"/>
      <c r="AC530" s="527"/>
    </row>
    <row r="531" ht="19.5" customHeight="1">
      <c r="A531" s="222"/>
      <c r="D531" s="286" t="s">
        <v>76</v>
      </c>
      <c r="E531" s="286">
        <v>2.0</v>
      </c>
      <c r="F531" s="318"/>
      <c r="G531" s="318"/>
      <c r="H531" s="262" t="s">
        <v>77</v>
      </c>
      <c r="I531" s="285" t="s">
        <v>65</v>
      </c>
      <c r="J531" s="527"/>
      <c r="K531" s="527"/>
      <c r="L531" s="527"/>
      <c r="M531" s="527"/>
      <c r="N531" s="527"/>
      <c r="O531" s="527"/>
      <c r="P531" s="527"/>
      <c r="Q531" s="527"/>
      <c r="R531" s="527"/>
      <c r="S531" s="527"/>
      <c r="T531" s="527"/>
      <c r="U531" s="527"/>
      <c r="V531" s="527"/>
      <c r="W531" s="527"/>
      <c r="X531" s="527"/>
      <c r="Y531" s="527"/>
      <c r="Z531" s="527"/>
      <c r="AA531" s="527"/>
      <c r="AB531" s="527"/>
      <c r="AC531" s="527"/>
    </row>
    <row r="532" ht="17.25" customHeight="1">
      <c r="A532" s="236"/>
      <c r="B532" s="237"/>
      <c r="C532" s="237"/>
      <c r="D532" s="418" t="s">
        <v>22</v>
      </c>
      <c r="E532" s="418">
        <v>2.0</v>
      </c>
      <c r="F532" s="419"/>
      <c r="G532" s="419"/>
      <c r="H532" s="420" t="s">
        <v>265</v>
      </c>
      <c r="I532" s="549" t="s">
        <v>23</v>
      </c>
      <c r="J532" s="527"/>
      <c r="K532" s="527"/>
      <c r="L532" s="527"/>
      <c r="M532" s="527"/>
      <c r="N532" s="527"/>
      <c r="O532" s="527"/>
      <c r="P532" s="527"/>
      <c r="Q532" s="527"/>
      <c r="R532" s="527"/>
      <c r="S532" s="527"/>
      <c r="T532" s="527"/>
      <c r="U532" s="527"/>
      <c r="V532" s="527"/>
      <c r="W532" s="527"/>
      <c r="X532" s="527"/>
      <c r="Y532" s="527"/>
      <c r="Z532" s="527"/>
      <c r="AA532" s="527"/>
      <c r="AB532" s="527"/>
      <c r="AC532" s="527"/>
    </row>
    <row r="533">
      <c r="A533" s="215" t="s">
        <v>463</v>
      </c>
      <c r="B533" s="243" t="s">
        <v>464</v>
      </c>
      <c r="C533" s="550">
        <f>sum(E533:E536)</f>
        <v>10</v>
      </c>
      <c r="D533" s="390" t="s">
        <v>61</v>
      </c>
      <c r="E533" s="390">
        <v>2.0</v>
      </c>
      <c r="F533" s="246"/>
      <c r="G533" s="246"/>
      <c r="H533" s="391" t="s">
        <v>62</v>
      </c>
      <c r="I533" s="551" t="s">
        <v>43</v>
      </c>
      <c r="J533" s="214"/>
      <c r="K533" s="214"/>
      <c r="L533" s="214"/>
      <c r="M533" s="214"/>
      <c r="N533" s="214"/>
      <c r="O533" s="214"/>
      <c r="P533" s="214"/>
      <c r="Q533" s="214"/>
      <c r="R533" s="214"/>
      <c r="S533" s="214"/>
      <c r="T533" s="214"/>
      <c r="U533" s="214"/>
      <c r="V533" s="214"/>
      <c r="W533" s="214"/>
      <c r="X533" s="214"/>
      <c r="Y533" s="214"/>
      <c r="Z533" s="214"/>
      <c r="AA533" s="214"/>
      <c r="AB533" s="214"/>
      <c r="AC533" s="214"/>
    </row>
    <row r="534">
      <c r="A534" s="222"/>
      <c r="D534" s="271" t="s">
        <v>166</v>
      </c>
      <c r="E534" s="271">
        <v>2.0</v>
      </c>
      <c r="F534" s="272"/>
      <c r="G534" s="272"/>
      <c r="H534" s="273" t="s">
        <v>167</v>
      </c>
      <c r="I534" s="393" t="s">
        <v>163</v>
      </c>
      <c r="J534" s="214"/>
      <c r="K534" s="214"/>
      <c r="L534" s="214"/>
      <c r="M534" s="214"/>
      <c r="N534" s="214"/>
      <c r="O534" s="214"/>
      <c r="P534" s="214"/>
      <c r="Q534" s="214"/>
      <c r="R534" s="214"/>
      <c r="S534" s="214"/>
      <c r="T534" s="214"/>
      <c r="U534" s="214"/>
      <c r="V534" s="214"/>
      <c r="W534" s="214"/>
      <c r="X534" s="214"/>
      <c r="Y534" s="214"/>
      <c r="Z534" s="214"/>
      <c r="AA534" s="214"/>
      <c r="AB534" s="214"/>
      <c r="AC534" s="214"/>
    </row>
    <row r="535">
      <c r="A535" s="222"/>
      <c r="D535" s="286" t="s">
        <v>229</v>
      </c>
      <c r="E535" s="286">
        <v>2.0</v>
      </c>
      <c r="F535" s="261"/>
      <c r="G535" s="261"/>
      <c r="H535" s="262" t="s">
        <v>69</v>
      </c>
      <c r="I535" s="263" t="s">
        <v>65</v>
      </c>
      <c r="J535" s="214"/>
      <c r="K535" s="214"/>
      <c r="L535" s="214"/>
      <c r="M535" s="214"/>
      <c r="N535" s="214"/>
      <c r="O535" s="214"/>
      <c r="P535" s="214"/>
      <c r="Q535" s="214"/>
      <c r="R535" s="214"/>
      <c r="S535" s="214"/>
      <c r="T535" s="214"/>
      <c r="U535" s="214"/>
      <c r="V535" s="214"/>
      <c r="W535" s="214"/>
      <c r="X535" s="214"/>
      <c r="Y535" s="214"/>
      <c r="Z535" s="214"/>
      <c r="AA535" s="214"/>
      <c r="AB535" s="214"/>
      <c r="AC535" s="214"/>
    </row>
    <row r="536">
      <c r="A536" s="236"/>
      <c r="B536" s="237"/>
      <c r="C536" s="237"/>
      <c r="D536" s="345" t="s">
        <v>175</v>
      </c>
      <c r="E536" s="400">
        <v>4.0</v>
      </c>
      <c r="F536" s="346"/>
      <c r="G536" s="346"/>
      <c r="H536" s="347" t="s">
        <v>232</v>
      </c>
      <c r="I536" s="348" t="s">
        <v>176</v>
      </c>
      <c r="J536" s="214"/>
      <c r="K536" s="214"/>
      <c r="L536" s="214"/>
      <c r="M536" s="214"/>
      <c r="N536" s="214"/>
      <c r="O536" s="214"/>
      <c r="P536" s="214"/>
      <c r="Q536" s="214"/>
      <c r="R536" s="214"/>
      <c r="S536" s="214"/>
      <c r="T536" s="214"/>
      <c r="U536" s="214"/>
      <c r="V536" s="214"/>
      <c r="W536" s="214"/>
      <c r="X536" s="214"/>
      <c r="Y536" s="214"/>
      <c r="Z536" s="214"/>
      <c r="AA536" s="214"/>
      <c r="AB536" s="214"/>
      <c r="AC536" s="214"/>
    </row>
    <row r="537">
      <c r="A537" s="534" t="s">
        <v>465</v>
      </c>
      <c r="B537" s="552" t="s">
        <v>466</v>
      </c>
      <c r="C537" s="416">
        <f>sum(E537:E541)</f>
        <v>10</v>
      </c>
      <c r="D537" s="356" t="s">
        <v>254</v>
      </c>
      <c r="E537" s="356">
        <v>2.0</v>
      </c>
      <c r="F537" s="357"/>
      <c r="G537" s="357"/>
      <c r="H537" s="447" t="s">
        <v>255</v>
      </c>
      <c r="I537" s="359" t="s">
        <v>7</v>
      </c>
    </row>
    <row r="538">
      <c r="A538" s="222"/>
      <c r="D538" s="286" t="s">
        <v>64</v>
      </c>
      <c r="E538" s="286">
        <v>3.0</v>
      </c>
      <c r="F538" s="261"/>
      <c r="G538" s="261"/>
      <c r="H538" s="262" t="s">
        <v>66</v>
      </c>
      <c r="I538" s="263" t="s">
        <v>65</v>
      </c>
    </row>
    <row r="539">
      <c r="A539" s="222"/>
      <c r="D539" s="553" t="s">
        <v>182</v>
      </c>
      <c r="E539" s="553">
        <v>3.0</v>
      </c>
      <c r="F539" s="554"/>
      <c r="G539" s="554"/>
      <c r="H539" s="555" t="s">
        <v>183</v>
      </c>
      <c r="I539" s="556" t="s">
        <v>176</v>
      </c>
    </row>
    <row r="540">
      <c r="A540" s="222"/>
      <c r="D540" s="256" t="s">
        <v>189</v>
      </c>
      <c r="E540" s="256">
        <v>1.0</v>
      </c>
      <c r="F540" s="257"/>
      <c r="G540" s="257"/>
      <c r="H540" s="258" t="s">
        <v>190</v>
      </c>
      <c r="I540" s="259" t="s">
        <v>186</v>
      </c>
    </row>
    <row r="541">
      <c r="A541" s="236"/>
      <c r="B541" s="237"/>
      <c r="C541" s="237"/>
      <c r="D541" s="287" t="s">
        <v>126</v>
      </c>
      <c r="E541" s="287">
        <v>1.0</v>
      </c>
      <c r="F541" s="288"/>
      <c r="G541" s="288"/>
      <c r="H541" s="289" t="s">
        <v>127</v>
      </c>
      <c r="I541" s="290" t="s">
        <v>105</v>
      </c>
    </row>
    <row r="542">
      <c r="A542" s="557" t="s">
        <v>467</v>
      </c>
      <c r="B542" s="237"/>
      <c r="C542" s="237"/>
      <c r="D542" s="237"/>
      <c r="E542" s="237"/>
      <c r="F542" s="237"/>
      <c r="G542" s="237"/>
      <c r="H542" s="558"/>
      <c r="I542" s="559"/>
      <c r="J542" s="214"/>
      <c r="K542" s="214"/>
      <c r="L542" s="214"/>
      <c r="M542" s="214"/>
      <c r="N542" s="214"/>
      <c r="O542" s="214"/>
      <c r="P542" s="214"/>
      <c r="Q542" s="214"/>
      <c r="R542" s="214"/>
      <c r="S542" s="214"/>
      <c r="T542" s="214"/>
      <c r="U542" s="214"/>
      <c r="V542" s="214"/>
      <c r="W542" s="214"/>
      <c r="X542" s="214"/>
      <c r="Y542" s="214"/>
      <c r="Z542" s="214"/>
      <c r="AA542" s="214"/>
      <c r="AB542" s="214"/>
      <c r="AC542" s="214"/>
    </row>
    <row r="543">
      <c r="A543" s="242" t="s">
        <v>468</v>
      </c>
      <c r="B543" s="243" t="s">
        <v>469</v>
      </c>
      <c r="C543" s="244">
        <f>sum(E543:E546)</f>
        <v>9</v>
      </c>
      <c r="D543" s="292" t="s">
        <v>73</v>
      </c>
      <c r="E543" s="292">
        <v>2.0</v>
      </c>
      <c r="F543" s="293"/>
      <c r="G543" s="324"/>
      <c r="H543" s="486" t="s">
        <v>74</v>
      </c>
      <c r="I543" s="295" t="s">
        <v>65</v>
      </c>
      <c r="J543" s="214"/>
      <c r="K543" s="214"/>
      <c r="L543" s="214"/>
      <c r="M543" s="214"/>
      <c r="N543" s="214"/>
      <c r="O543" s="214"/>
      <c r="P543" s="214"/>
      <c r="Q543" s="214"/>
      <c r="R543" s="214"/>
      <c r="S543" s="214"/>
      <c r="T543" s="214"/>
      <c r="U543" s="214"/>
      <c r="V543" s="214"/>
      <c r="W543" s="214"/>
      <c r="X543" s="214"/>
      <c r="Y543" s="214"/>
      <c r="Z543" s="214"/>
      <c r="AA543" s="214"/>
      <c r="AB543" s="214"/>
      <c r="AC543" s="214"/>
    </row>
    <row r="544">
      <c r="A544" s="222"/>
      <c r="D544" s="299" t="s">
        <v>143</v>
      </c>
      <c r="E544" s="299">
        <v>5.0</v>
      </c>
      <c r="F544" s="251"/>
      <c r="G544" s="251"/>
      <c r="H544" s="312" t="s">
        <v>145</v>
      </c>
      <c r="I544" s="300" t="s">
        <v>144</v>
      </c>
      <c r="J544" s="214"/>
      <c r="K544" s="214"/>
      <c r="L544" s="214"/>
      <c r="M544" s="214"/>
      <c r="N544" s="214"/>
      <c r="O544" s="214"/>
      <c r="P544" s="214"/>
      <c r="Q544" s="214"/>
      <c r="R544" s="214"/>
      <c r="S544" s="214"/>
      <c r="T544" s="214"/>
      <c r="U544" s="214"/>
      <c r="V544" s="214"/>
      <c r="W544" s="214"/>
      <c r="X544" s="214"/>
      <c r="Y544" s="214"/>
      <c r="Z544" s="214"/>
      <c r="AA544" s="214"/>
      <c r="AB544" s="214"/>
      <c r="AC544" s="214"/>
    </row>
    <row r="545">
      <c r="A545" s="222"/>
      <c r="D545" s="232" t="s">
        <v>239</v>
      </c>
      <c r="E545" s="232">
        <v>1.0</v>
      </c>
      <c r="F545" s="254"/>
      <c r="G545" s="254"/>
      <c r="H545" s="234" t="s">
        <v>115</v>
      </c>
      <c r="I545" s="298" t="s">
        <v>105</v>
      </c>
      <c r="J545" s="214"/>
      <c r="K545" s="214"/>
      <c r="L545" s="214"/>
      <c r="M545" s="214"/>
      <c r="N545" s="214"/>
      <c r="O545" s="214"/>
      <c r="P545" s="214"/>
      <c r="Q545" s="214"/>
      <c r="R545" s="214"/>
      <c r="S545" s="214"/>
      <c r="T545" s="214"/>
      <c r="U545" s="214"/>
      <c r="V545" s="214"/>
      <c r="W545" s="214"/>
      <c r="X545" s="214"/>
      <c r="Y545" s="214"/>
      <c r="Z545" s="214"/>
      <c r="AA545" s="214"/>
      <c r="AB545" s="214"/>
      <c r="AC545" s="214"/>
    </row>
    <row r="546">
      <c r="A546" s="236"/>
      <c r="B546" s="237"/>
      <c r="C546" s="237"/>
      <c r="D546" s="459" t="s">
        <v>120</v>
      </c>
      <c r="E546" s="459">
        <v>1.0</v>
      </c>
      <c r="F546" s="404"/>
      <c r="G546" s="288"/>
      <c r="H546" s="460" t="s">
        <v>289</v>
      </c>
      <c r="I546" s="461" t="s">
        <v>105</v>
      </c>
      <c r="J546" s="214"/>
      <c r="K546" s="214"/>
      <c r="L546" s="214"/>
      <c r="M546" s="214"/>
      <c r="N546" s="214"/>
      <c r="O546" s="214"/>
      <c r="P546" s="214"/>
      <c r="Q546" s="214"/>
      <c r="R546" s="214"/>
      <c r="S546" s="214"/>
      <c r="T546" s="214"/>
      <c r="U546" s="214"/>
      <c r="V546" s="214"/>
      <c r="W546" s="214"/>
      <c r="X546" s="214"/>
      <c r="Y546" s="214"/>
      <c r="Z546" s="214"/>
      <c r="AA546" s="214"/>
      <c r="AB546" s="214"/>
      <c r="AC546" s="214"/>
    </row>
    <row r="547">
      <c r="A547" s="215" t="s">
        <v>470</v>
      </c>
      <c r="B547" s="216" t="s">
        <v>471</v>
      </c>
      <c r="C547" s="244">
        <f>sum(E547:E550)</f>
        <v>9</v>
      </c>
      <c r="D547" s="521" t="s">
        <v>143</v>
      </c>
      <c r="E547" s="521">
        <v>5.0</v>
      </c>
      <c r="F547" s="522"/>
      <c r="G547" s="522"/>
      <c r="H547" s="523" t="s">
        <v>145</v>
      </c>
      <c r="I547" s="538" t="s">
        <v>144</v>
      </c>
      <c r="J547" s="214"/>
      <c r="K547" s="214"/>
      <c r="L547" s="214"/>
      <c r="M547" s="214"/>
      <c r="N547" s="214"/>
      <c r="O547" s="214"/>
      <c r="P547" s="214"/>
      <c r="Q547" s="214"/>
      <c r="R547" s="214"/>
      <c r="S547" s="214"/>
      <c r="T547" s="214"/>
      <c r="U547" s="214"/>
      <c r="V547" s="214"/>
      <c r="W547" s="214"/>
      <c r="X547" s="214"/>
      <c r="Y547" s="214"/>
      <c r="Z547" s="214"/>
      <c r="AA547" s="214"/>
      <c r="AB547" s="214"/>
      <c r="AC547" s="214"/>
    </row>
    <row r="548" ht="16.5" customHeight="1">
      <c r="A548" s="222"/>
      <c r="D548" s="271" t="s">
        <v>162</v>
      </c>
      <c r="E548" s="271">
        <v>2.0</v>
      </c>
      <c r="F548" s="317"/>
      <c r="G548" s="317"/>
      <c r="H548" s="273" t="s">
        <v>164</v>
      </c>
      <c r="I548" s="393" t="s">
        <v>163</v>
      </c>
      <c r="J548" s="214"/>
      <c r="K548" s="214"/>
      <c r="L548" s="214"/>
      <c r="M548" s="214"/>
      <c r="N548" s="214"/>
      <c r="O548" s="214"/>
      <c r="P548" s="214"/>
      <c r="Q548" s="214"/>
      <c r="R548" s="214"/>
      <c r="S548" s="214"/>
      <c r="T548" s="214"/>
      <c r="U548" s="214"/>
      <c r="V548" s="214"/>
      <c r="W548" s="214"/>
      <c r="X548" s="214"/>
      <c r="Y548" s="214"/>
      <c r="Z548" s="214"/>
      <c r="AA548" s="214"/>
      <c r="AB548" s="214"/>
      <c r="AC548" s="214"/>
    </row>
    <row r="549">
      <c r="A549" s="222"/>
      <c r="D549" s="232" t="s">
        <v>239</v>
      </c>
      <c r="E549" s="232">
        <v>1.0</v>
      </c>
      <c r="F549" s="254"/>
      <c r="G549" s="254"/>
      <c r="H549" s="234" t="s">
        <v>115</v>
      </c>
      <c r="I549" s="298" t="s">
        <v>105</v>
      </c>
      <c r="J549" s="214"/>
      <c r="K549" s="214"/>
      <c r="L549" s="214"/>
      <c r="M549" s="214"/>
      <c r="N549" s="214"/>
      <c r="O549" s="214"/>
      <c r="P549" s="214"/>
      <c r="Q549" s="214"/>
      <c r="R549" s="214"/>
      <c r="S549" s="214"/>
      <c r="T549" s="214"/>
      <c r="U549" s="214"/>
      <c r="V549" s="214"/>
      <c r="W549" s="214"/>
      <c r="X549" s="214"/>
      <c r="Y549" s="214"/>
      <c r="Z549" s="214"/>
      <c r="AA549" s="214"/>
      <c r="AB549" s="214"/>
      <c r="AC549" s="214"/>
    </row>
    <row r="550">
      <c r="A550" s="236"/>
      <c r="B550" s="237"/>
      <c r="C550" s="237"/>
      <c r="D550" s="287" t="s">
        <v>117</v>
      </c>
      <c r="E550" s="287">
        <v>1.0</v>
      </c>
      <c r="F550" s="288"/>
      <c r="G550" s="288"/>
      <c r="H550" s="289" t="s">
        <v>238</v>
      </c>
      <c r="I550" s="461" t="s">
        <v>105</v>
      </c>
      <c r="J550" s="214"/>
      <c r="K550" s="214"/>
      <c r="L550" s="214"/>
      <c r="M550" s="214"/>
      <c r="N550" s="214"/>
      <c r="O550" s="214"/>
      <c r="P550" s="214"/>
      <c r="Q550" s="214"/>
      <c r="R550" s="214"/>
      <c r="S550" s="214"/>
      <c r="T550" s="214"/>
      <c r="U550" s="214"/>
      <c r="V550" s="214"/>
      <c r="W550" s="214"/>
      <c r="X550" s="214"/>
      <c r="Y550" s="214"/>
      <c r="Z550" s="214"/>
      <c r="AA550" s="214"/>
      <c r="AB550" s="214"/>
      <c r="AC550" s="214"/>
    </row>
    <row r="551">
      <c r="A551" s="215" t="s">
        <v>472</v>
      </c>
      <c r="B551" s="216" t="s">
        <v>473</v>
      </c>
      <c r="C551" s="244">
        <f>sum(E551:E554)</f>
        <v>9</v>
      </c>
      <c r="D551" s="521" t="s">
        <v>143</v>
      </c>
      <c r="E551" s="521">
        <v>5.0</v>
      </c>
      <c r="F551" s="522"/>
      <c r="G551" s="522"/>
      <c r="H551" s="523" t="s">
        <v>145</v>
      </c>
      <c r="I551" s="538" t="s">
        <v>144</v>
      </c>
      <c r="J551" s="214"/>
      <c r="K551" s="214"/>
      <c r="L551" s="214"/>
      <c r="M551" s="214"/>
      <c r="N551" s="214"/>
      <c r="O551" s="214"/>
      <c r="P551" s="214"/>
      <c r="Q551" s="214"/>
      <c r="R551" s="214"/>
      <c r="S551" s="214"/>
      <c r="T551" s="214"/>
      <c r="U551" s="214"/>
      <c r="V551" s="214"/>
      <c r="W551" s="214"/>
      <c r="X551" s="214"/>
      <c r="Y551" s="214"/>
      <c r="Z551" s="214"/>
      <c r="AA551" s="214"/>
      <c r="AB551" s="214"/>
      <c r="AC551" s="214"/>
    </row>
    <row r="552">
      <c r="A552" s="222"/>
      <c r="D552" s="279" t="s">
        <v>52</v>
      </c>
      <c r="E552" s="279">
        <v>1.0</v>
      </c>
      <c r="F552" s="280"/>
      <c r="G552" s="280"/>
      <c r="H552" s="281" t="s">
        <v>53</v>
      </c>
      <c r="I552" s="282" t="s">
        <v>43</v>
      </c>
      <c r="J552" s="214"/>
      <c r="K552" s="214"/>
      <c r="L552" s="214"/>
      <c r="M552" s="214"/>
      <c r="N552" s="214"/>
      <c r="O552" s="214"/>
      <c r="P552" s="214"/>
      <c r="Q552" s="214"/>
      <c r="R552" s="214"/>
      <c r="S552" s="214"/>
      <c r="T552" s="214"/>
      <c r="U552" s="214"/>
      <c r="V552" s="214"/>
      <c r="W552" s="214"/>
      <c r="X552" s="214"/>
      <c r="Y552" s="214"/>
      <c r="Z552" s="214"/>
      <c r="AA552" s="214"/>
      <c r="AB552" s="214"/>
      <c r="AC552" s="214"/>
    </row>
    <row r="553">
      <c r="A553" s="222"/>
      <c r="D553" s="286" t="s">
        <v>229</v>
      </c>
      <c r="E553" s="286">
        <v>2.0</v>
      </c>
      <c r="F553" s="261"/>
      <c r="G553" s="261"/>
      <c r="H553" s="262" t="s">
        <v>69</v>
      </c>
      <c r="I553" s="319" t="s">
        <v>65</v>
      </c>
      <c r="J553" s="214"/>
      <c r="K553" s="214"/>
      <c r="L553" s="214"/>
      <c r="M553" s="214"/>
      <c r="N553" s="214"/>
      <c r="O553" s="214"/>
      <c r="P553" s="214"/>
      <c r="Q553" s="214"/>
      <c r="R553" s="214"/>
      <c r="S553" s="214"/>
      <c r="T553" s="214"/>
      <c r="U553" s="214"/>
      <c r="V553" s="214"/>
      <c r="W553" s="214"/>
      <c r="X553" s="214"/>
      <c r="Y553" s="214"/>
      <c r="Z553" s="214"/>
      <c r="AA553" s="214"/>
      <c r="AB553" s="214"/>
      <c r="AC553" s="214"/>
    </row>
    <row r="554">
      <c r="A554" s="236"/>
      <c r="B554" s="237"/>
      <c r="C554" s="237"/>
      <c r="D554" s="287" t="s">
        <v>239</v>
      </c>
      <c r="E554" s="287">
        <v>1.0</v>
      </c>
      <c r="F554" s="404"/>
      <c r="G554" s="288"/>
      <c r="H554" s="289" t="s">
        <v>115</v>
      </c>
      <c r="I554" s="290" t="s">
        <v>105</v>
      </c>
      <c r="J554" s="214"/>
      <c r="K554" s="214"/>
      <c r="L554" s="214"/>
      <c r="M554" s="214"/>
      <c r="N554" s="214"/>
      <c r="O554" s="214"/>
      <c r="P554" s="214"/>
      <c r="Q554" s="214"/>
      <c r="R554" s="214"/>
      <c r="S554" s="214"/>
      <c r="T554" s="214"/>
      <c r="U554" s="214"/>
      <c r="V554" s="214"/>
      <c r="W554" s="214"/>
      <c r="X554" s="214"/>
      <c r="Y554" s="214"/>
      <c r="Z554" s="214"/>
      <c r="AA554" s="214"/>
      <c r="AB554" s="214"/>
      <c r="AC554" s="214"/>
    </row>
    <row r="555">
      <c r="A555" s="242" t="s">
        <v>474</v>
      </c>
      <c r="B555" s="243" t="s">
        <v>262</v>
      </c>
      <c r="C555" s="244">
        <f>sum(E555:E560)</f>
        <v>9</v>
      </c>
      <c r="D555" s="356" t="s">
        <v>254</v>
      </c>
      <c r="E555" s="356">
        <v>2.0</v>
      </c>
      <c r="F555" s="357"/>
      <c r="G555" s="357"/>
      <c r="H555" s="447" t="s">
        <v>255</v>
      </c>
      <c r="I555" s="359" t="s">
        <v>7</v>
      </c>
      <c r="J555" s="214"/>
      <c r="K555" s="214"/>
      <c r="L555" s="214"/>
      <c r="M555" s="214"/>
      <c r="N555" s="214"/>
      <c r="O555" s="214"/>
      <c r="P555" s="214"/>
      <c r="Q555" s="214"/>
      <c r="R555" s="214"/>
      <c r="S555" s="214"/>
      <c r="T555" s="214"/>
      <c r="U555" s="214"/>
      <c r="V555" s="214"/>
      <c r="W555" s="214"/>
      <c r="X555" s="214"/>
      <c r="Y555" s="214"/>
      <c r="Z555" s="214"/>
      <c r="AA555" s="214"/>
      <c r="AB555" s="214"/>
      <c r="AC555" s="214"/>
    </row>
    <row r="556">
      <c r="A556" s="222"/>
      <c r="D556" s="299" t="s">
        <v>159</v>
      </c>
      <c r="E556" s="299">
        <v>1.0</v>
      </c>
      <c r="F556" s="251"/>
      <c r="G556" s="251"/>
      <c r="H556" s="312" t="s">
        <v>160</v>
      </c>
      <c r="I556" s="300" t="s">
        <v>144</v>
      </c>
      <c r="J556" s="214"/>
      <c r="K556" s="214"/>
      <c r="L556" s="214"/>
      <c r="M556" s="214"/>
      <c r="N556" s="214"/>
      <c r="O556" s="214"/>
      <c r="P556" s="214"/>
      <c r="Q556" s="214"/>
      <c r="R556" s="214"/>
      <c r="S556" s="214"/>
      <c r="T556" s="214"/>
      <c r="U556" s="214"/>
      <c r="V556" s="214"/>
      <c r="W556" s="214"/>
      <c r="X556" s="214"/>
      <c r="Y556" s="214"/>
      <c r="Z556" s="214"/>
      <c r="AA556" s="214"/>
      <c r="AB556" s="214"/>
      <c r="AC556" s="214"/>
    </row>
    <row r="557">
      <c r="A557" s="222"/>
      <c r="D557" s="286" t="s">
        <v>64</v>
      </c>
      <c r="E557" s="286">
        <v>3.0</v>
      </c>
      <c r="F557" s="261"/>
      <c r="G557" s="261"/>
      <c r="H557" s="262" t="s">
        <v>66</v>
      </c>
      <c r="I557" s="319" t="s">
        <v>65</v>
      </c>
      <c r="J557" s="214"/>
      <c r="K557" s="214"/>
      <c r="L557" s="214"/>
      <c r="M557" s="214"/>
      <c r="N557" s="214"/>
      <c r="O557" s="214"/>
      <c r="P557" s="214"/>
      <c r="Q557" s="214"/>
      <c r="R557" s="214"/>
      <c r="S557" s="214"/>
      <c r="T557" s="214"/>
      <c r="U557" s="214"/>
      <c r="V557" s="214"/>
      <c r="W557" s="214"/>
      <c r="X557" s="214"/>
      <c r="Y557" s="214"/>
      <c r="Z557" s="214"/>
      <c r="AA557" s="214"/>
      <c r="AB557" s="214"/>
      <c r="AC557" s="214"/>
    </row>
    <row r="558">
      <c r="A558" s="222"/>
      <c r="D558" s="232" t="s">
        <v>239</v>
      </c>
      <c r="E558" s="232">
        <v>1.0</v>
      </c>
      <c r="F558" s="233"/>
      <c r="G558" s="233"/>
      <c r="H558" s="234" t="s">
        <v>115</v>
      </c>
      <c r="I558" s="235" t="s">
        <v>105</v>
      </c>
      <c r="J558" s="214"/>
      <c r="K558" s="214"/>
      <c r="L558" s="214"/>
      <c r="M558" s="214"/>
      <c r="N558" s="214"/>
      <c r="O558" s="214"/>
      <c r="P558" s="214"/>
      <c r="Q558" s="214"/>
      <c r="R558" s="214"/>
      <c r="S558" s="214"/>
      <c r="T558" s="214"/>
      <c r="U558" s="214"/>
      <c r="V558" s="214"/>
      <c r="W558" s="214"/>
      <c r="X558" s="214"/>
      <c r="Y558" s="214"/>
      <c r="Z558" s="214"/>
      <c r="AA558" s="214"/>
      <c r="AB558" s="214"/>
      <c r="AC558" s="214"/>
    </row>
    <row r="559">
      <c r="A559" s="222"/>
      <c r="D559" s="271" t="s">
        <v>162</v>
      </c>
      <c r="E559" s="271">
        <v>2.0</v>
      </c>
      <c r="F559" s="272"/>
      <c r="G559" s="272"/>
      <c r="H559" s="273" t="s">
        <v>164</v>
      </c>
      <c r="I559" s="274" t="s">
        <v>163</v>
      </c>
      <c r="J559" s="214"/>
      <c r="K559" s="214"/>
      <c r="L559" s="214"/>
      <c r="M559" s="214"/>
      <c r="N559" s="214"/>
      <c r="O559" s="214"/>
      <c r="P559" s="214"/>
      <c r="Q559" s="214"/>
      <c r="R559" s="214"/>
      <c r="S559" s="214"/>
      <c r="T559" s="214"/>
      <c r="U559" s="214"/>
      <c r="V559" s="214"/>
      <c r="W559" s="214"/>
      <c r="X559" s="214"/>
      <c r="Y559" s="214"/>
      <c r="Z559" s="214"/>
      <c r="AA559" s="214"/>
      <c r="AB559" s="214"/>
      <c r="AC559" s="214"/>
    </row>
    <row r="560">
      <c r="A560" s="236"/>
      <c r="B560" s="237"/>
      <c r="C560" s="237"/>
      <c r="D560" s="560" t="s">
        <v>475</v>
      </c>
      <c r="E560" s="560">
        <v>0.0</v>
      </c>
      <c r="F560" s="561"/>
      <c r="G560" s="561"/>
      <c r="H560" s="562"/>
      <c r="I560" s="563"/>
      <c r="J560" s="214"/>
      <c r="K560" s="214"/>
      <c r="L560" s="214"/>
      <c r="M560" s="214"/>
      <c r="N560" s="214"/>
      <c r="O560" s="214"/>
      <c r="P560" s="214"/>
      <c r="Q560" s="214"/>
      <c r="R560" s="214"/>
      <c r="S560" s="214"/>
      <c r="T560" s="214"/>
      <c r="U560" s="214"/>
      <c r="V560" s="214"/>
      <c r="W560" s="214"/>
      <c r="X560" s="214"/>
      <c r="Y560" s="214"/>
      <c r="Z560" s="214"/>
      <c r="AA560" s="214"/>
      <c r="AB560" s="214"/>
      <c r="AC560" s="214"/>
    </row>
    <row r="561">
      <c r="A561" s="242" t="s">
        <v>476</v>
      </c>
      <c r="B561" s="243" t="s">
        <v>477</v>
      </c>
      <c r="C561" s="244">
        <f>sum(E561:E564)</f>
        <v>9</v>
      </c>
      <c r="D561" s="308" t="s">
        <v>239</v>
      </c>
      <c r="E561" s="308">
        <v>1.0</v>
      </c>
      <c r="F561" s="309"/>
      <c r="G561" s="309"/>
      <c r="H561" s="310" t="s">
        <v>115</v>
      </c>
      <c r="I561" s="311" t="s">
        <v>105</v>
      </c>
      <c r="J561" s="214"/>
      <c r="K561" s="214"/>
      <c r="L561" s="214"/>
      <c r="M561" s="214"/>
      <c r="N561" s="214"/>
      <c r="O561" s="214"/>
      <c r="P561" s="214"/>
      <c r="Q561" s="214"/>
      <c r="R561" s="214"/>
      <c r="S561" s="214"/>
      <c r="T561" s="214"/>
      <c r="U561" s="214"/>
      <c r="V561" s="214"/>
      <c r="W561" s="214"/>
      <c r="X561" s="214"/>
      <c r="Y561" s="214"/>
      <c r="Z561" s="214"/>
      <c r="AA561" s="214"/>
      <c r="AB561" s="214"/>
      <c r="AC561" s="214"/>
    </row>
    <row r="562">
      <c r="A562" s="222"/>
      <c r="D562" s="286" t="s">
        <v>76</v>
      </c>
      <c r="E562" s="286">
        <v>2.0</v>
      </c>
      <c r="F562" s="261"/>
      <c r="G562" s="261"/>
      <c r="H562" s="262" t="s">
        <v>77</v>
      </c>
      <c r="I562" s="285" t="s">
        <v>65</v>
      </c>
      <c r="J562" s="214"/>
      <c r="K562" s="214"/>
      <c r="L562" s="214"/>
      <c r="M562" s="214"/>
      <c r="N562" s="214"/>
      <c r="O562" s="214"/>
      <c r="P562" s="214"/>
      <c r="Q562" s="214"/>
      <c r="R562" s="214"/>
      <c r="S562" s="214"/>
      <c r="T562" s="214"/>
      <c r="U562" s="214"/>
      <c r="V562" s="214"/>
      <c r="W562" s="214"/>
      <c r="X562" s="214"/>
      <c r="Y562" s="214"/>
      <c r="Z562" s="214"/>
      <c r="AA562" s="214"/>
      <c r="AB562" s="214"/>
      <c r="AC562" s="214"/>
    </row>
    <row r="563">
      <c r="A563" s="222"/>
      <c r="D563" s="299" t="s">
        <v>143</v>
      </c>
      <c r="E563" s="299">
        <v>5.0</v>
      </c>
      <c r="F563" s="251"/>
      <c r="G563" s="251"/>
      <c r="H563" s="312" t="s">
        <v>145</v>
      </c>
      <c r="I563" s="300" t="s">
        <v>144</v>
      </c>
      <c r="J563" s="214"/>
      <c r="K563" s="214"/>
      <c r="L563" s="214"/>
      <c r="M563" s="214"/>
      <c r="N563" s="214"/>
      <c r="O563" s="214"/>
      <c r="P563" s="214"/>
      <c r="Q563" s="214"/>
      <c r="R563" s="214"/>
      <c r="S563" s="214"/>
      <c r="T563" s="214"/>
      <c r="U563" s="214"/>
      <c r="V563" s="214"/>
      <c r="W563" s="214"/>
      <c r="X563" s="214"/>
      <c r="Y563" s="214"/>
      <c r="Z563" s="214"/>
      <c r="AA563" s="214"/>
      <c r="AB563" s="214"/>
      <c r="AC563" s="214"/>
    </row>
    <row r="564">
      <c r="A564" s="236"/>
      <c r="B564" s="237"/>
      <c r="C564" s="237"/>
      <c r="D564" s="232" t="s">
        <v>117</v>
      </c>
      <c r="E564" s="232">
        <v>1.0</v>
      </c>
      <c r="F564" s="233"/>
      <c r="G564" s="233"/>
      <c r="H564" s="234" t="s">
        <v>238</v>
      </c>
      <c r="I564" s="235" t="s">
        <v>105</v>
      </c>
      <c r="J564" s="214"/>
      <c r="K564" s="214"/>
      <c r="L564" s="214"/>
      <c r="M564" s="214"/>
      <c r="N564" s="214"/>
      <c r="O564" s="214"/>
      <c r="P564" s="214"/>
      <c r="Q564" s="214"/>
      <c r="R564" s="214"/>
      <c r="S564" s="214"/>
      <c r="T564" s="214"/>
      <c r="U564" s="214"/>
      <c r="V564" s="214"/>
      <c r="W564" s="214"/>
      <c r="X564" s="214"/>
      <c r="Y564" s="214"/>
      <c r="Z564" s="214"/>
      <c r="AA564" s="214"/>
      <c r="AB564" s="214"/>
      <c r="AC564" s="214"/>
    </row>
    <row r="565">
      <c r="A565" s="242" t="s">
        <v>478</v>
      </c>
      <c r="B565" s="243" t="s">
        <v>399</v>
      </c>
      <c r="C565" s="244">
        <f>sum(E565:AC568)</f>
        <v>9</v>
      </c>
      <c r="D565" s="292" t="s">
        <v>64</v>
      </c>
      <c r="E565" s="292">
        <v>3.0</v>
      </c>
      <c r="F565" s="293"/>
      <c r="G565" s="324"/>
      <c r="H565" s="294" t="s">
        <v>66</v>
      </c>
      <c r="I565" s="295" t="s">
        <v>65</v>
      </c>
      <c r="J565" s="214"/>
      <c r="K565" s="214"/>
      <c r="L565" s="214"/>
      <c r="M565" s="214"/>
      <c r="N565" s="214"/>
      <c r="O565" s="214"/>
      <c r="P565" s="214"/>
      <c r="Q565" s="214"/>
      <c r="R565" s="214"/>
      <c r="S565" s="214"/>
      <c r="T565" s="214"/>
      <c r="U565" s="214"/>
      <c r="V565" s="214"/>
      <c r="W565" s="214"/>
      <c r="X565" s="214"/>
      <c r="Y565" s="214"/>
      <c r="Z565" s="214"/>
      <c r="AA565" s="214"/>
      <c r="AB565" s="214"/>
      <c r="AC565" s="214"/>
    </row>
    <row r="566">
      <c r="A566" s="222"/>
      <c r="D566" s="299" t="s">
        <v>147</v>
      </c>
      <c r="E566" s="299">
        <v>3.0</v>
      </c>
      <c r="F566" s="251"/>
      <c r="G566" s="251"/>
      <c r="H566" s="252" t="s">
        <v>145</v>
      </c>
      <c r="I566" s="300" t="s">
        <v>144</v>
      </c>
      <c r="J566" s="214"/>
      <c r="K566" s="214"/>
      <c r="L566" s="214"/>
      <c r="M566" s="214"/>
      <c r="N566" s="214"/>
      <c r="O566" s="214"/>
      <c r="P566" s="214"/>
      <c r="Q566" s="214"/>
      <c r="R566" s="214"/>
      <c r="S566" s="214"/>
      <c r="T566" s="214"/>
      <c r="U566" s="214"/>
      <c r="V566" s="214"/>
      <c r="W566" s="214"/>
      <c r="X566" s="214"/>
      <c r="Y566" s="214"/>
      <c r="Z566" s="214"/>
      <c r="AA566" s="214"/>
      <c r="AB566" s="214"/>
      <c r="AC566" s="214"/>
    </row>
    <row r="567">
      <c r="A567" s="222"/>
      <c r="D567" s="271" t="s">
        <v>162</v>
      </c>
      <c r="E567" s="271">
        <v>2.0</v>
      </c>
      <c r="F567" s="272"/>
      <c r="G567" s="272"/>
      <c r="H567" s="273" t="s">
        <v>164</v>
      </c>
      <c r="I567" s="274" t="s">
        <v>163</v>
      </c>
      <c r="J567" s="214"/>
      <c r="K567" s="214"/>
      <c r="L567" s="214"/>
      <c r="M567" s="214"/>
      <c r="N567" s="214"/>
      <c r="O567" s="214"/>
      <c r="P567" s="214"/>
      <c r="Q567" s="214"/>
      <c r="R567" s="214"/>
      <c r="S567" s="214"/>
      <c r="T567" s="214"/>
      <c r="U567" s="214"/>
      <c r="V567" s="214"/>
      <c r="W567" s="214"/>
      <c r="X567" s="214"/>
      <c r="Y567" s="214"/>
      <c r="Z567" s="214"/>
      <c r="AA567" s="214"/>
      <c r="AB567" s="214"/>
      <c r="AC567" s="214"/>
    </row>
    <row r="568">
      <c r="A568" s="236"/>
      <c r="B568" s="237"/>
      <c r="C568" s="237"/>
      <c r="D568" s="287" t="s">
        <v>239</v>
      </c>
      <c r="E568" s="287">
        <v>1.0</v>
      </c>
      <c r="F568" s="404"/>
      <c r="G568" s="404"/>
      <c r="H568" s="289" t="s">
        <v>115</v>
      </c>
      <c r="I568" s="461" t="s">
        <v>105</v>
      </c>
      <c r="J568" s="214"/>
      <c r="K568" s="214"/>
      <c r="L568" s="214"/>
      <c r="M568" s="214"/>
      <c r="N568" s="214"/>
      <c r="O568" s="214"/>
      <c r="P568" s="214"/>
      <c r="Q568" s="214"/>
      <c r="R568" s="214"/>
      <c r="S568" s="214"/>
      <c r="T568" s="214"/>
      <c r="U568" s="214"/>
      <c r="V568" s="214"/>
      <c r="W568" s="214"/>
      <c r="X568" s="214"/>
      <c r="Y568" s="214"/>
      <c r="Z568" s="214"/>
      <c r="AA568" s="214"/>
      <c r="AB568" s="214"/>
      <c r="AC568" s="214"/>
    </row>
    <row r="569">
      <c r="A569" s="242" t="s">
        <v>479</v>
      </c>
      <c r="B569" s="243" t="s">
        <v>480</v>
      </c>
      <c r="C569" s="244">
        <f>sum(E569:E573)</f>
        <v>9</v>
      </c>
      <c r="D569" s="245" t="s">
        <v>55</v>
      </c>
      <c r="E569" s="245">
        <v>1.0</v>
      </c>
      <c r="F569" s="246"/>
      <c r="G569" s="246"/>
      <c r="H569" s="247" t="s">
        <v>56</v>
      </c>
      <c r="I569" s="417" t="s">
        <v>43</v>
      </c>
      <c r="J569" s="214"/>
      <c r="K569" s="214"/>
      <c r="L569" s="214"/>
      <c r="M569" s="214"/>
      <c r="N569" s="214"/>
      <c r="O569" s="214"/>
      <c r="P569" s="214"/>
      <c r="Q569" s="214"/>
      <c r="R569" s="214"/>
      <c r="S569" s="214"/>
      <c r="T569" s="214"/>
      <c r="U569" s="214"/>
      <c r="V569" s="214"/>
      <c r="W569" s="214"/>
      <c r="X569" s="214"/>
      <c r="Y569" s="214"/>
      <c r="Z569" s="214"/>
      <c r="AA569" s="214"/>
      <c r="AB569" s="214"/>
      <c r="AC569" s="214"/>
    </row>
    <row r="570">
      <c r="A570" s="222"/>
      <c r="D570" s="299" t="s">
        <v>153</v>
      </c>
      <c r="E570" s="299">
        <v>2.0</v>
      </c>
      <c r="F570" s="251"/>
      <c r="G570" s="251"/>
      <c r="H570" s="312" t="s">
        <v>154</v>
      </c>
      <c r="I570" s="300" t="s">
        <v>144</v>
      </c>
      <c r="J570" s="214"/>
      <c r="K570" s="214"/>
      <c r="L570" s="214"/>
      <c r="M570" s="214"/>
      <c r="N570" s="214"/>
      <c r="O570" s="214"/>
      <c r="P570" s="214"/>
      <c r="Q570" s="214"/>
      <c r="R570" s="214"/>
      <c r="S570" s="214"/>
      <c r="T570" s="214"/>
      <c r="U570" s="214"/>
      <c r="V570" s="214"/>
      <c r="W570" s="214"/>
      <c r="X570" s="214"/>
      <c r="Y570" s="214"/>
      <c r="Z570" s="214"/>
      <c r="AA570" s="214"/>
      <c r="AB570" s="214"/>
      <c r="AC570" s="214"/>
    </row>
    <row r="571">
      <c r="A571" s="222"/>
      <c r="D571" s="227" t="s">
        <v>254</v>
      </c>
      <c r="E571" s="227">
        <v>2.0</v>
      </c>
      <c r="F571" s="228"/>
      <c r="G571" s="228"/>
      <c r="H571" s="229" t="s">
        <v>255</v>
      </c>
      <c r="I571" s="230" t="s">
        <v>7</v>
      </c>
      <c r="J571" s="214"/>
      <c r="K571" s="214"/>
      <c r="L571" s="214"/>
      <c r="M571" s="214"/>
      <c r="N571" s="214"/>
      <c r="O571" s="214"/>
      <c r="P571" s="214"/>
      <c r="Q571" s="214"/>
      <c r="R571" s="214"/>
      <c r="S571" s="214"/>
      <c r="T571" s="214"/>
      <c r="U571" s="214"/>
      <c r="V571" s="214"/>
      <c r="W571" s="214"/>
      <c r="X571" s="214"/>
      <c r="Y571" s="214"/>
      <c r="Z571" s="214"/>
      <c r="AA571" s="214"/>
      <c r="AB571" s="214"/>
      <c r="AC571" s="214"/>
    </row>
    <row r="572">
      <c r="A572" s="222"/>
      <c r="D572" s="271" t="s">
        <v>162</v>
      </c>
      <c r="E572" s="271">
        <v>2.0</v>
      </c>
      <c r="F572" s="272"/>
      <c r="G572" s="272"/>
      <c r="H572" s="273" t="s">
        <v>164</v>
      </c>
      <c r="I572" s="393" t="s">
        <v>163</v>
      </c>
      <c r="J572" s="214"/>
      <c r="K572" s="214"/>
      <c r="L572" s="214"/>
      <c r="M572" s="214"/>
      <c r="N572" s="214"/>
      <c r="O572" s="214"/>
      <c r="P572" s="214"/>
      <c r="Q572" s="214"/>
      <c r="R572" s="214"/>
      <c r="S572" s="214"/>
      <c r="T572" s="214"/>
      <c r="U572" s="214"/>
      <c r="V572" s="214"/>
      <c r="W572" s="214"/>
      <c r="X572" s="214"/>
      <c r="Y572" s="214"/>
      <c r="Z572" s="214"/>
      <c r="AA572" s="214"/>
      <c r="AB572" s="214"/>
      <c r="AC572" s="214"/>
    </row>
    <row r="573">
      <c r="A573" s="236"/>
      <c r="B573" s="237"/>
      <c r="C573" s="237"/>
      <c r="D573" s="302" t="s">
        <v>49</v>
      </c>
      <c r="E573" s="302">
        <v>2.0</v>
      </c>
      <c r="F573" s="564"/>
      <c r="G573" s="303"/>
      <c r="H573" s="304" t="s">
        <v>50</v>
      </c>
      <c r="I573" s="282" t="s">
        <v>43</v>
      </c>
      <c r="J573" s="214"/>
      <c r="K573" s="214"/>
      <c r="L573" s="214"/>
      <c r="M573" s="214"/>
      <c r="N573" s="214"/>
      <c r="O573" s="214"/>
      <c r="P573" s="214"/>
      <c r="Q573" s="214"/>
      <c r="R573" s="214"/>
      <c r="S573" s="214"/>
      <c r="T573" s="214"/>
      <c r="U573" s="214"/>
      <c r="V573" s="214"/>
      <c r="W573" s="214"/>
      <c r="X573" s="214"/>
      <c r="Y573" s="214"/>
      <c r="Z573" s="214"/>
      <c r="AA573" s="214"/>
      <c r="AB573" s="214"/>
      <c r="AC573" s="214"/>
    </row>
    <row r="574">
      <c r="A574" s="306" t="s">
        <v>481</v>
      </c>
      <c r="B574" s="243" t="s">
        <v>482</v>
      </c>
      <c r="C574" s="244">
        <f>sum(E574:E577)</f>
        <v>9</v>
      </c>
      <c r="D574" s="565" t="s">
        <v>254</v>
      </c>
      <c r="E574" s="356">
        <v>2.0</v>
      </c>
      <c r="F574" s="357"/>
      <c r="G574" s="357"/>
      <c r="H574" s="566" t="s">
        <v>255</v>
      </c>
      <c r="I574" s="359" t="s">
        <v>7</v>
      </c>
      <c r="J574" s="214"/>
      <c r="K574" s="214"/>
      <c r="L574" s="214"/>
      <c r="M574" s="214"/>
      <c r="N574" s="214"/>
      <c r="O574" s="214"/>
      <c r="P574" s="214"/>
      <c r="Q574" s="214"/>
      <c r="R574" s="214"/>
      <c r="S574" s="214"/>
      <c r="T574" s="214"/>
      <c r="U574" s="214"/>
      <c r="V574" s="214"/>
      <c r="W574" s="214"/>
      <c r="X574" s="214"/>
      <c r="Y574" s="214"/>
      <c r="Z574" s="214"/>
      <c r="AA574" s="214"/>
      <c r="AB574" s="214"/>
      <c r="AC574" s="214"/>
    </row>
    <row r="575" ht="16.5" customHeight="1">
      <c r="A575" s="222"/>
      <c r="D575" s="271" t="s">
        <v>162</v>
      </c>
      <c r="E575" s="271">
        <v>2.0</v>
      </c>
      <c r="F575" s="317"/>
      <c r="G575" s="317"/>
      <c r="H575" s="273" t="s">
        <v>164</v>
      </c>
      <c r="I575" s="274" t="s">
        <v>163</v>
      </c>
      <c r="J575" s="214"/>
      <c r="K575" s="214"/>
      <c r="L575" s="214"/>
      <c r="M575" s="214"/>
      <c r="N575" s="214"/>
      <c r="O575" s="214"/>
      <c r="P575" s="214"/>
      <c r="Q575" s="214"/>
      <c r="R575" s="214"/>
      <c r="S575" s="214"/>
      <c r="T575" s="214"/>
      <c r="U575" s="214"/>
      <c r="V575" s="214"/>
      <c r="W575" s="214"/>
      <c r="X575" s="214"/>
      <c r="Y575" s="214"/>
      <c r="Z575" s="214"/>
      <c r="AA575" s="214"/>
      <c r="AB575" s="214"/>
      <c r="AC575" s="214"/>
    </row>
    <row r="576" ht="16.5" customHeight="1">
      <c r="A576" s="222"/>
      <c r="D576" s="286" t="s">
        <v>64</v>
      </c>
      <c r="E576" s="286">
        <v>3.0</v>
      </c>
      <c r="F576" s="318"/>
      <c r="G576" s="261"/>
      <c r="H576" s="262" t="s">
        <v>66</v>
      </c>
      <c r="I576" s="319" t="s">
        <v>65</v>
      </c>
      <c r="J576" s="214"/>
      <c r="K576" s="214"/>
      <c r="L576" s="214"/>
      <c r="M576" s="214"/>
      <c r="N576" s="214"/>
      <c r="O576" s="214"/>
      <c r="P576" s="214"/>
      <c r="Q576" s="214"/>
      <c r="R576" s="214"/>
      <c r="S576" s="214"/>
      <c r="T576" s="214"/>
      <c r="U576" s="214"/>
      <c r="V576" s="214"/>
      <c r="W576" s="214"/>
      <c r="X576" s="214"/>
      <c r="Y576" s="214"/>
      <c r="Z576" s="214"/>
      <c r="AA576" s="214"/>
      <c r="AB576" s="214"/>
      <c r="AC576" s="214"/>
    </row>
    <row r="577" ht="16.5" customHeight="1">
      <c r="A577" s="236"/>
      <c r="B577" s="237"/>
      <c r="C577" s="237"/>
      <c r="D577" s="333" t="s">
        <v>97</v>
      </c>
      <c r="E577" s="333">
        <v>2.0</v>
      </c>
      <c r="F577" s="276"/>
      <c r="G577" s="276"/>
      <c r="H577" s="334" t="s">
        <v>99</v>
      </c>
      <c r="I577" s="278" t="s">
        <v>98</v>
      </c>
      <c r="J577" s="214"/>
      <c r="K577" s="214"/>
      <c r="L577" s="214"/>
      <c r="M577" s="214"/>
      <c r="N577" s="214"/>
      <c r="O577" s="214"/>
      <c r="P577" s="214"/>
      <c r="Q577" s="214"/>
      <c r="R577" s="214"/>
      <c r="S577" s="214"/>
      <c r="T577" s="214"/>
      <c r="U577" s="214"/>
      <c r="V577" s="214"/>
      <c r="W577" s="214"/>
      <c r="X577" s="214"/>
      <c r="Y577" s="214"/>
      <c r="Z577" s="214"/>
      <c r="AA577" s="214"/>
      <c r="AB577" s="214"/>
      <c r="AC577" s="214"/>
    </row>
    <row r="578" ht="16.5" customHeight="1">
      <c r="A578" s="242" t="s">
        <v>483</v>
      </c>
      <c r="B578" s="243" t="s">
        <v>484</v>
      </c>
      <c r="C578" s="244">
        <f>sum(E578:E582)</f>
        <v>9</v>
      </c>
      <c r="D578" s="335" t="s">
        <v>162</v>
      </c>
      <c r="E578" s="335">
        <v>2.0</v>
      </c>
      <c r="F578" s="336"/>
      <c r="G578" s="354"/>
      <c r="H578" s="337" t="s">
        <v>164</v>
      </c>
      <c r="I578" s="355" t="s">
        <v>163</v>
      </c>
      <c r="J578" s="214"/>
      <c r="K578" s="214"/>
      <c r="L578" s="214"/>
      <c r="M578" s="214"/>
      <c r="N578" s="214"/>
      <c r="O578" s="214"/>
      <c r="P578" s="214"/>
      <c r="Q578" s="214"/>
      <c r="R578" s="214"/>
      <c r="S578" s="214"/>
      <c r="T578" s="214"/>
      <c r="U578" s="214"/>
      <c r="V578" s="214"/>
      <c r="W578" s="214"/>
      <c r="X578" s="214"/>
      <c r="Y578" s="214"/>
      <c r="Z578" s="214"/>
      <c r="AA578" s="214"/>
      <c r="AB578" s="214"/>
      <c r="AC578" s="214"/>
    </row>
    <row r="579" ht="16.5" customHeight="1">
      <c r="A579" s="222"/>
      <c r="D579" s="227" t="s">
        <v>254</v>
      </c>
      <c r="E579" s="227">
        <v>2.0</v>
      </c>
      <c r="F579" s="228"/>
      <c r="G579" s="228"/>
      <c r="H579" s="229" t="s">
        <v>255</v>
      </c>
      <c r="I579" s="230" t="s">
        <v>7</v>
      </c>
      <c r="J579" s="214"/>
      <c r="K579" s="214"/>
      <c r="L579" s="214"/>
      <c r="M579" s="214"/>
      <c r="N579" s="214"/>
      <c r="O579" s="214"/>
      <c r="P579" s="214"/>
      <c r="Q579" s="214"/>
      <c r="R579" s="214"/>
      <c r="S579" s="214"/>
      <c r="T579" s="214"/>
      <c r="U579" s="214"/>
      <c r="V579" s="214"/>
      <c r="W579" s="214"/>
      <c r="X579" s="214"/>
      <c r="Y579" s="214"/>
      <c r="Z579" s="214"/>
      <c r="AA579" s="214"/>
      <c r="AB579" s="214"/>
      <c r="AC579" s="214"/>
    </row>
    <row r="580">
      <c r="A580" s="222"/>
      <c r="D580" s="227" t="s">
        <v>19</v>
      </c>
      <c r="E580" s="227">
        <v>2.0</v>
      </c>
      <c r="F580" s="228"/>
      <c r="G580" s="228"/>
      <c r="H580" s="229" t="s">
        <v>20</v>
      </c>
      <c r="I580" s="230" t="s">
        <v>7</v>
      </c>
      <c r="J580" s="214"/>
      <c r="K580" s="214"/>
      <c r="L580" s="214"/>
      <c r="M580" s="214"/>
      <c r="N580" s="214"/>
      <c r="O580" s="214"/>
      <c r="P580" s="214"/>
      <c r="Q580" s="214"/>
      <c r="R580" s="214"/>
      <c r="S580" s="214"/>
      <c r="T580" s="214"/>
      <c r="U580" s="214"/>
      <c r="V580" s="214"/>
      <c r="W580" s="214"/>
      <c r="X580" s="214"/>
      <c r="Y580" s="214"/>
      <c r="Z580" s="214"/>
      <c r="AA580" s="214"/>
      <c r="AB580" s="214"/>
      <c r="AC580" s="214"/>
    </row>
    <row r="581">
      <c r="A581" s="222"/>
      <c r="D581" s="299" t="s">
        <v>153</v>
      </c>
      <c r="E581" s="299">
        <v>2.0</v>
      </c>
      <c r="F581" s="250"/>
      <c r="G581" s="251"/>
      <c r="H581" s="312" t="s">
        <v>154</v>
      </c>
      <c r="I581" s="300" t="s">
        <v>144</v>
      </c>
      <c r="J581" s="214"/>
      <c r="K581" s="214"/>
      <c r="L581" s="214"/>
      <c r="M581" s="214"/>
      <c r="N581" s="214"/>
      <c r="O581" s="214"/>
      <c r="P581" s="214"/>
      <c r="Q581" s="214"/>
      <c r="R581" s="214"/>
      <c r="S581" s="214"/>
      <c r="T581" s="214"/>
      <c r="U581" s="214"/>
      <c r="V581" s="214"/>
      <c r="W581" s="214"/>
      <c r="X581" s="214"/>
      <c r="Y581" s="214"/>
      <c r="Z581" s="214"/>
      <c r="AA581" s="214"/>
      <c r="AB581" s="214"/>
      <c r="AC581" s="214"/>
    </row>
    <row r="582">
      <c r="A582" s="236"/>
      <c r="B582" s="237"/>
      <c r="C582" s="237"/>
      <c r="D582" s="299" t="s">
        <v>159</v>
      </c>
      <c r="E582" s="299">
        <v>1.0</v>
      </c>
      <c r="F582" s="251"/>
      <c r="G582" s="251"/>
      <c r="H582" s="312" t="s">
        <v>160</v>
      </c>
      <c r="I582" s="300" t="s">
        <v>144</v>
      </c>
      <c r="J582" s="214"/>
      <c r="K582" s="214"/>
      <c r="L582" s="214"/>
      <c r="M582" s="214"/>
      <c r="N582" s="214"/>
      <c r="O582" s="214"/>
      <c r="P582" s="214"/>
      <c r="Q582" s="214"/>
      <c r="R582" s="214"/>
      <c r="S582" s="214"/>
      <c r="T582" s="214"/>
      <c r="U582" s="214"/>
      <c r="V582" s="214"/>
      <c r="W582" s="214"/>
      <c r="X582" s="214"/>
      <c r="Y582" s="214"/>
      <c r="Z582" s="214"/>
      <c r="AA582" s="214"/>
      <c r="AB582" s="214"/>
      <c r="AC582" s="214"/>
    </row>
    <row r="583">
      <c r="A583" s="215" t="s">
        <v>485</v>
      </c>
      <c r="B583" s="243" t="s">
        <v>486</v>
      </c>
      <c r="C583" s="244">
        <f>sum(E583:E586)</f>
        <v>9</v>
      </c>
      <c r="D583" s="565" t="s">
        <v>254</v>
      </c>
      <c r="E583" s="565">
        <v>2.0</v>
      </c>
      <c r="F583" s="357"/>
      <c r="G583" s="357"/>
      <c r="H583" s="566" t="s">
        <v>255</v>
      </c>
      <c r="I583" s="359" t="s">
        <v>7</v>
      </c>
      <c r="J583" s="214"/>
      <c r="K583" s="214"/>
      <c r="L583" s="214"/>
      <c r="M583" s="214"/>
      <c r="N583" s="214"/>
      <c r="O583" s="214"/>
      <c r="P583" s="214"/>
      <c r="Q583" s="214"/>
      <c r="R583" s="214"/>
      <c r="S583" s="214"/>
      <c r="T583" s="214"/>
      <c r="U583" s="214"/>
      <c r="V583" s="214"/>
      <c r="W583" s="214"/>
      <c r="X583" s="214"/>
      <c r="Y583" s="214"/>
      <c r="Z583" s="214"/>
      <c r="AA583" s="214"/>
      <c r="AB583" s="214"/>
      <c r="AC583" s="214"/>
    </row>
    <row r="584">
      <c r="A584" s="222"/>
      <c r="D584" s="286" t="s">
        <v>64</v>
      </c>
      <c r="E584" s="286">
        <v>3.0</v>
      </c>
      <c r="F584" s="318"/>
      <c r="G584" s="261"/>
      <c r="H584" s="262" t="s">
        <v>66</v>
      </c>
      <c r="I584" s="263" t="s">
        <v>65</v>
      </c>
      <c r="J584" s="214"/>
      <c r="K584" s="214"/>
      <c r="L584" s="214"/>
      <c r="M584" s="214"/>
      <c r="N584" s="214"/>
      <c r="O584" s="214"/>
      <c r="P584" s="214"/>
      <c r="Q584" s="214"/>
      <c r="R584" s="214"/>
      <c r="S584" s="214"/>
      <c r="T584" s="214"/>
      <c r="U584" s="214"/>
      <c r="V584" s="214"/>
      <c r="W584" s="214"/>
      <c r="X584" s="214"/>
      <c r="Y584" s="214"/>
      <c r="Z584" s="214"/>
      <c r="AA584" s="214"/>
      <c r="AB584" s="214"/>
      <c r="AC584" s="214"/>
    </row>
    <row r="585">
      <c r="A585" s="222"/>
      <c r="D585" s="279" t="s">
        <v>49</v>
      </c>
      <c r="E585" s="279">
        <v>2.0</v>
      </c>
      <c r="F585" s="280"/>
      <c r="G585" s="280"/>
      <c r="H585" s="281" t="s">
        <v>50</v>
      </c>
      <c r="I585" s="282" t="s">
        <v>43</v>
      </c>
      <c r="J585" s="214"/>
      <c r="K585" s="214"/>
      <c r="L585" s="214"/>
      <c r="M585" s="214"/>
      <c r="N585" s="214"/>
      <c r="O585" s="214"/>
      <c r="P585" s="214"/>
      <c r="Q585" s="214"/>
      <c r="R585" s="214"/>
      <c r="S585" s="214"/>
      <c r="T585" s="214"/>
      <c r="U585" s="214"/>
      <c r="V585" s="214"/>
      <c r="W585" s="214"/>
      <c r="X585" s="214"/>
      <c r="Y585" s="214"/>
      <c r="Z585" s="214"/>
      <c r="AA585" s="214"/>
      <c r="AB585" s="214"/>
      <c r="AC585" s="214"/>
    </row>
    <row r="586">
      <c r="A586" s="236"/>
      <c r="B586" s="237"/>
      <c r="C586" s="237"/>
      <c r="D586" s="271" t="s">
        <v>162</v>
      </c>
      <c r="E586" s="271">
        <v>2.0</v>
      </c>
      <c r="F586" s="272"/>
      <c r="G586" s="272"/>
      <c r="H586" s="273" t="s">
        <v>164</v>
      </c>
      <c r="I586" s="274" t="s">
        <v>163</v>
      </c>
      <c r="J586" s="214"/>
      <c r="K586" s="214"/>
      <c r="L586" s="214"/>
      <c r="M586" s="214"/>
      <c r="N586" s="214"/>
      <c r="O586" s="214"/>
      <c r="P586" s="214"/>
      <c r="Q586" s="214"/>
      <c r="R586" s="214"/>
      <c r="S586" s="214"/>
      <c r="T586" s="214"/>
      <c r="U586" s="214"/>
      <c r="V586" s="214"/>
      <c r="W586" s="214"/>
      <c r="X586" s="214"/>
      <c r="Y586" s="214"/>
      <c r="Z586" s="214"/>
      <c r="AA586" s="214"/>
      <c r="AB586" s="214"/>
      <c r="AC586" s="214"/>
    </row>
    <row r="587">
      <c r="A587" s="242" t="s">
        <v>487</v>
      </c>
      <c r="B587" s="243" t="s">
        <v>488</v>
      </c>
      <c r="C587" s="244">
        <f>Sum(E587:E591)</f>
        <v>9</v>
      </c>
      <c r="D587" s="308" t="s">
        <v>489</v>
      </c>
      <c r="E587" s="308">
        <v>3.0</v>
      </c>
      <c r="F587" s="473"/>
      <c r="G587" s="309"/>
      <c r="H587" s="310" t="s">
        <v>490</v>
      </c>
      <c r="I587" s="438" t="s">
        <v>105</v>
      </c>
      <c r="J587" s="214"/>
      <c r="K587" s="214"/>
      <c r="L587" s="214"/>
      <c r="M587" s="214"/>
      <c r="N587" s="214"/>
      <c r="O587" s="214"/>
      <c r="P587" s="214"/>
      <c r="Q587" s="214"/>
      <c r="R587" s="214"/>
      <c r="S587" s="214"/>
      <c r="T587" s="214"/>
      <c r="U587" s="214"/>
      <c r="V587" s="214"/>
      <c r="W587" s="214"/>
      <c r="X587" s="214"/>
      <c r="Y587" s="214"/>
      <c r="Z587" s="214"/>
      <c r="AA587" s="214"/>
      <c r="AB587" s="214"/>
      <c r="AC587" s="214"/>
    </row>
    <row r="588">
      <c r="A588" s="222"/>
      <c r="D588" s="279" t="s">
        <v>49</v>
      </c>
      <c r="E588" s="279">
        <v>2.0</v>
      </c>
      <c r="F588" s="280"/>
      <c r="G588" s="280"/>
      <c r="H588" s="281" t="s">
        <v>50</v>
      </c>
      <c r="I588" s="448" t="s">
        <v>43</v>
      </c>
      <c r="J588" s="214"/>
      <c r="K588" s="214"/>
      <c r="L588" s="214"/>
      <c r="M588" s="214"/>
      <c r="N588" s="214"/>
      <c r="O588" s="214"/>
      <c r="P588" s="214"/>
      <c r="Q588" s="214"/>
      <c r="R588" s="214"/>
      <c r="S588" s="214"/>
      <c r="T588" s="214"/>
      <c r="U588" s="214"/>
      <c r="V588" s="214"/>
      <c r="W588" s="214"/>
      <c r="X588" s="214"/>
      <c r="Y588" s="214"/>
      <c r="Z588" s="214"/>
      <c r="AA588" s="214"/>
      <c r="AB588" s="214"/>
      <c r="AC588" s="214"/>
    </row>
    <row r="589">
      <c r="A589" s="222"/>
      <c r="D589" s="232" t="s">
        <v>140</v>
      </c>
      <c r="E589" s="232">
        <v>1.0</v>
      </c>
      <c r="F589" s="233"/>
      <c r="G589" s="233"/>
      <c r="H589" s="234" t="s">
        <v>141</v>
      </c>
      <c r="I589" s="235" t="s">
        <v>105</v>
      </c>
      <c r="J589" s="214"/>
      <c r="K589" s="214"/>
      <c r="L589" s="214"/>
      <c r="M589" s="214"/>
      <c r="N589" s="214"/>
      <c r="O589" s="214"/>
      <c r="P589" s="214"/>
      <c r="Q589" s="214"/>
      <c r="R589" s="214"/>
      <c r="S589" s="214"/>
      <c r="T589" s="214"/>
      <c r="U589" s="214"/>
      <c r="V589" s="214"/>
      <c r="W589" s="214"/>
      <c r="X589" s="214"/>
      <c r="Y589" s="214"/>
      <c r="Z589" s="214"/>
      <c r="AA589" s="214"/>
      <c r="AB589" s="214"/>
      <c r="AC589" s="214"/>
    </row>
    <row r="590">
      <c r="A590" s="222"/>
      <c r="D590" s="232" t="s">
        <v>117</v>
      </c>
      <c r="E590" s="232">
        <v>1.0</v>
      </c>
      <c r="F590" s="233"/>
      <c r="G590" s="233"/>
      <c r="H590" s="234" t="s">
        <v>238</v>
      </c>
      <c r="I590" s="235" t="s">
        <v>105</v>
      </c>
      <c r="J590" s="214"/>
      <c r="K590" s="214"/>
      <c r="L590" s="214"/>
      <c r="M590" s="214"/>
      <c r="N590" s="214"/>
      <c r="O590" s="214"/>
      <c r="P590" s="214"/>
      <c r="Q590" s="214"/>
      <c r="R590" s="214"/>
      <c r="S590" s="214"/>
      <c r="T590" s="214"/>
      <c r="U590" s="214"/>
      <c r="V590" s="214"/>
      <c r="W590" s="214"/>
      <c r="X590" s="214"/>
      <c r="Y590" s="214"/>
      <c r="Z590" s="214"/>
      <c r="AA590" s="214"/>
      <c r="AB590" s="214"/>
      <c r="AC590" s="214"/>
    </row>
    <row r="591">
      <c r="A591" s="236"/>
      <c r="B591" s="237"/>
      <c r="C591" s="237"/>
      <c r="D591" s="238" t="s">
        <v>79</v>
      </c>
      <c r="E591" s="238">
        <v>2.0</v>
      </c>
      <c r="F591" s="239"/>
      <c r="G591" s="239"/>
      <c r="H591" s="446" t="s">
        <v>80</v>
      </c>
      <c r="I591" s="263" t="s">
        <v>65</v>
      </c>
      <c r="J591" s="214"/>
      <c r="K591" s="214"/>
      <c r="L591" s="214"/>
      <c r="M591" s="214"/>
      <c r="N591" s="214"/>
      <c r="O591" s="214"/>
      <c r="P591" s="214"/>
      <c r="Q591" s="214"/>
      <c r="R591" s="214"/>
      <c r="S591" s="214"/>
      <c r="T591" s="214"/>
      <c r="U591" s="214"/>
      <c r="V591" s="214"/>
      <c r="W591" s="214"/>
      <c r="X591" s="214"/>
      <c r="Y591" s="214"/>
      <c r="Z591" s="214"/>
      <c r="AA591" s="214"/>
      <c r="AB591" s="214"/>
      <c r="AC591" s="214"/>
    </row>
    <row r="592">
      <c r="A592" s="408" t="s">
        <v>491</v>
      </c>
      <c r="B592" s="409" t="s">
        <v>492</v>
      </c>
      <c r="C592" s="567">
        <f>sum(E592:E595)</f>
        <v>9</v>
      </c>
      <c r="D592" s="227" t="s">
        <v>254</v>
      </c>
      <c r="E592" s="227">
        <v>2.0</v>
      </c>
      <c r="F592" s="327"/>
      <c r="G592" s="228"/>
      <c r="H592" s="229" t="s">
        <v>255</v>
      </c>
      <c r="I592" s="359" t="s">
        <v>7</v>
      </c>
      <c r="J592" s="214"/>
      <c r="K592" s="214"/>
      <c r="L592" s="214"/>
      <c r="M592" s="214"/>
      <c r="N592" s="214"/>
      <c r="O592" s="214"/>
      <c r="P592" s="214"/>
      <c r="Q592" s="214"/>
      <c r="R592" s="214"/>
      <c r="S592" s="214"/>
      <c r="T592" s="214"/>
      <c r="U592" s="214"/>
      <c r="V592" s="214"/>
      <c r="W592" s="214"/>
      <c r="X592" s="214"/>
      <c r="Y592" s="214"/>
      <c r="Z592" s="214"/>
      <c r="AA592" s="214"/>
      <c r="AB592" s="214"/>
      <c r="AC592" s="214"/>
    </row>
    <row r="593">
      <c r="A593" s="222"/>
      <c r="D593" s="333" t="s">
        <v>493</v>
      </c>
      <c r="E593" s="333">
        <v>3.0</v>
      </c>
      <c r="F593" s="276"/>
      <c r="G593" s="276"/>
      <c r="H593" s="334" t="s">
        <v>494</v>
      </c>
      <c r="I593" s="278" t="s">
        <v>98</v>
      </c>
      <c r="J593" s="214"/>
      <c r="K593" s="214"/>
      <c r="L593" s="214"/>
      <c r="M593" s="214"/>
      <c r="N593" s="214"/>
      <c r="O593" s="214"/>
      <c r="P593" s="214"/>
      <c r="Q593" s="214"/>
      <c r="R593" s="214"/>
      <c r="S593" s="214"/>
      <c r="T593" s="214"/>
      <c r="U593" s="214"/>
      <c r="V593" s="214"/>
      <c r="W593" s="214"/>
      <c r="X593" s="214"/>
      <c r="Y593" s="214"/>
      <c r="Z593" s="214"/>
      <c r="AA593" s="214"/>
      <c r="AB593" s="214"/>
      <c r="AC593" s="214"/>
    </row>
    <row r="594">
      <c r="A594" s="222"/>
      <c r="D594" s="279" t="s">
        <v>58</v>
      </c>
      <c r="E594" s="279">
        <v>1.0</v>
      </c>
      <c r="F594" s="280"/>
      <c r="G594" s="280"/>
      <c r="H594" s="281" t="s">
        <v>59</v>
      </c>
      <c r="I594" s="282" t="s">
        <v>43</v>
      </c>
      <c r="J594" s="214"/>
      <c r="K594" s="214"/>
      <c r="L594" s="214"/>
      <c r="M594" s="214"/>
      <c r="N594" s="214"/>
      <c r="O594" s="214"/>
      <c r="P594" s="214"/>
      <c r="Q594" s="214"/>
      <c r="R594" s="214"/>
      <c r="S594" s="214"/>
      <c r="T594" s="214"/>
      <c r="U594" s="214"/>
      <c r="V594" s="214"/>
      <c r="W594" s="214"/>
      <c r="X594" s="214"/>
      <c r="Y594" s="214"/>
      <c r="Z594" s="214"/>
      <c r="AA594" s="214"/>
      <c r="AB594" s="214"/>
      <c r="AC594" s="214"/>
    </row>
    <row r="595">
      <c r="A595" s="236"/>
      <c r="B595" s="237"/>
      <c r="C595" s="237"/>
      <c r="D595" s="286" t="s">
        <v>64</v>
      </c>
      <c r="E595" s="286">
        <v>3.0</v>
      </c>
      <c r="F595" s="261"/>
      <c r="G595" s="261"/>
      <c r="H595" s="262" t="s">
        <v>66</v>
      </c>
      <c r="I595" s="263" t="s">
        <v>65</v>
      </c>
      <c r="J595" s="214"/>
      <c r="K595" s="214"/>
      <c r="L595" s="214"/>
      <c r="M595" s="214"/>
      <c r="N595" s="214"/>
      <c r="O595" s="214"/>
      <c r="P595" s="214"/>
      <c r="Q595" s="214"/>
      <c r="R595" s="214"/>
      <c r="S595" s="214"/>
      <c r="T595" s="214"/>
      <c r="U595" s="214"/>
      <c r="V595" s="214"/>
      <c r="W595" s="214"/>
      <c r="X595" s="214"/>
      <c r="Y595" s="214"/>
      <c r="Z595" s="214"/>
      <c r="AA595" s="214"/>
      <c r="AB595" s="214"/>
      <c r="AC595" s="214"/>
    </row>
    <row r="596">
      <c r="A596" s="242" t="s">
        <v>495</v>
      </c>
      <c r="B596" s="243" t="s">
        <v>496</v>
      </c>
      <c r="C596" s="244">
        <f>sum(E596:E599)</f>
        <v>9</v>
      </c>
      <c r="D596" s="218" t="s">
        <v>182</v>
      </c>
      <c r="E596" s="218">
        <v>3.0</v>
      </c>
      <c r="F596" s="270"/>
      <c r="G596" s="270"/>
      <c r="H596" s="220" t="s">
        <v>183</v>
      </c>
      <c r="I596" s="221" t="s">
        <v>176</v>
      </c>
      <c r="J596" s="214"/>
      <c r="K596" s="214"/>
      <c r="L596" s="214"/>
      <c r="M596" s="214"/>
      <c r="N596" s="214"/>
      <c r="O596" s="214"/>
      <c r="P596" s="214"/>
      <c r="Q596" s="214"/>
      <c r="R596" s="214"/>
      <c r="S596" s="214"/>
      <c r="T596" s="214"/>
      <c r="U596" s="214"/>
      <c r="V596" s="214"/>
      <c r="W596" s="214"/>
      <c r="X596" s="214"/>
      <c r="Y596" s="214"/>
      <c r="Z596" s="214"/>
      <c r="AA596" s="214"/>
      <c r="AB596" s="214"/>
      <c r="AC596" s="214"/>
    </row>
    <row r="597">
      <c r="A597" s="222"/>
      <c r="D597" s="256" t="s">
        <v>189</v>
      </c>
      <c r="E597" s="256">
        <v>1.0</v>
      </c>
      <c r="F597" s="257"/>
      <c r="G597" s="257"/>
      <c r="H597" s="258" t="s">
        <v>190</v>
      </c>
      <c r="I597" s="259" t="s">
        <v>186</v>
      </c>
      <c r="J597" s="214"/>
      <c r="K597" s="214"/>
      <c r="L597" s="214"/>
      <c r="M597" s="214"/>
      <c r="N597" s="214"/>
      <c r="O597" s="214"/>
      <c r="P597" s="214"/>
      <c r="Q597" s="214"/>
      <c r="R597" s="214"/>
      <c r="S597" s="214"/>
      <c r="T597" s="214"/>
      <c r="U597" s="214"/>
      <c r="V597" s="214"/>
      <c r="W597" s="214"/>
      <c r="X597" s="214"/>
      <c r="Y597" s="214"/>
      <c r="Z597" s="214"/>
      <c r="AA597" s="214"/>
      <c r="AB597" s="214"/>
      <c r="AC597" s="214"/>
    </row>
    <row r="598">
      <c r="A598" s="222"/>
      <c r="D598" s="286" t="s">
        <v>64</v>
      </c>
      <c r="E598" s="286">
        <v>3.0</v>
      </c>
      <c r="F598" s="261"/>
      <c r="G598" s="261"/>
      <c r="H598" s="262" t="s">
        <v>66</v>
      </c>
      <c r="I598" s="263" t="s">
        <v>65</v>
      </c>
      <c r="J598" s="214"/>
      <c r="K598" s="214"/>
      <c r="L598" s="214"/>
      <c r="M598" s="214"/>
      <c r="N598" s="214"/>
      <c r="O598" s="214"/>
      <c r="P598" s="214"/>
      <c r="Q598" s="214"/>
      <c r="R598" s="214"/>
      <c r="S598" s="214"/>
      <c r="T598" s="214"/>
      <c r="U598" s="214"/>
      <c r="V598" s="214"/>
      <c r="W598" s="214"/>
      <c r="X598" s="214"/>
      <c r="Y598" s="214"/>
      <c r="Z598" s="214"/>
      <c r="AA598" s="214"/>
      <c r="AB598" s="214"/>
      <c r="AC598" s="214"/>
    </row>
    <row r="599">
      <c r="A599" s="236"/>
      <c r="B599" s="237"/>
      <c r="C599" s="237"/>
      <c r="D599" s="227" t="s">
        <v>497</v>
      </c>
      <c r="E599" s="227">
        <v>2.0</v>
      </c>
      <c r="F599" s="228"/>
      <c r="G599" s="228"/>
      <c r="H599" s="229" t="s">
        <v>498</v>
      </c>
      <c r="I599" s="230" t="s">
        <v>7</v>
      </c>
      <c r="J599" s="214"/>
      <c r="K599" s="214"/>
      <c r="L599" s="214"/>
      <c r="M599" s="214"/>
      <c r="N599" s="214"/>
      <c r="O599" s="214"/>
      <c r="P599" s="214"/>
      <c r="Q599" s="214"/>
      <c r="R599" s="214"/>
      <c r="S599" s="214"/>
      <c r="T599" s="214"/>
      <c r="U599" s="214"/>
      <c r="V599" s="214"/>
      <c r="W599" s="214"/>
      <c r="X599" s="214"/>
      <c r="Y599" s="214"/>
      <c r="Z599" s="214"/>
      <c r="AA599" s="214"/>
      <c r="AB599" s="214"/>
      <c r="AC599" s="214"/>
    </row>
    <row r="600">
      <c r="A600" s="306" t="s">
        <v>499</v>
      </c>
      <c r="B600" s="307" t="s">
        <v>500</v>
      </c>
      <c r="C600" s="244">
        <f>sum(E600:E604)</f>
        <v>9</v>
      </c>
      <c r="D600" s="568" t="s">
        <v>64</v>
      </c>
      <c r="E600" s="515">
        <v>3.0</v>
      </c>
      <c r="F600" s="569" t="s">
        <v>501</v>
      </c>
      <c r="G600" s="570"/>
      <c r="H600" s="294" t="s">
        <v>66</v>
      </c>
      <c r="I600" s="295" t="s">
        <v>65</v>
      </c>
      <c r="J600" s="214"/>
      <c r="K600" s="214"/>
      <c r="L600" s="214"/>
      <c r="M600" s="214"/>
      <c r="N600" s="214"/>
      <c r="O600" s="214"/>
      <c r="P600" s="214"/>
      <c r="Q600" s="214"/>
      <c r="R600" s="214"/>
      <c r="S600" s="214"/>
      <c r="T600" s="214"/>
      <c r="U600" s="214"/>
      <c r="V600" s="214"/>
      <c r="W600" s="214"/>
      <c r="X600" s="214"/>
      <c r="Y600" s="214"/>
      <c r="Z600" s="214"/>
      <c r="AA600" s="214"/>
      <c r="AB600" s="214"/>
      <c r="AC600" s="214"/>
    </row>
    <row r="601">
      <c r="A601" s="222"/>
      <c r="D601" s="571" t="s">
        <v>58</v>
      </c>
      <c r="E601" s="279">
        <v>1.0</v>
      </c>
      <c r="H601" s="281" t="s">
        <v>59</v>
      </c>
      <c r="I601" s="282" t="s">
        <v>43</v>
      </c>
      <c r="J601" s="214"/>
      <c r="K601" s="214"/>
      <c r="L601" s="214"/>
      <c r="M601" s="214"/>
      <c r="N601" s="214"/>
      <c r="O601" s="214"/>
      <c r="P601" s="214"/>
      <c r="Q601" s="214"/>
      <c r="R601" s="214"/>
      <c r="S601" s="214"/>
      <c r="T601" s="214"/>
      <c r="U601" s="214"/>
      <c r="V601" s="214"/>
      <c r="W601" s="214"/>
      <c r="X601" s="214"/>
      <c r="Y601" s="214"/>
      <c r="Z601" s="214"/>
      <c r="AA601" s="214"/>
      <c r="AB601" s="214"/>
      <c r="AC601" s="214"/>
    </row>
    <row r="602">
      <c r="A602" s="222"/>
      <c r="D602" s="572" t="s">
        <v>162</v>
      </c>
      <c r="E602" s="573">
        <v>2.0</v>
      </c>
      <c r="F602" s="574"/>
      <c r="G602" s="574"/>
      <c r="H602" s="575" t="s">
        <v>164</v>
      </c>
      <c r="I602" s="576" t="s">
        <v>163</v>
      </c>
      <c r="J602" s="214"/>
      <c r="K602" s="214"/>
      <c r="L602" s="214"/>
      <c r="M602" s="214"/>
      <c r="N602" s="214"/>
      <c r="O602" s="214"/>
      <c r="P602" s="214"/>
      <c r="Q602" s="214"/>
      <c r="R602" s="214"/>
      <c r="S602" s="214"/>
      <c r="T602" s="214"/>
      <c r="U602" s="214"/>
      <c r="V602" s="214"/>
      <c r="W602" s="214"/>
      <c r="X602" s="214"/>
      <c r="Y602" s="214"/>
      <c r="Z602" s="214"/>
      <c r="AA602" s="214"/>
      <c r="AB602" s="214"/>
      <c r="AC602" s="214"/>
    </row>
    <row r="603">
      <c r="A603" s="222"/>
      <c r="D603" s="339" t="s">
        <v>239</v>
      </c>
      <c r="E603" s="339">
        <v>2.0</v>
      </c>
      <c r="F603" s="577" t="s">
        <v>502</v>
      </c>
      <c r="H603" s="340" t="s">
        <v>115</v>
      </c>
      <c r="I603" s="298" t="s">
        <v>105</v>
      </c>
      <c r="J603" s="214"/>
      <c r="K603" s="214"/>
      <c r="L603" s="214"/>
      <c r="M603" s="214"/>
      <c r="N603" s="214"/>
      <c r="O603" s="214"/>
      <c r="P603" s="214"/>
      <c r="Q603" s="214"/>
      <c r="R603" s="214"/>
      <c r="S603" s="214"/>
      <c r="T603" s="214"/>
      <c r="U603" s="214"/>
      <c r="V603" s="214"/>
      <c r="W603" s="214"/>
      <c r="X603" s="214"/>
      <c r="Y603" s="214"/>
      <c r="Z603" s="214"/>
      <c r="AA603" s="214"/>
      <c r="AB603" s="214"/>
      <c r="AC603" s="214"/>
    </row>
    <row r="604">
      <c r="A604" s="236"/>
      <c r="B604" s="237"/>
      <c r="C604" s="237"/>
      <c r="D604" s="299" t="s">
        <v>159</v>
      </c>
      <c r="E604" s="299">
        <v>1.0</v>
      </c>
      <c r="F604" s="237"/>
      <c r="G604" s="237"/>
      <c r="H604" s="312" t="s">
        <v>160</v>
      </c>
      <c r="I604" s="253" t="s">
        <v>144</v>
      </c>
      <c r="J604" s="214"/>
      <c r="K604" s="214"/>
      <c r="L604" s="214"/>
      <c r="M604" s="214"/>
      <c r="N604" s="214"/>
      <c r="O604" s="214"/>
      <c r="P604" s="214"/>
      <c r="Q604" s="214"/>
      <c r="R604" s="214"/>
      <c r="S604" s="214"/>
      <c r="T604" s="214"/>
      <c r="U604" s="214"/>
      <c r="V604" s="214"/>
      <c r="W604" s="214"/>
      <c r="X604" s="214"/>
      <c r="Y604" s="214"/>
      <c r="Z604" s="214"/>
      <c r="AA604" s="214"/>
      <c r="AB604" s="214"/>
      <c r="AC604" s="214"/>
    </row>
    <row r="605">
      <c r="A605" s="242" t="s">
        <v>503</v>
      </c>
      <c r="B605" s="243" t="s">
        <v>504</v>
      </c>
      <c r="C605" s="244">
        <f>sum(E605:E609)</f>
        <v>9</v>
      </c>
      <c r="D605" s="521" t="s">
        <v>153</v>
      </c>
      <c r="E605" s="521">
        <v>2.0</v>
      </c>
      <c r="F605" s="522"/>
      <c r="G605" s="522"/>
      <c r="H605" s="523" t="s">
        <v>154</v>
      </c>
      <c r="I605" s="538" t="s">
        <v>144</v>
      </c>
      <c r="J605" s="214"/>
      <c r="K605" s="214"/>
      <c r="L605" s="214"/>
      <c r="M605" s="214"/>
      <c r="N605" s="214"/>
      <c r="O605" s="214"/>
      <c r="P605" s="214"/>
      <c r="Q605" s="214"/>
      <c r="R605" s="214"/>
      <c r="S605" s="214"/>
      <c r="T605" s="214"/>
      <c r="U605" s="214"/>
      <c r="V605" s="214"/>
      <c r="W605" s="214"/>
      <c r="X605" s="214"/>
      <c r="Y605" s="214"/>
      <c r="Z605" s="214"/>
      <c r="AA605" s="214"/>
      <c r="AB605" s="214"/>
      <c r="AC605" s="214"/>
    </row>
    <row r="606">
      <c r="A606" s="222"/>
      <c r="D606" s="271" t="s">
        <v>162</v>
      </c>
      <c r="E606" s="271">
        <v>2.0</v>
      </c>
      <c r="F606" s="317"/>
      <c r="G606" s="317"/>
      <c r="H606" s="273" t="s">
        <v>164</v>
      </c>
      <c r="I606" s="274" t="s">
        <v>163</v>
      </c>
      <c r="J606" s="214"/>
      <c r="K606" s="214"/>
      <c r="L606" s="214"/>
      <c r="M606" s="214"/>
      <c r="N606" s="214"/>
      <c r="O606" s="214"/>
      <c r="P606" s="214"/>
      <c r="Q606" s="214"/>
      <c r="R606" s="214"/>
      <c r="S606" s="214"/>
      <c r="T606" s="214"/>
      <c r="U606" s="214"/>
      <c r="V606" s="214"/>
      <c r="W606" s="214"/>
      <c r="X606" s="214"/>
      <c r="Y606" s="214"/>
      <c r="Z606" s="214"/>
      <c r="AA606" s="214"/>
      <c r="AB606" s="214"/>
      <c r="AC606" s="214"/>
    </row>
    <row r="607">
      <c r="A607" s="222"/>
      <c r="D607" s="389" t="s">
        <v>505</v>
      </c>
      <c r="E607" s="389">
        <v>2.0</v>
      </c>
      <c r="F607" s="327"/>
      <c r="G607" s="327"/>
      <c r="H607" s="578" t="s">
        <v>294</v>
      </c>
      <c r="I607" s="230" t="s">
        <v>7</v>
      </c>
      <c r="J607" s="214"/>
      <c r="K607" s="214"/>
      <c r="L607" s="214"/>
      <c r="M607" s="214"/>
      <c r="N607" s="214"/>
      <c r="O607" s="214"/>
      <c r="P607" s="214"/>
      <c r="Q607" s="214"/>
      <c r="R607" s="214"/>
      <c r="S607" s="214"/>
      <c r="T607" s="214"/>
      <c r="U607" s="214"/>
      <c r="V607" s="214"/>
      <c r="W607" s="214"/>
      <c r="X607" s="214"/>
      <c r="Y607" s="214"/>
      <c r="Z607" s="214"/>
      <c r="AA607" s="214"/>
      <c r="AB607" s="214"/>
      <c r="AC607" s="214"/>
    </row>
    <row r="608">
      <c r="A608" s="222"/>
      <c r="D608" s="227" t="s">
        <v>506</v>
      </c>
      <c r="E608" s="227">
        <v>2.0</v>
      </c>
      <c r="F608" s="327"/>
      <c r="G608" s="327"/>
      <c r="H608" s="229" t="s">
        <v>507</v>
      </c>
      <c r="I608" s="230" t="s">
        <v>7</v>
      </c>
      <c r="J608" s="214"/>
      <c r="K608" s="214"/>
      <c r="L608" s="214"/>
      <c r="M608" s="214"/>
      <c r="N608" s="214"/>
      <c r="O608" s="214"/>
      <c r="P608" s="214"/>
      <c r="Q608" s="214"/>
      <c r="R608" s="214"/>
      <c r="S608" s="214"/>
      <c r="T608" s="214"/>
      <c r="U608" s="214"/>
      <c r="V608" s="214"/>
      <c r="W608" s="214"/>
      <c r="X608" s="214"/>
      <c r="Y608" s="214"/>
      <c r="Z608" s="214"/>
      <c r="AA608" s="214"/>
      <c r="AB608" s="214"/>
      <c r="AC608" s="214"/>
    </row>
    <row r="609">
      <c r="A609" s="236"/>
      <c r="B609" s="237"/>
      <c r="C609" s="237"/>
      <c r="D609" s="320" t="s">
        <v>508</v>
      </c>
      <c r="E609" s="320">
        <v>1.0</v>
      </c>
      <c r="F609" s="436"/>
      <c r="G609" s="436"/>
      <c r="H609" s="322" t="s">
        <v>509</v>
      </c>
      <c r="I609" s="437" t="s">
        <v>144</v>
      </c>
      <c r="J609" s="214"/>
      <c r="K609" s="214"/>
      <c r="L609" s="214"/>
      <c r="M609" s="214"/>
      <c r="N609" s="214"/>
      <c r="O609" s="214"/>
      <c r="P609" s="214"/>
      <c r="Q609" s="214"/>
      <c r="R609" s="214"/>
      <c r="S609" s="214"/>
      <c r="T609" s="214"/>
      <c r="U609" s="214"/>
      <c r="V609" s="214"/>
      <c r="W609" s="214"/>
      <c r="X609" s="214"/>
      <c r="Y609" s="214"/>
      <c r="Z609" s="214"/>
      <c r="AA609" s="214"/>
      <c r="AB609" s="214"/>
      <c r="AC609" s="214"/>
    </row>
    <row r="610">
      <c r="A610" s="453" t="s">
        <v>510</v>
      </c>
      <c r="B610" s="409" t="s">
        <v>511</v>
      </c>
      <c r="C610" s="567">
        <f>sum(E610:E614)</f>
        <v>9</v>
      </c>
      <c r="D610" s="227" t="s">
        <v>19</v>
      </c>
      <c r="E610" s="227">
        <v>2.0</v>
      </c>
      <c r="F610" s="327"/>
      <c r="G610" s="327"/>
      <c r="H610" s="229" t="s">
        <v>20</v>
      </c>
      <c r="I610" s="579" t="s">
        <v>7</v>
      </c>
      <c r="J610" s="326"/>
      <c r="K610" s="214"/>
      <c r="L610" s="214"/>
      <c r="M610" s="214"/>
      <c r="N610" s="214"/>
      <c r="O610" s="214"/>
      <c r="P610" s="214"/>
      <c r="Q610" s="214"/>
      <c r="R610" s="214"/>
      <c r="S610" s="214"/>
      <c r="T610" s="214"/>
      <c r="U610" s="214"/>
      <c r="V610" s="214"/>
      <c r="W610" s="214"/>
      <c r="X610" s="214"/>
      <c r="Y610" s="214"/>
      <c r="Z610" s="214"/>
      <c r="AA610" s="214"/>
      <c r="AB610" s="214"/>
      <c r="AC610" s="214"/>
    </row>
    <row r="611">
      <c r="A611" s="222"/>
      <c r="D611" s="333" t="s">
        <v>97</v>
      </c>
      <c r="E611" s="333">
        <v>2.0</v>
      </c>
      <c r="F611" s="296"/>
      <c r="G611" s="276"/>
      <c r="H611" s="334" t="s">
        <v>99</v>
      </c>
      <c r="I611" s="580" t="s">
        <v>98</v>
      </c>
      <c r="J611" s="326"/>
      <c r="K611" s="214"/>
      <c r="L611" s="214"/>
      <c r="M611" s="214"/>
      <c r="N611" s="214"/>
      <c r="O611" s="214"/>
      <c r="P611" s="214"/>
      <c r="Q611" s="214"/>
      <c r="R611" s="214"/>
      <c r="S611" s="214"/>
      <c r="T611" s="214"/>
      <c r="U611" s="214"/>
      <c r="V611" s="214"/>
      <c r="W611" s="214"/>
      <c r="X611" s="214"/>
      <c r="Y611" s="214"/>
      <c r="Z611" s="214"/>
      <c r="AA611" s="214"/>
      <c r="AB611" s="214"/>
      <c r="AC611" s="214"/>
    </row>
    <row r="612">
      <c r="A612" s="222"/>
      <c r="D612" s="271" t="s">
        <v>162</v>
      </c>
      <c r="E612" s="271">
        <v>2.0</v>
      </c>
      <c r="F612" s="317"/>
      <c r="G612" s="272"/>
      <c r="H612" s="273" t="s">
        <v>164</v>
      </c>
      <c r="I612" s="328" t="s">
        <v>163</v>
      </c>
      <c r="J612" s="326"/>
      <c r="K612" s="214"/>
      <c r="L612" s="214"/>
      <c r="M612" s="214"/>
      <c r="N612" s="214"/>
      <c r="O612" s="214"/>
      <c r="P612" s="214"/>
      <c r="Q612" s="214"/>
      <c r="R612" s="214"/>
      <c r="S612" s="214"/>
      <c r="T612" s="214"/>
      <c r="U612" s="214"/>
      <c r="V612" s="214"/>
      <c r="W612" s="214"/>
      <c r="X612" s="214"/>
      <c r="Y612" s="214"/>
      <c r="Z612" s="214"/>
      <c r="AA612" s="214"/>
      <c r="AB612" s="214"/>
      <c r="AC612" s="214"/>
    </row>
    <row r="613">
      <c r="A613" s="222"/>
      <c r="D613" s="369" t="s">
        <v>22</v>
      </c>
      <c r="E613" s="369">
        <v>2.0</v>
      </c>
      <c r="F613" s="371"/>
      <c r="G613" s="371"/>
      <c r="H613" s="372" t="s">
        <v>265</v>
      </c>
      <c r="I613" s="373" t="s">
        <v>23</v>
      </c>
      <c r="J613" s="214"/>
      <c r="K613" s="214"/>
      <c r="L613" s="214"/>
      <c r="M613" s="214"/>
      <c r="N613" s="214"/>
      <c r="O613" s="214"/>
      <c r="P613" s="214"/>
      <c r="Q613" s="214"/>
      <c r="R613" s="214"/>
      <c r="S613" s="214"/>
      <c r="T613" s="214"/>
      <c r="U613" s="214"/>
      <c r="V613" s="214"/>
      <c r="W613" s="214"/>
      <c r="X613" s="214"/>
      <c r="Y613" s="214"/>
      <c r="Z613" s="214"/>
      <c r="AA613" s="214"/>
      <c r="AB613" s="214"/>
      <c r="AC613" s="214"/>
    </row>
    <row r="614">
      <c r="A614" s="236"/>
      <c r="B614" s="237"/>
      <c r="C614" s="237"/>
      <c r="D614" s="232" t="s">
        <v>134</v>
      </c>
      <c r="E614" s="232">
        <v>1.0</v>
      </c>
      <c r="F614" s="233"/>
      <c r="G614" s="233"/>
      <c r="H614" s="234" t="s">
        <v>135</v>
      </c>
      <c r="I614" s="235" t="s">
        <v>105</v>
      </c>
      <c r="J614" s="214"/>
      <c r="K614" s="214"/>
      <c r="L614" s="214"/>
      <c r="M614" s="214"/>
      <c r="N614" s="214"/>
      <c r="O614" s="214"/>
      <c r="P614" s="214"/>
      <c r="Q614" s="214"/>
      <c r="R614" s="214"/>
      <c r="S614" s="214"/>
      <c r="T614" s="214"/>
      <c r="U614" s="214"/>
      <c r="V614" s="214"/>
      <c r="W614" s="214"/>
      <c r="X614" s="214"/>
      <c r="Y614" s="214"/>
      <c r="Z614" s="214"/>
      <c r="AA614" s="214"/>
      <c r="AB614" s="214"/>
      <c r="AC614" s="214"/>
    </row>
    <row r="615">
      <c r="A615" s="215" t="s">
        <v>512</v>
      </c>
      <c r="B615" s="243" t="s">
        <v>513</v>
      </c>
      <c r="C615" s="244">
        <f>sum(E615:E618)</f>
        <v>9</v>
      </c>
      <c r="D615" s="335" t="s">
        <v>162</v>
      </c>
      <c r="E615" s="335">
        <v>2.0</v>
      </c>
      <c r="F615" s="354"/>
      <c r="G615" s="354"/>
      <c r="H615" s="337" t="s">
        <v>164</v>
      </c>
      <c r="I615" s="338" t="s">
        <v>163</v>
      </c>
      <c r="J615" s="214"/>
      <c r="K615" s="214"/>
      <c r="L615" s="214"/>
      <c r="M615" s="214"/>
      <c r="N615" s="214"/>
      <c r="O615" s="214"/>
      <c r="P615" s="214"/>
      <c r="Q615" s="214"/>
      <c r="R615" s="214"/>
      <c r="S615" s="214"/>
      <c r="T615" s="214"/>
      <c r="U615" s="214"/>
      <c r="V615" s="214"/>
      <c r="W615" s="214"/>
      <c r="X615" s="214"/>
      <c r="Y615" s="214"/>
      <c r="Z615" s="214"/>
      <c r="AA615" s="214"/>
      <c r="AB615" s="214"/>
      <c r="AC615" s="214"/>
    </row>
    <row r="616">
      <c r="A616" s="222"/>
      <c r="D616" s="369" t="s">
        <v>22</v>
      </c>
      <c r="E616" s="369">
        <v>2.0</v>
      </c>
      <c r="F616" s="371"/>
      <c r="G616" s="371"/>
      <c r="H616" s="372" t="s">
        <v>265</v>
      </c>
      <c r="I616" s="373" t="s">
        <v>23</v>
      </c>
      <c r="J616" s="214"/>
      <c r="K616" s="214"/>
      <c r="L616" s="214"/>
      <c r="M616" s="214"/>
      <c r="N616" s="214"/>
      <c r="O616" s="214"/>
      <c r="P616" s="214"/>
      <c r="Q616" s="214"/>
      <c r="R616" s="214"/>
      <c r="S616" s="214"/>
      <c r="T616" s="214"/>
      <c r="U616" s="214"/>
      <c r="V616" s="214"/>
      <c r="W616" s="214"/>
      <c r="X616" s="214"/>
      <c r="Y616" s="214"/>
      <c r="Z616" s="214"/>
      <c r="AA616" s="214"/>
      <c r="AB616" s="214"/>
      <c r="AC616" s="214"/>
    </row>
    <row r="617">
      <c r="A617" s="222"/>
      <c r="D617" s="260" t="s">
        <v>64</v>
      </c>
      <c r="E617" s="260">
        <v>3.0</v>
      </c>
      <c r="F617" s="261"/>
      <c r="G617" s="261"/>
      <c r="H617" s="262" t="s">
        <v>66</v>
      </c>
      <c r="I617" s="263" t="s">
        <v>65</v>
      </c>
      <c r="J617" s="214"/>
      <c r="K617" s="214"/>
      <c r="L617" s="214"/>
      <c r="M617" s="214"/>
      <c r="N617" s="214"/>
      <c r="O617" s="214"/>
      <c r="P617" s="214"/>
      <c r="Q617" s="214"/>
      <c r="R617" s="214"/>
      <c r="S617" s="214"/>
      <c r="T617" s="214"/>
      <c r="U617" s="214"/>
      <c r="V617" s="214"/>
      <c r="W617" s="214"/>
      <c r="X617" s="214"/>
      <c r="Y617" s="214"/>
      <c r="Z617" s="214"/>
      <c r="AA617" s="214"/>
      <c r="AB617" s="214"/>
      <c r="AC617" s="214"/>
    </row>
    <row r="618">
      <c r="A618" s="236"/>
      <c r="B618" s="237"/>
      <c r="C618" s="237"/>
      <c r="D618" s="227" t="s">
        <v>254</v>
      </c>
      <c r="E618" s="227">
        <v>2.0</v>
      </c>
      <c r="F618" s="327"/>
      <c r="G618" s="228"/>
      <c r="H618" s="229" t="s">
        <v>255</v>
      </c>
      <c r="I618" s="230" t="s">
        <v>7</v>
      </c>
      <c r="J618" s="214"/>
      <c r="K618" s="214"/>
      <c r="L618" s="214"/>
      <c r="M618" s="214"/>
      <c r="N618" s="214"/>
      <c r="O618" s="214"/>
      <c r="P618" s="214"/>
      <c r="Q618" s="214"/>
      <c r="R618" s="214"/>
      <c r="S618" s="214"/>
      <c r="T618" s="214"/>
      <c r="U618" s="214"/>
      <c r="V618" s="214"/>
      <c r="W618" s="214"/>
      <c r="X618" s="214"/>
      <c r="Y618" s="214"/>
      <c r="Z618" s="214"/>
      <c r="AA618" s="214"/>
      <c r="AB618" s="214"/>
      <c r="AC618" s="214"/>
    </row>
    <row r="619">
      <c r="A619" s="215" t="s">
        <v>514</v>
      </c>
      <c r="B619" s="216" t="s">
        <v>515</v>
      </c>
      <c r="C619" s="244">
        <f>sum(E619:AC622)</f>
        <v>9</v>
      </c>
      <c r="D619" s="335" t="s">
        <v>166</v>
      </c>
      <c r="E619" s="335">
        <v>2.0</v>
      </c>
      <c r="F619" s="336"/>
      <c r="G619" s="354"/>
      <c r="H619" s="337" t="s">
        <v>167</v>
      </c>
      <c r="I619" s="355" t="s">
        <v>163</v>
      </c>
      <c r="J619" s="214"/>
      <c r="K619" s="214"/>
      <c r="L619" s="214"/>
      <c r="M619" s="214"/>
      <c r="N619" s="214"/>
      <c r="O619" s="214"/>
      <c r="P619" s="214"/>
      <c r="Q619" s="214"/>
      <c r="R619" s="214"/>
      <c r="S619" s="214"/>
      <c r="T619" s="214"/>
      <c r="U619" s="214"/>
      <c r="V619" s="214"/>
      <c r="W619" s="214"/>
      <c r="X619" s="214"/>
      <c r="Y619" s="214"/>
      <c r="Z619" s="214"/>
      <c r="AA619" s="214"/>
      <c r="AB619" s="214"/>
      <c r="AC619" s="214"/>
    </row>
    <row r="620">
      <c r="A620" s="222"/>
      <c r="D620" s="369" t="s">
        <v>22</v>
      </c>
      <c r="E620" s="369">
        <v>2.0</v>
      </c>
      <c r="F620" s="371"/>
      <c r="G620" s="371"/>
      <c r="H620" s="372" t="s">
        <v>265</v>
      </c>
      <c r="I620" s="373" t="s">
        <v>23</v>
      </c>
      <c r="J620" s="214"/>
      <c r="K620" s="214"/>
      <c r="L620" s="214"/>
      <c r="M620" s="214"/>
      <c r="N620" s="214"/>
      <c r="O620" s="214"/>
      <c r="P620" s="214"/>
      <c r="Q620" s="214"/>
      <c r="R620" s="214"/>
      <c r="S620" s="214"/>
      <c r="T620" s="214"/>
      <c r="U620" s="214"/>
      <c r="V620" s="214"/>
      <c r="W620" s="214"/>
      <c r="X620" s="214"/>
      <c r="Y620" s="214"/>
      <c r="Z620" s="214"/>
      <c r="AA620" s="214"/>
      <c r="AB620" s="214"/>
      <c r="AC620" s="214"/>
    </row>
    <row r="621">
      <c r="A621" s="222"/>
      <c r="D621" s="286" t="s">
        <v>64</v>
      </c>
      <c r="E621" s="286">
        <v>3.0</v>
      </c>
      <c r="F621" s="318"/>
      <c r="G621" s="261"/>
      <c r="H621" s="262" t="s">
        <v>66</v>
      </c>
      <c r="I621" s="263" t="s">
        <v>65</v>
      </c>
      <c r="J621" s="214"/>
      <c r="K621" s="214"/>
      <c r="L621" s="214"/>
      <c r="M621" s="214"/>
      <c r="N621" s="214"/>
      <c r="O621" s="214"/>
      <c r="P621" s="214"/>
      <c r="Q621" s="214"/>
      <c r="R621" s="214"/>
      <c r="S621" s="214"/>
      <c r="T621" s="214"/>
      <c r="U621" s="214"/>
      <c r="V621" s="214"/>
      <c r="W621" s="214"/>
      <c r="X621" s="214"/>
      <c r="Y621" s="214"/>
      <c r="Z621" s="214"/>
      <c r="AA621" s="214"/>
      <c r="AB621" s="214"/>
      <c r="AC621" s="214"/>
    </row>
    <row r="622">
      <c r="A622" s="236"/>
      <c r="B622" s="237"/>
      <c r="C622" s="237"/>
      <c r="D622" s="430" t="s">
        <v>97</v>
      </c>
      <c r="E622" s="430">
        <v>2.0</v>
      </c>
      <c r="F622" s="450"/>
      <c r="G622" s="431"/>
      <c r="H622" s="432" t="s">
        <v>99</v>
      </c>
      <c r="I622" s="433" t="s">
        <v>98</v>
      </c>
      <c r="J622" s="214"/>
      <c r="K622" s="214"/>
      <c r="L622" s="214"/>
      <c r="M622" s="214"/>
      <c r="N622" s="214"/>
      <c r="O622" s="214"/>
      <c r="P622" s="214"/>
      <c r="Q622" s="214"/>
      <c r="R622" s="214"/>
      <c r="S622" s="214"/>
      <c r="T622" s="214"/>
      <c r="U622" s="214"/>
      <c r="V622" s="214"/>
      <c r="W622" s="214"/>
      <c r="X622" s="214"/>
      <c r="Y622" s="214"/>
      <c r="Z622" s="214"/>
      <c r="AA622" s="214"/>
      <c r="AB622" s="214"/>
      <c r="AC622" s="214"/>
    </row>
    <row r="623">
      <c r="A623" s="215" t="s">
        <v>516</v>
      </c>
      <c r="B623" s="243" t="s">
        <v>231</v>
      </c>
      <c r="C623" s="244">
        <f>sum(E623:E629)</f>
        <v>9</v>
      </c>
      <c r="D623" s="335" t="s">
        <v>162</v>
      </c>
      <c r="E623" s="335">
        <v>2.0</v>
      </c>
      <c r="F623" s="354"/>
      <c r="G623" s="354"/>
      <c r="H623" s="337" t="s">
        <v>164</v>
      </c>
      <c r="I623" s="355" t="s">
        <v>163</v>
      </c>
      <c r="J623" s="214"/>
      <c r="K623" s="214"/>
      <c r="L623" s="214"/>
      <c r="M623" s="214"/>
      <c r="N623" s="214"/>
      <c r="O623" s="214"/>
      <c r="P623" s="214"/>
      <c r="Q623" s="214"/>
      <c r="R623" s="214"/>
      <c r="S623" s="214"/>
      <c r="T623" s="214"/>
      <c r="U623" s="214"/>
      <c r="V623" s="214"/>
      <c r="W623" s="214"/>
      <c r="X623" s="214"/>
      <c r="Y623" s="214"/>
      <c r="Z623" s="214"/>
      <c r="AA623" s="214"/>
      <c r="AB623" s="214"/>
      <c r="AC623" s="214"/>
    </row>
    <row r="624">
      <c r="A624" s="222"/>
      <c r="D624" s="232" t="s">
        <v>104</v>
      </c>
      <c r="E624" s="232">
        <v>2.0</v>
      </c>
      <c r="F624" s="233"/>
      <c r="G624" s="233"/>
      <c r="H624" s="234" t="s">
        <v>106</v>
      </c>
      <c r="I624" s="235" t="s">
        <v>105</v>
      </c>
      <c r="J624" s="214"/>
      <c r="K624" s="214"/>
      <c r="L624" s="214"/>
      <c r="M624" s="214"/>
      <c r="N624" s="214"/>
      <c r="O624" s="214"/>
      <c r="P624" s="214"/>
      <c r="Q624" s="214"/>
      <c r="R624" s="214"/>
      <c r="S624" s="214"/>
      <c r="T624" s="214"/>
      <c r="U624" s="214"/>
      <c r="V624" s="214"/>
      <c r="W624" s="214"/>
      <c r="X624" s="214"/>
      <c r="Y624" s="214"/>
      <c r="Z624" s="214"/>
      <c r="AA624" s="214"/>
      <c r="AB624" s="214"/>
      <c r="AC624" s="214"/>
    </row>
    <row r="625">
      <c r="A625" s="222"/>
      <c r="D625" s="369" t="s">
        <v>22</v>
      </c>
      <c r="E625" s="369">
        <v>2.0</v>
      </c>
      <c r="F625" s="371"/>
      <c r="G625" s="371"/>
      <c r="H625" s="372" t="s">
        <v>265</v>
      </c>
      <c r="I625" s="373" t="s">
        <v>23</v>
      </c>
      <c r="J625" s="214"/>
      <c r="K625" s="214"/>
      <c r="L625" s="214"/>
      <c r="M625" s="214"/>
      <c r="N625" s="214"/>
      <c r="O625" s="214"/>
      <c r="P625" s="214"/>
      <c r="Q625" s="214"/>
      <c r="R625" s="214"/>
      <c r="S625" s="214"/>
      <c r="T625" s="214"/>
      <c r="U625" s="214"/>
      <c r="V625" s="214"/>
      <c r="W625" s="214"/>
      <c r="X625" s="214"/>
      <c r="Y625" s="214"/>
      <c r="Z625" s="214"/>
      <c r="AA625" s="214"/>
      <c r="AB625" s="214"/>
      <c r="AC625" s="214"/>
    </row>
    <row r="626">
      <c r="A626" s="222"/>
      <c r="D626" s="232" t="s">
        <v>131</v>
      </c>
      <c r="E626" s="232">
        <v>1.0</v>
      </c>
      <c r="F626" s="254"/>
      <c r="G626" s="254"/>
      <c r="H626" s="234" t="s">
        <v>132</v>
      </c>
      <c r="I626" s="235" t="s">
        <v>105</v>
      </c>
      <c r="J626" s="214"/>
      <c r="K626" s="214"/>
      <c r="L626" s="214"/>
      <c r="M626" s="214"/>
      <c r="N626" s="214"/>
      <c r="O626" s="214"/>
      <c r="P626" s="214"/>
      <c r="Q626" s="214"/>
      <c r="R626" s="214"/>
      <c r="S626" s="214"/>
      <c r="T626" s="214"/>
      <c r="U626" s="214"/>
      <c r="V626" s="214"/>
      <c r="W626" s="214"/>
      <c r="X626" s="214"/>
      <c r="Y626" s="214"/>
      <c r="Z626" s="214"/>
      <c r="AA626" s="214"/>
      <c r="AB626" s="214"/>
      <c r="AC626" s="214"/>
    </row>
    <row r="627">
      <c r="A627" s="222"/>
      <c r="D627" s="232" t="s">
        <v>126</v>
      </c>
      <c r="E627" s="232">
        <v>1.0</v>
      </c>
      <c r="F627" s="233"/>
      <c r="G627" s="233"/>
      <c r="H627" s="234" t="s">
        <v>127</v>
      </c>
      <c r="I627" s="235" t="s">
        <v>105</v>
      </c>
      <c r="J627" s="214"/>
      <c r="K627" s="214"/>
      <c r="L627" s="214"/>
      <c r="M627" s="214"/>
      <c r="N627" s="214"/>
      <c r="O627" s="214"/>
      <c r="P627" s="214"/>
      <c r="Q627" s="214"/>
      <c r="R627" s="214"/>
      <c r="S627" s="214"/>
      <c r="T627" s="214"/>
      <c r="U627" s="214"/>
      <c r="V627" s="214"/>
      <c r="W627" s="214"/>
      <c r="X627" s="214"/>
      <c r="Y627" s="214"/>
      <c r="Z627" s="214"/>
      <c r="AA627" s="214"/>
      <c r="AB627" s="214"/>
      <c r="AC627" s="214"/>
    </row>
    <row r="628">
      <c r="A628" s="222"/>
      <c r="D628" s="387" t="s">
        <v>55</v>
      </c>
      <c r="E628" s="387">
        <v>1.0</v>
      </c>
      <c r="F628" s="280"/>
      <c r="G628" s="280"/>
      <c r="H628" s="388" t="s">
        <v>56</v>
      </c>
      <c r="I628" s="282" t="s">
        <v>43</v>
      </c>
      <c r="J628" s="214"/>
      <c r="K628" s="214"/>
      <c r="L628" s="214"/>
      <c r="M628" s="214"/>
      <c r="N628" s="214"/>
      <c r="O628" s="214"/>
      <c r="P628" s="214"/>
      <c r="Q628" s="214"/>
      <c r="R628" s="214"/>
      <c r="S628" s="214"/>
      <c r="T628" s="214"/>
      <c r="U628" s="214"/>
      <c r="V628" s="214"/>
      <c r="W628" s="214"/>
      <c r="X628" s="214"/>
      <c r="Y628" s="214"/>
      <c r="Z628" s="214"/>
      <c r="AA628" s="214"/>
      <c r="AB628" s="214"/>
      <c r="AC628" s="214"/>
    </row>
    <row r="629">
      <c r="A629" s="236"/>
      <c r="B629" s="237"/>
      <c r="C629" s="237"/>
      <c r="D629" s="237"/>
      <c r="E629" s="237"/>
      <c r="F629" s="237"/>
      <c r="G629" s="237"/>
      <c r="H629" s="237"/>
      <c r="I629" s="581"/>
      <c r="J629" s="214"/>
      <c r="K629" s="214"/>
      <c r="L629" s="214"/>
      <c r="M629" s="214"/>
      <c r="N629" s="214"/>
      <c r="O629" s="214"/>
      <c r="P629" s="214"/>
      <c r="Q629" s="214"/>
      <c r="R629" s="214"/>
      <c r="S629" s="214"/>
      <c r="T629" s="214"/>
      <c r="U629" s="214"/>
      <c r="V629" s="214"/>
      <c r="W629" s="214"/>
      <c r="X629" s="214"/>
      <c r="Y629" s="214"/>
      <c r="Z629" s="214"/>
      <c r="AA629" s="214"/>
      <c r="AB629" s="214"/>
      <c r="AC629" s="214"/>
    </row>
    <row r="630">
      <c r="A630" s="455" t="s">
        <v>517</v>
      </c>
      <c r="B630" s="492" t="s">
        <v>518</v>
      </c>
      <c r="C630" s="244">
        <f>sum(E630:E635)</f>
        <v>9</v>
      </c>
      <c r="D630" s="245" t="s">
        <v>55</v>
      </c>
      <c r="E630" s="245">
        <v>1.0</v>
      </c>
      <c r="F630" s="246"/>
      <c r="G630" s="246"/>
      <c r="H630" s="247" t="s">
        <v>56</v>
      </c>
      <c r="I630" s="248" t="s">
        <v>43</v>
      </c>
      <c r="J630" s="214"/>
      <c r="K630" s="214"/>
      <c r="L630" s="214"/>
      <c r="M630" s="214"/>
      <c r="N630" s="214"/>
      <c r="O630" s="214"/>
      <c r="P630" s="214"/>
      <c r="Q630" s="214"/>
      <c r="R630" s="214"/>
      <c r="S630" s="214"/>
      <c r="T630" s="214"/>
      <c r="U630" s="214"/>
      <c r="V630" s="214"/>
      <c r="W630" s="214"/>
      <c r="X630" s="214"/>
      <c r="Y630" s="214"/>
      <c r="Z630" s="214"/>
      <c r="AA630" s="214"/>
      <c r="AB630" s="214"/>
      <c r="AC630" s="214"/>
    </row>
    <row r="631">
      <c r="A631" s="222"/>
      <c r="D631" s="227" t="s">
        <v>19</v>
      </c>
      <c r="E631" s="227">
        <v>2.0</v>
      </c>
      <c r="F631" s="327"/>
      <c r="G631" s="327"/>
      <c r="H631" s="229" t="s">
        <v>20</v>
      </c>
      <c r="I631" s="230" t="s">
        <v>7</v>
      </c>
      <c r="J631" s="214"/>
      <c r="K631" s="214"/>
      <c r="L631" s="214"/>
      <c r="M631" s="214"/>
      <c r="N631" s="214"/>
      <c r="O631" s="214"/>
      <c r="P631" s="214"/>
      <c r="Q631" s="214"/>
      <c r="R631" s="214"/>
      <c r="S631" s="214"/>
      <c r="T631" s="214"/>
      <c r="U631" s="214"/>
      <c r="V631" s="214"/>
      <c r="W631" s="214"/>
      <c r="X631" s="214"/>
      <c r="Y631" s="214"/>
      <c r="Z631" s="214"/>
      <c r="AA631" s="214"/>
      <c r="AB631" s="214"/>
      <c r="AC631" s="214"/>
    </row>
    <row r="632">
      <c r="A632" s="222"/>
      <c r="D632" s="434" t="s">
        <v>39</v>
      </c>
      <c r="E632" s="434">
        <v>1.0</v>
      </c>
      <c r="F632" s="384"/>
      <c r="G632" s="384"/>
      <c r="H632" s="435" t="s">
        <v>40</v>
      </c>
      <c r="I632" s="429" t="s">
        <v>30</v>
      </c>
      <c r="J632" s="214"/>
      <c r="K632" s="214"/>
      <c r="L632" s="214"/>
      <c r="M632" s="214"/>
      <c r="N632" s="214"/>
      <c r="O632" s="214"/>
      <c r="P632" s="214"/>
      <c r="Q632" s="214"/>
      <c r="R632" s="214"/>
      <c r="S632" s="214"/>
      <c r="T632" s="214"/>
      <c r="U632" s="214"/>
      <c r="V632" s="214"/>
      <c r="W632" s="214"/>
      <c r="X632" s="214"/>
      <c r="Y632" s="214"/>
      <c r="Z632" s="214"/>
      <c r="AA632" s="214"/>
      <c r="AB632" s="214"/>
      <c r="AC632" s="214"/>
    </row>
    <row r="633">
      <c r="A633" s="222"/>
      <c r="D633" s="279" t="s">
        <v>49</v>
      </c>
      <c r="E633" s="279">
        <v>2.0</v>
      </c>
      <c r="F633" s="316"/>
      <c r="G633" s="316"/>
      <c r="H633" s="281" t="s">
        <v>50</v>
      </c>
      <c r="I633" s="282" t="s">
        <v>43</v>
      </c>
      <c r="J633" s="214"/>
      <c r="K633" s="214"/>
      <c r="L633" s="214"/>
      <c r="M633" s="214"/>
      <c r="N633" s="214"/>
      <c r="O633" s="214"/>
      <c r="P633" s="214"/>
      <c r="Q633" s="214"/>
      <c r="R633" s="214"/>
      <c r="S633" s="214"/>
      <c r="T633" s="214"/>
      <c r="U633" s="214"/>
      <c r="V633" s="214"/>
      <c r="W633" s="214"/>
      <c r="X633" s="214"/>
      <c r="Y633" s="214"/>
      <c r="Z633" s="214"/>
      <c r="AA633" s="214"/>
      <c r="AB633" s="214"/>
      <c r="AC633" s="214"/>
    </row>
    <row r="634">
      <c r="A634" s="222"/>
      <c r="D634" s="286" t="s">
        <v>70</v>
      </c>
      <c r="E634" s="286">
        <v>2.0</v>
      </c>
      <c r="F634" s="318"/>
      <c r="G634" s="318"/>
      <c r="H634" s="262" t="s">
        <v>237</v>
      </c>
      <c r="I634" s="263" t="s">
        <v>65</v>
      </c>
      <c r="J634" s="214"/>
      <c r="K634" s="214"/>
      <c r="L634" s="214"/>
      <c r="M634" s="214"/>
      <c r="N634" s="214"/>
      <c r="O634" s="214"/>
      <c r="P634" s="214"/>
      <c r="Q634" s="214"/>
      <c r="R634" s="214"/>
      <c r="S634" s="214"/>
      <c r="T634" s="214"/>
      <c r="U634" s="214"/>
      <c r="V634" s="214"/>
      <c r="W634" s="214"/>
      <c r="X634" s="214"/>
      <c r="Y634" s="214"/>
      <c r="Z634" s="214"/>
      <c r="AA634" s="214"/>
      <c r="AB634" s="214"/>
      <c r="AC634" s="214"/>
    </row>
    <row r="635">
      <c r="A635" s="236"/>
      <c r="B635" s="237"/>
      <c r="C635" s="237"/>
      <c r="D635" s="232" t="s">
        <v>131</v>
      </c>
      <c r="E635" s="232">
        <v>1.0</v>
      </c>
      <c r="F635" s="254"/>
      <c r="G635" s="254"/>
      <c r="H635" s="234" t="s">
        <v>132</v>
      </c>
      <c r="I635" s="235" t="s">
        <v>105</v>
      </c>
      <c r="J635" s="214"/>
      <c r="K635" s="214"/>
      <c r="L635" s="214"/>
      <c r="M635" s="214"/>
      <c r="N635" s="214"/>
      <c r="O635" s="214"/>
      <c r="P635" s="214"/>
      <c r="Q635" s="214"/>
      <c r="R635" s="214"/>
      <c r="S635" s="214"/>
      <c r="T635" s="214"/>
      <c r="U635" s="214"/>
      <c r="V635" s="214"/>
      <c r="W635" s="214"/>
      <c r="X635" s="214"/>
      <c r="Y635" s="214"/>
      <c r="Z635" s="214"/>
      <c r="AA635" s="214"/>
      <c r="AB635" s="214"/>
      <c r="AC635" s="214"/>
    </row>
    <row r="636">
      <c r="A636" s="242" t="s">
        <v>519</v>
      </c>
      <c r="B636" s="243" t="s">
        <v>520</v>
      </c>
      <c r="C636" s="244">
        <f>sum(E636:E639)</f>
        <v>9</v>
      </c>
      <c r="D636" s="335" t="s">
        <v>162</v>
      </c>
      <c r="E636" s="335">
        <v>2.0</v>
      </c>
      <c r="F636" s="336"/>
      <c r="G636" s="354"/>
      <c r="H636" s="337" t="s">
        <v>164</v>
      </c>
      <c r="I636" s="355" t="s">
        <v>163</v>
      </c>
      <c r="J636" s="214"/>
      <c r="K636" s="214"/>
      <c r="L636" s="214"/>
      <c r="M636" s="214"/>
      <c r="N636" s="214"/>
      <c r="O636" s="214"/>
      <c r="P636" s="214"/>
      <c r="Q636" s="214"/>
      <c r="R636" s="214"/>
      <c r="S636" s="214"/>
      <c r="T636" s="214"/>
      <c r="U636" s="214"/>
      <c r="V636" s="214"/>
      <c r="W636" s="214"/>
      <c r="X636" s="214"/>
      <c r="Y636" s="214"/>
      <c r="Z636" s="214"/>
      <c r="AA636" s="214"/>
      <c r="AB636" s="214"/>
      <c r="AC636" s="214"/>
    </row>
    <row r="637">
      <c r="A637" s="222"/>
      <c r="D637" s="286" t="s">
        <v>79</v>
      </c>
      <c r="E637" s="286">
        <v>2.0</v>
      </c>
      <c r="F637" s="318"/>
      <c r="G637" s="318"/>
      <c r="H637" s="262" t="s">
        <v>80</v>
      </c>
      <c r="I637" s="319" t="s">
        <v>65</v>
      </c>
      <c r="J637" s="214"/>
      <c r="K637" s="214"/>
      <c r="L637" s="214"/>
      <c r="M637" s="214"/>
      <c r="N637" s="214"/>
      <c r="O637" s="214"/>
      <c r="P637" s="214"/>
      <c r="Q637" s="214"/>
      <c r="R637" s="214"/>
      <c r="S637" s="214"/>
      <c r="T637" s="214"/>
      <c r="U637" s="214"/>
      <c r="V637" s="214"/>
      <c r="W637" s="214"/>
      <c r="X637" s="214"/>
      <c r="Y637" s="214"/>
      <c r="Z637" s="214"/>
      <c r="AA637" s="214"/>
      <c r="AB637" s="214"/>
      <c r="AC637" s="214"/>
    </row>
    <row r="638">
      <c r="A638" s="222"/>
      <c r="D638" s="333" t="s">
        <v>101</v>
      </c>
      <c r="E638" s="333">
        <v>2.0</v>
      </c>
      <c r="F638" s="296"/>
      <c r="G638" s="296"/>
      <c r="H638" s="334" t="s">
        <v>102</v>
      </c>
      <c r="I638" s="297" t="s">
        <v>98</v>
      </c>
      <c r="J638" s="214"/>
      <c r="K638" s="214"/>
      <c r="L638" s="214"/>
      <c r="M638" s="214"/>
      <c r="N638" s="214"/>
      <c r="O638" s="214"/>
      <c r="P638" s="214"/>
      <c r="Q638" s="214"/>
      <c r="R638" s="214"/>
      <c r="S638" s="214"/>
      <c r="T638" s="214"/>
      <c r="U638" s="214"/>
      <c r="V638" s="214"/>
      <c r="W638" s="214"/>
      <c r="X638" s="214"/>
      <c r="Y638" s="214"/>
      <c r="Z638" s="214"/>
      <c r="AA638" s="214"/>
      <c r="AB638" s="214"/>
      <c r="AC638" s="214"/>
    </row>
    <row r="639">
      <c r="A639" s="236"/>
      <c r="B639" s="237"/>
      <c r="C639" s="237"/>
      <c r="D639" s="320" t="s">
        <v>147</v>
      </c>
      <c r="E639" s="320">
        <v>3.0</v>
      </c>
      <c r="F639" s="321"/>
      <c r="G639" s="321"/>
      <c r="H639" s="322" t="s">
        <v>145</v>
      </c>
      <c r="I639" s="323" t="s">
        <v>144</v>
      </c>
      <c r="J639" s="214"/>
      <c r="K639" s="214"/>
      <c r="L639" s="214"/>
      <c r="M639" s="214"/>
      <c r="N639" s="214"/>
      <c r="O639" s="214"/>
      <c r="P639" s="214"/>
      <c r="Q639" s="214"/>
      <c r="R639" s="214"/>
      <c r="S639" s="214"/>
      <c r="T639" s="214"/>
      <c r="U639" s="214"/>
      <c r="V639" s="214"/>
      <c r="W639" s="214"/>
      <c r="X639" s="214"/>
      <c r="Y639" s="214"/>
      <c r="Z639" s="214"/>
      <c r="AA639" s="214"/>
      <c r="AB639" s="214"/>
      <c r="AC639" s="214"/>
    </row>
    <row r="640">
      <c r="A640" s="215" t="s">
        <v>521</v>
      </c>
      <c r="B640" s="243" t="s">
        <v>522</v>
      </c>
      <c r="C640" s="244">
        <f>sum(E640:E645)</f>
        <v>9</v>
      </c>
      <c r="D640" s="308" t="s">
        <v>120</v>
      </c>
      <c r="E640" s="308">
        <v>1.0</v>
      </c>
      <c r="F640" s="309"/>
      <c r="G640" s="309"/>
      <c r="H640" s="310" t="s">
        <v>289</v>
      </c>
      <c r="I640" s="311" t="s">
        <v>105</v>
      </c>
      <c r="J640" s="214"/>
      <c r="K640" s="214"/>
      <c r="L640" s="214"/>
      <c r="M640" s="214"/>
      <c r="N640" s="214"/>
      <c r="O640" s="214"/>
      <c r="P640" s="214"/>
      <c r="Q640" s="214"/>
      <c r="R640" s="214"/>
      <c r="S640" s="214"/>
      <c r="T640" s="214"/>
      <c r="U640" s="214"/>
      <c r="V640" s="214"/>
      <c r="W640" s="214"/>
      <c r="X640" s="214"/>
      <c r="Y640" s="214"/>
      <c r="Z640" s="214"/>
      <c r="AA640" s="214"/>
      <c r="AB640" s="214"/>
      <c r="AC640" s="214"/>
    </row>
    <row r="641">
      <c r="A641" s="222"/>
      <c r="D641" s="232" t="s">
        <v>117</v>
      </c>
      <c r="E641" s="232">
        <v>1.0</v>
      </c>
      <c r="F641" s="233"/>
      <c r="G641" s="233"/>
      <c r="H641" s="234" t="s">
        <v>238</v>
      </c>
      <c r="I641" s="235" t="s">
        <v>105</v>
      </c>
      <c r="J641" s="214"/>
      <c r="K641" s="214"/>
      <c r="L641" s="214"/>
      <c r="M641" s="214"/>
      <c r="N641" s="214"/>
      <c r="O641" s="214"/>
      <c r="P641" s="214"/>
      <c r="Q641" s="214"/>
      <c r="R641" s="214"/>
      <c r="S641" s="214"/>
      <c r="T641" s="214"/>
      <c r="U641" s="214"/>
      <c r="V641" s="214"/>
      <c r="W641" s="214"/>
      <c r="X641" s="214"/>
      <c r="Y641" s="214"/>
      <c r="Z641" s="214"/>
      <c r="AA641" s="214"/>
      <c r="AB641" s="214"/>
      <c r="AC641" s="214"/>
    </row>
    <row r="642">
      <c r="A642" s="222"/>
      <c r="D642" s="271" t="s">
        <v>162</v>
      </c>
      <c r="E642" s="271">
        <v>2.0</v>
      </c>
      <c r="F642" s="317"/>
      <c r="G642" s="272"/>
      <c r="H642" s="273" t="s">
        <v>164</v>
      </c>
      <c r="I642" s="274" t="s">
        <v>163</v>
      </c>
      <c r="J642" s="214"/>
      <c r="K642" s="214"/>
      <c r="L642" s="214"/>
      <c r="M642" s="214"/>
      <c r="N642" s="214"/>
      <c r="O642" s="214"/>
      <c r="P642" s="214"/>
      <c r="Q642" s="214"/>
      <c r="R642" s="214"/>
      <c r="S642" s="214"/>
      <c r="T642" s="214"/>
      <c r="U642" s="214"/>
      <c r="V642" s="214"/>
      <c r="W642" s="214"/>
      <c r="X642" s="214"/>
      <c r="Y642" s="214"/>
      <c r="Z642" s="214"/>
      <c r="AA642" s="214"/>
      <c r="AB642" s="214"/>
      <c r="AC642" s="214"/>
    </row>
    <row r="643">
      <c r="A643" s="222"/>
      <c r="D643" s="279" t="s">
        <v>52</v>
      </c>
      <c r="E643" s="279">
        <v>1.0</v>
      </c>
      <c r="F643" s="280"/>
      <c r="G643" s="280"/>
      <c r="H643" s="281" t="s">
        <v>53</v>
      </c>
      <c r="I643" s="282" t="s">
        <v>43</v>
      </c>
      <c r="J643" s="214"/>
      <c r="K643" s="214"/>
      <c r="L643" s="214"/>
      <c r="M643" s="214"/>
      <c r="N643" s="214"/>
      <c r="O643" s="214"/>
      <c r="P643" s="214"/>
      <c r="Q643" s="214"/>
      <c r="R643" s="214"/>
      <c r="S643" s="214"/>
      <c r="T643" s="214"/>
      <c r="U643" s="214"/>
      <c r="V643" s="214"/>
      <c r="W643" s="214"/>
      <c r="X643" s="214"/>
      <c r="Y643" s="214"/>
      <c r="Z643" s="214"/>
      <c r="AA643" s="214"/>
      <c r="AB643" s="214"/>
      <c r="AC643" s="214"/>
    </row>
    <row r="644">
      <c r="A644" s="222"/>
      <c r="D644" s="299" t="s">
        <v>159</v>
      </c>
      <c r="E644" s="299">
        <v>1.0</v>
      </c>
      <c r="F644" s="251"/>
      <c r="G644" s="251"/>
      <c r="H644" s="312" t="s">
        <v>160</v>
      </c>
      <c r="I644" s="253" t="s">
        <v>144</v>
      </c>
      <c r="J644" s="214"/>
      <c r="K644" s="214"/>
      <c r="L644" s="214"/>
      <c r="M644" s="214"/>
      <c r="N644" s="214"/>
      <c r="O644" s="214"/>
      <c r="P644" s="214"/>
      <c r="Q644" s="214"/>
      <c r="R644" s="214"/>
      <c r="S644" s="214"/>
      <c r="T644" s="214"/>
      <c r="U644" s="214"/>
      <c r="V644" s="214"/>
      <c r="W644" s="214"/>
      <c r="X644" s="214"/>
      <c r="Y644" s="214"/>
      <c r="Z644" s="214"/>
      <c r="AA644" s="214"/>
      <c r="AB644" s="214"/>
      <c r="AC644" s="214"/>
    </row>
    <row r="645">
      <c r="A645" s="236"/>
      <c r="B645" s="237"/>
      <c r="C645" s="237"/>
      <c r="D645" s="418" t="s">
        <v>523</v>
      </c>
      <c r="E645" s="418">
        <v>3.0</v>
      </c>
      <c r="F645" s="539"/>
      <c r="G645" s="539"/>
      <c r="H645" s="420" t="s">
        <v>265</v>
      </c>
      <c r="I645" s="421" t="s">
        <v>23</v>
      </c>
      <c r="J645" s="214"/>
      <c r="K645" s="214"/>
      <c r="L645" s="214"/>
      <c r="M645" s="214"/>
      <c r="N645" s="214"/>
      <c r="O645" s="214"/>
      <c r="P645" s="214"/>
      <c r="Q645" s="214"/>
      <c r="R645" s="214"/>
      <c r="S645" s="214"/>
      <c r="T645" s="214"/>
      <c r="U645" s="214"/>
      <c r="V645" s="214"/>
      <c r="W645" s="214"/>
      <c r="X645" s="214"/>
      <c r="Y645" s="214"/>
      <c r="Z645" s="214"/>
      <c r="AA645" s="214"/>
      <c r="AB645" s="214"/>
      <c r="AC645" s="214"/>
    </row>
    <row r="646">
      <c r="A646" s="215" t="s">
        <v>524</v>
      </c>
      <c r="B646" s="216" t="s">
        <v>525</v>
      </c>
      <c r="C646" s="244">
        <f>sum(E646:E649)</f>
        <v>9</v>
      </c>
      <c r="D646" s="245" t="s">
        <v>49</v>
      </c>
      <c r="E646" s="245">
        <v>2.0</v>
      </c>
      <c r="F646" s="246"/>
      <c r="G646" s="246"/>
      <c r="H646" s="247" t="s">
        <v>50</v>
      </c>
      <c r="I646" s="248" t="s">
        <v>43</v>
      </c>
      <c r="J646" s="214"/>
      <c r="K646" s="214"/>
      <c r="L646" s="214"/>
      <c r="M646" s="214"/>
      <c r="N646" s="214"/>
      <c r="O646" s="214"/>
      <c r="P646" s="214"/>
      <c r="Q646" s="214"/>
      <c r="R646" s="214"/>
      <c r="S646" s="214"/>
      <c r="T646" s="214"/>
      <c r="U646" s="214"/>
      <c r="V646" s="214"/>
      <c r="W646" s="214"/>
      <c r="X646" s="214"/>
      <c r="Y646" s="214"/>
      <c r="Z646" s="214"/>
      <c r="AA646" s="214"/>
      <c r="AB646" s="214"/>
      <c r="AC646" s="214"/>
    </row>
    <row r="647">
      <c r="A647" s="222"/>
      <c r="D647" s="286" t="s">
        <v>64</v>
      </c>
      <c r="E647" s="286">
        <v>3.0</v>
      </c>
      <c r="F647" s="261"/>
      <c r="G647" s="261"/>
      <c r="H647" s="262" t="s">
        <v>66</v>
      </c>
      <c r="I647" s="263" t="s">
        <v>65</v>
      </c>
      <c r="J647" s="214"/>
      <c r="K647" s="214"/>
      <c r="L647" s="214"/>
      <c r="M647" s="214"/>
      <c r="N647" s="214"/>
      <c r="O647" s="214"/>
      <c r="P647" s="214"/>
      <c r="Q647" s="214"/>
      <c r="R647" s="214"/>
      <c r="S647" s="214"/>
      <c r="T647" s="214"/>
      <c r="U647" s="214"/>
      <c r="V647" s="214"/>
      <c r="W647" s="214"/>
      <c r="X647" s="214"/>
      <c r="Y647" s="214"/>
      <c r="Z647" s="214"/>
      <c r="AA647" s="214"/>
      <c r="AB647" s="214"/>
      <c r="AC647" s="214"/>
    </row>
    <row r="648">
      <c r="A648" s="222"/>
      <c r="D648" s="299" t="s">
        <v>147</v>
      </c>
      <c r="E648" s="299">
        <v>3.0</v>
      </c>
      <c r="F648" s="251"/>
      <c r="G648" s="251"/>
      <c r="H648" s="312" t="s">
        <v>145</v>
      </c>
      <c r="I648" s="253" t="s">
        <v>144</v>
      </c>
      <c r="J648" s="214"/>
      <c r="K648" s="214"/>
      <c r="L648" s="214"/>
      <c r="M648" s="214"/>
      <c r="N648" s="214"/>
      <c r="O648" s="214"/>
      <c r="P648" s="214"/>
      <c r="Q648" s="214"/>
      <c r="R648" s="214"/>
      <c r="S648" s="214"/>
      <c r="T648" s="214"/>
      <c r="U648" s="214"/>
      <c r="V648" s="214"/>
      <c r="W648" s="214"/>
      <c r="X648" s="214"/>
      <c r="Y648" s="214"/>
      <c r="Z648" s="214"/>
      <c r="AA648" s="214"/>
      <c r="AB648" s="214"/>
      <c r="AC648" s="214"/>
    </row>
    <row r="649">
      <c r="A649" s="236"/>
      <c r="B649" s="237"/>
      <c r="C649" s="237"/>
      <c r="D649" s="287" t="s">
        <v>117</v>
      </c>
      <c r="E649" s="287">
        <v>1.0</v>
      </c>
      <c r="F649" s="288"/>
      <c r="G649" s="288"/>
      <c r="H649" s="289" t="s">
        <v>238</v>
      </c>
      <c r="I649" s="290" t="s">
        <v>105</v>
      </c>
      <c r="J649" s="214"/>
      <c r="K649" s="214"/>
      <c r="L649" s="214"/>
      <c r="M649" s="214"/>
      <c r="N649" s="214"/>
      <c r="O649" s="214"/>
      <c r="P649" s="214"/>
      <c r="Q649" s="214"/>
      <c r="R649" s="214"/>
      <c r="S649" s="214"/>
      <c r="T649" s="214"/>
      <c r="U649" s="214"/>
      <c r="V649" s="214"/>
      <c r="W649" s="214"/>
      <c r="X649" s="214"/>
      <c r="Y649" s="214"/>
      <c r="Z649" s="214"/>
      <c r="AA649" s="214"/>
      <c r="AB649" s="214"/>
      <c r="AC649" s="214"/>
    </row>
    <row r="650">
      <c r="A650" s="540" t="s">
        <v>526</v>
      </c>
      <c r="B650" s="243" t="s">
        <v>527</v>
      </c>
      <c r="C650" s="244">
        <f>sum(E650:E653)</f>
        <v>9</v>
      </c>
      <c r="D650" s="356" t="s">
        <v>11</v>
      </c>
      <c r="E650" s="356">
        <v>2.0</v>
      </c>
      <c r="F650" s="357"/>
      <c r="G650" s="357"/>
      <c r="H650" s="447" t="s">
        <v>294</v>
      </c>
      <c r="I650" s="359" t="s">
        <v>7</v>
      </c>
      <c r="J650" s="214"/>
      <c r="K650" s="214"/>
      <c r="L650" s="214"/>
      <c r="M650" s="214"/>
      <c r="N650" s="214"/>
      <c r="O650" s="214"/>
      <c r="P650" s="214"/>
      <c r="Q650" s="214"/>
      <c r="R650" s="214"/>
      <c r="S650" s="214"/>
      <c r="T650" s="214"/>
      <c r="U650" s="214"/>
      <c r="V650" s="214"/>
      <c r="W650" s="214"/>
      <c r="X650" s="214"/>
      <c r="Y650" s="214"/>
      <c r="Z650" s="214"/>
      <c r="AA650" s="214"/>
      <c r="AB650" s="214"/>
      <c r="AC650" s="214"/>
    </row>
    <row r="651">
      <c r="A651" s="222"/>
      <c r="D651" s="299" t="s">
        <v>147</v>
      </c>
      <c r="E651" s="299">
        <v>3.0</v>
      </c>
      <c r="F651" s="251"/>
      <c r="G651" s="251"/>
      <c r="H651" s="312" t="s">
        <v>145</v>
      </c>
      <c r="I651" s="253" t="s">
        <v>144</v>
      </c>
      <c r="J651" s="214"/>
      <c r="K651" s="214"/>
      <c r="L651" s="214"/>
      <c r="M651" s="214"/>
      <c r="N651" s="214"/>
      <c r="O651" s="214"/>
      <c r="P651" s="214"/>
      <c r="Q651" s="214"/>
      <c r="R651" s="214"/>
      <c r="S651" s="214"/>
      <c r="T651" s="214"/>
      <c r="U651" s="214"/>
      <c r="V651" s="214"/>
      <c r="W651" s="214"/>
      <c r="X651" s="214"/>
      <c r="Y651" s="214"/>
      <c r="Z651" s="214"/>
      <c r="AA651" s="214"/>
      <c r="AB651" s="214"/>
      <c r="AC651" s="214"/>
    </row>
    <row r="652">
      <c r="A652" s="222"/>
      <c r="D652" s="271" t="s">
        <v>162</v>
      </c>
      <c r="E652" s="271">
        <v>2.0</v>
      </c>
      <c r="F652" s="317"/>
      <c r="G652" s="272"/>
      <c r="H652" s="273" t="s">
        <v>164</v>
      </c>
      <c r="I652" s="274" t="s">
        <v>163</v>
      </c>
      <c r="J652" s="214"/>
      <c r="K652" s="214"/>
      <c r="L652" s="214"/>
      <c r="M652" s="214"/>
      <c r="N652" s="214"/>
      <c r="O652" s="214"/>
      <c r="P652" s="214"/>
      <c r="Q652" s="214"/>
      <c r="R652" s="214"/>
      <c r="S652" s="214"/>
      <c r="T652" s="214"/>
      <c r="U652" s="214"/>
      <c r="V652" s="214"/>
      <c r="W652" s="214"/>
      <c r="X652" s="214"/>
      <c r="Y652" s="214"/>
      <c r="Z652" s="214"/>
      <c r="AA652" s="214"/>
      <c r="AB652" s="214"/>
      <c r="AC652" s="214"/>
    </row>
    <row r="653">
      <c r="A653" s="222"/>
      <c r="D653" s="232" t="s">
        <v>108</v>
      </c>
      <c r="E653" s="232">
        <v>2.0</v>
      </c>
      <c r="F653" s="254"/>
      <c r="G653" s="254"/>
      <c r="H653" s="234" t="s">
        <v>109</v>
      </c>
      <c r="I653" s="537" t="s">
        <v>105</v>
      </c>
      <c r="J653" s="214"/>
      <c r="K653" s="214"/>
      <c r="L653" s="214"/>
      <c r="M653" s="214"/>
      <c r="N653" s="214"/>
      <c r="O653" s="214"/>
      <c r="P653" s="214"/>
      <c r="Q653" s="214"/>
      <c r="R653" s="214"/>
      <c r="S653" s="214"/>
      <c r="T653" s="214"/>
      <c r="U653" s="214"/>
      <c r="V653" s="214"/>
      <c r="W653" s="214"/>
      <c r="X653" s="214"/>
      <c r="Y653" s="214"/>
      <c r="Z653" s="214"/>
      <c r="AA653" s="214"/>
      <c r="AB653" s="214"/>
      <c r="AC653" s="214"/>
    </row>
    <row r="654">
      <c r="A654" s="242" t="s">
        <v>528</v>
      </c>
      <c r="B654" s="243" t="s">
        <v>529</v>
      </c>
      <c r="C654" s="244">
        <f>sum(E654:E659)</f>
        <v>9</v>
      </c>
      <c r="D654" s="426" t="s">
        <v>22</v>
      </c>
      <c r="E654" s="426">
        <v>2.0</v>
      </c>
      <c r="F654" s="396"/>
      <c r="G654" s="397"/>
      <c r="H654" s="427" t="s">
        <v>265</v>
      </c>
      <c r="I654" s="428" t="s">
        <v>23</v>
      </c>
      <c r="J654" s="214"/>
      <c r="K654" s="214"/>
      <c r="L654" s="214"/>
      <c r="M654" s="214"/>
      <c r="N654" s="214"/>
      <c r="O654" s="214"/>
      <c r="P654" s="214"/>
      <c r="Q654" s="214"/>
      <c r="R654" s="214"/>
      <c r="S654" s="214"/>
      <c r="T654" s="214"/>
      <c r="U654" s="214"/>
      <c r="V654" s="214"/>
      <c r="W654" s="214"/>
      <c r="X654" s="214"/>
      <c r="Y654" s="214"/>
      <c r="Z654" s="214"/>
      <c r="AA654" s="214"/>
      <c r="AB654" s="214"/>
      <c r="AC654" s="214"/>
    </row>
    <row r="655">
      <c r="A655" s="222"/>
      <c r="D655" s="279" t="s">
        <v>52</v>
      </c>
      <c r="E655" s="279">
        <v>1.0</v>
      </c>
      <c r="F655" s="280"/>
      <c r="G655" s="280"/>
      <c r="H655" s="281" t="s">
        <v>53</v>
      </c>
      <c r="I655" s="282" t="s">
        <v>43</v>
      </c>
      <c r="J655" s="214"/>
      <c r="K655" s="214"/>
      <c r="L655" s="214"/>
      <c r="M655" s="214"/>
      <c r="N655" s="214"/>
      <c r="O655" s="214"/>
      <c r="P655" s="214"/>
      <c r="Q655" s="214"/>
      <c r="R655" s="214"/>
      <c r="S655" s="214"/>
      <c r="T655" s="214"/>
      <c r="U655" s="214"/>
      <c r="V655" s="214"/>
      <c r="W655" s="214"/>
      <c r="X655" s="214"/>
      <c r="Y655" s="214"/>
      <c r="Z655" s="214"/>
      <c r="AA655" s="214"/>
      <c r="AB655" s="214"/>
      <c r="AC655" s="214"/>
    </row>
    <row r="656">
      <c r="A656" s="222"/>
      <c r="D656" s="271" t="s">
        <v>166</v>
      </c>
      <c r="E656" s="271">
        <v>2.0</v>
      </c>
      <c r="F656" s="272"/>
      <c r="G656" s="272"/>
      <c r="H656" s="273" t="s">
        <v>167</v>
      </c>
      <c r="I656" s="274" t="s">
        <v>163</v>
      </c>
      <c r="J656" s="214"/>
      <c r="K656" s="214"/>
      <c r="L656" s="214"/>
      <c r="M656" s="214"/>
      <c r="N656" s="214"/>
      <c r="O656" s="214"/>
      <c r="P656" s="214"/>
      <c r="Q656" s="214"/>
      <c r="R656" s="214"/>
      <c r="S656" s="214"/>
      <c r="T656" s="214"/>
      <c r="U656" s="214"/>
      <c r="V656" s="214"/>
      <c r="W656" s="214"/>
      <c r="X656" s="214"/>
      <c r="Y656" s="214"/>
      <c r="Z656" s="214"/>
      <c r="AA656" s="214"/>
      <c r="AB656" s="214"/>
      <c r="AC656" s="214"/>
    </row>
    <row r="657">
      <c r="A657" s="222"/>
      <c r="D657" s="286" t="s">
        <v>79</v>
      </c>
      <c r="E657" s="286">
        <v>2.0</v>
      </c>
      <c r="F657" s="318"/>
      <c r="G657" s="318"/>
      <c r="H657" s="262" t="s">
        <v>80</v>
      </c>
      <c r="I657" s="319" t="s">
        <v>65</v>
      </c>
      <c r="J657" s="214"/>
      <c r="K657" s="214"/>
      <c r="L657" s="214"/>
      <c r="M657" s="214"/>
      <c r="N657" s="214"/>
      <c r="O657" s="214"/>
      <c r="P657" s="214"/>
      <c r="Q657" s="214"/>
      <c r="R657" s="214"/>
      <c r="S657" s="214"/>
      <c r="T657" s="214"/>
      <c r="U657" s="214"/>
      <c r="V657" s="214"/>
      <c r="W657" s="214"/>
      <c r="X657" s="214"/>
      <c r="Y657" s="214"/>
      <c r="Z657" s="214"/>
      <c r="AA657" s="214"/>
      <c r="AB657" s="214"/>
      <c r="AC657" s="214"/>
    </row>
    <row r="658">
      <c r="A658" s="222"/>
      <c r="D658" s="232" t="s">
        <v>117</v>
      </c>
      <c r="E658" s="232">
        <v>1.0</v>
      </c>
      <c r="F658" s="233"/>
      <c r="G658" s="233"/>
      <c r="H658" s="234" t="s">
        <v>238</v>
      </c>
      <c r="I658" s="235" t="s">
        <v>105</v>
      </c>
      <c r="J658" s="214"/>
      <c r="K658" s="214"/>
      <c r="L658" s="214"/>
      <c r="M658" s="214"/>
      <c r="N658" s="214"/>
      <c r="O658" s="214"/>
      <c r="P658" s="214"/>
      <c r="Q658" s="214"/>
      <c r="R658" s="214"/>
      <c r="S658" s="214"/>
      <c r="T658" s="214"/>
      <c r="U658" s="214"/>
      <c r="V658" s="214"/>
      <c r="W658" s="214"/>
      <c r="X658" s="214"/>
      <c r="Y658" s="214"/>
      <c r="Z658" s="214"/>
      <c r="AA658" s="214"/>
      <c r="AB658" s="214"/>
      <c r="AC658" s="214"/>
    </row>
    <row r="659">
      <c r="A659" s="236"/>
      <c r="B659" s="237"/>
      <c r="C659" s="237"/>
      <c r="D659" s="459" t="s">
        <v>123</v>
      </c>
      <c r="E659" s="459">
        <v>1.0</v>
      </c>
      <c r="F659" s="404"/>
      <c r="G659" s="288"/>
      <c r="H659" s="460" t="s">
        <v>124</v>
      </c>
      <c r="I659" s="290" t="s">
        <v>105</v>
      </c>
      <c r="J659" s="214"/>
      <c r="K659" s="214"/>
      <c r="L659" s="214"/>
      <c r="M659" s="214"/>
      <c r="N659" s="214"/>
      <c r="O659" s="214"/>
      <c r="P659" s="214"/>
      <c r="Q659" s="214"/>
      <c r="R659" s="214"/>
      <c r="S659" s="214"/>
      <c r="T659" s="214"/>
      <c r="U659" s="214"/>
      <c r="V659" s="214"/>
      <c r="W659" s="214"/>
      <c r="X659" s="214"/>
      <c r="Y659" s="214"/>
      <c r="Z659" s="214"/>
      <c r="AA659" s="214"/>
      <c r="AB659" s="214"/>
      <c r="AC659" s="214"/>
    </row>
    <row r="660">
      <c r="A660" s="242" t="s">
        <v>530</v>
      </c>
      <c r="B660" s="243" t="s">
        <v>312</v>
      </c>
      <c r="C660" s="244">
        <f>sum(E660:E666)</f>
        <v>9</v>
      </c>
      <c r="D660" s="472" t="s">
        <v>120</v>
      </c>
      <c r="E660" s="472">
        <v>1.0</v>
      </c>
      <c r="F660" s="309"/>
      <c r="G660" s="309"/>
      <c r="H660" s="474" t="s">
        <v>121</v>
      </c>
      <c r="I660" s="311" t="s">
        <v>105</v>
      </c>
      <c r="J660" s="214"/>
      <c r="K660" s="214"/>
      <c r="L660" s="214"/>
      <c r="M660" s="214"/>
      <c r="N660" s="214"/>
      <c r="O660" s="214"/>
      <c r="P660" s="214"/>
      <c r="Q660" s="214"/>
      <c r="R660" s="214"/>
      <c r="S660" s="214"/>
      <c r="T660" s="214"/>
      <c r="U660" s="214"/>
      <c r="V660" s="214"/>
      <c r="W660" s="214"/>
      <c r="X660" s="214"/>
      <c r="Y660" s="214"/>
      <c r="Z660" s="214"/>
      <c r="AA660" s="214"/>
      <c r="AB660" s="214"/>
      <c r="AC660" s="214"/>
    </row>
    <row r="661">
      <c r="A661" s="222"/>
      <c r="D661" s="279" t="s">
        <v>52</v>
      </c>
      <c r="E661" s="279">
        <v>1.0</v>
      </c>
      <c r="F661" s="280"/>
      <c r="G661" s="280"/>
      <c r="H661" s="281" t="s">
        <v>53</v>
      </c>
      <c r="I661" s="448" t="s">
        <v>43</v>
      </c>
      <c r="J661" s="214"/>
      <c r="K661" s="214"/>
      <c r="L661" s="214"/>
      <c r="M661" s="214"/>
      <c r="N661" s="214"/>
      <c r="O661" s="214"/>
      <c r="P661" s="214"/>
      <c r="Q661" s="214"/>
      <c r="R661" s="214"/>
      <c r="S661" s="214"/>
      <c r="T661" s="214"/>
      <c r="U661" s="214"/>
      <c r="V661" s="214"/>
      <c r="W661" s="214"/>
      <c r="X661" s="214"/>
      <c r="Y661" s="214"/>
      <c r="Z661" s="214"/>
      <c r="AA661" s="214"/>
      <c r="AB661" s="214"/>
      <c r="AC661" s="214"/>
    </row>
    <row r="662">
      <c r="A662" s="222"/>
      <c r="D662" s="271" t="s">
        <v>162</v>
      </c>
      <c r="E662" s="271">
        <v>2.0</v>
      </c>
      <c r="F662" s="317"/>
      <c r="G662" s="272"/>
      <c r="H662" s="273" t="s">
        <v>164</v>
      </c>
      <c r="I662" s="274" t="s">
        <v>163</v>
      </c>
      <c r="J662" s="214"/>
      <c r="K662" s="214"/>
      <c r="L662" s="214"/>
      <c r="M662" s="214"/>
      <c r="N662" s="214"/>
      <c r="O662" s="214"/>
      <c r="P662" s="214"/>
      <c r="Q662" s="214"/>
      <c r="R662" s="214"/>
      <c r="S662" s="214"/>
      <c r="T662" s="214"/>
      <c r="U662" s="214"/>
      <c r="V662" s="214"/>
      <c r="W662" s="214"/>
      <c r="X662" s="214"/>
      <c r="Y662" s="214"/>
      <c r="Z662" s="214"/>
      <c r="AA662" s="214"/>
      <c r="AB662" s="214"/>
      <c r="AC662" s="214"/>
    </row>
    <row r="663">
      <c r="A663" s="222"/>
      <c r="D663" s="286" t="s">
        <v>64</v>
      </c>
      <c r="E663" s="286">
        <v>3.0</v>
      </c>
      <c r="F663" s="261"/>
      <c r="G663" s="261"/>
      <c r="H663" s="262" t="s">
        <v>66</v>
      </c>
      <c r="I663" s="263" t="s">
        <v>65</v>
      </c>
      <c r="J663" s="214"/>
      <c r="K663" s="214"/>
      <c r="L663" s="214"/>
      <c r="M663" s="214"/>
      <c r="N663" s="214"/>
      <c r="O663" s="214"/>
      <c r="P663" s="214"/>
      <c r="Q663" s="214"/>
      <c r="R663" s="214"/>
      <c r="S663" s="214"/>
      <c r="T663" s="214"/>
      <c r="U663" s="214"/>
      <c r="V663" s="214"/>
      <c r="W663" s="214"/>
      <c r="X663" s="214"/>
      <c r="Y663" s="214"/>
      <c r="Z663" s="214"/>
      <c r="AA663" s="214"/>
      <c r="AB663" s="214"/>
      <c r="AC663" s="214"/>
    </row>
    <row r="664">
      <c r="A664" s="222"/>
      <c r="I664" s="368"/>
      <c r="J664" s="214"/>
      <c r="K664" s="214"/>
      <c r="L664" s="214"/>
      <c r="M664" s="214"/>
      <c r="N664" s="214"/>
      <c r="O664" s="214"/>
      <c r="P664" s="214"/>
      <c r="Q664" s="214"/>
      <c r="R664" s="214"/>
      <c r="S664" s="214"/>
      <c r="T664" s="214"/>
      <c r="U664" s="214"/>
      <c r="V664" s="214"/>
      <c r="W664" s="214"/>
      <c r="X664" s="214"/>
      <c r="Y664" s="214"/>
      <c r="Z664" s="214"/>
      <c r="AA664" s="214"/>
      <c r="AB664" s="214"/>
      <c r="AC664" s="214"/>
    </row>
    <row r="665">
      <c r="A665" s="222"/>
      <c r="D665" s="232" t="s">
        <v>239</v>
      </c>
      <c r="E665" s="232">
        <v>1.0</v>
      </c>
      <c r="F665" s="254"/>
      <c r="G665" s="254"/>
      <c r="H665" s="234" t="s">
        <v>115</v>
      </c>
      <c r="I665" s="298" t="s">
        <v>105</v>
      </c>
      <c r="J665" s="214"/>
      <c r="K665" s="214"/>
      <c r="L665" s="214"/>
      <c r="M665" s="214"/>
      <c r="N665" s="214"/>
      <c r="O665" s="214"/>
      <c r="P665" s="214"/>
      <c r="Q665" s="214"/>
      <c r="R665" s="214"/>
      <c r="S665" s="214"/>
      <c r="T665" s="214"/>
      <c r="U665" s="214"/>
      <c r="V665" s="214"/>
      <c r="W665" s="214"/>
      <c r="X665" s="214"/>
      <c r="Y665" s="214"/>
      <c r="Z665" s="214"/>
      <c r="AA665" s="214"/>
      <c r="AB665" s="214"/>
      <c r="AC665" s="214"/>
    </row>
    <row r="666">
      <c r="A666" s="236"/>
      <c r="B666" s="237"/>
      <c r="C666" s="237"/>
      <c r="D666" s="582" t="s">
        <v>39</v>
      </c>
      <c r="E666" s="582">
        <v>1.0</v>
      </c>
      <c r="F666" s="517"/>
      <c r="G666" s="517"/>
      <c r="H666" s="583" t="s">
        <v>40</v>
      </c>
      <c r="I666" s="518" t="s">
        <v>30</v>
      </c>
      <c r="J666" s="214"/>
      <c r="K666" s="214"/>
      <c r="L666" s="214"/>
      <c r="M666" s="214"/>
      <c r="N666" s="214"/>
      <c r="O666" s="214"/>
      <c r="P666" s="214"/>
      <c r="Q666" s="214"/>
      <c r="R666" s="214"/>
      <c r="S666" s="214"/>
      <c r="T666" s="214"/>
      <c r="U666" s="214"/>
      <c r="V666" s="214"/>
      <c r="W666" s="214"/>
      <c r="X666" s="214"/>
      <c r="Y666" s="214"/>
      <c r="Z666" s="214"/>
      <c r="AA666" s="214"/>
      <c r="AB666" s="214"/>
      <c r="AC666" s="214"/>
    </row>
    <row r="667">
      <c r="A667" s="408" t="s">
        <v>531</v>
      </c>
      <c r="B667" s="409" t="s">
        <v>532</v>
      </c>
      <c r="C667" s="567">
        <f>sum(E667:E672)</f>
        <v>9</v>
      </c>
      <c r="D667" s="286" t="s">
        <v>76</v>
      </c>
      <c r="E667" s="286">
        <v>2.0</v>
      </c>
      <c r="F667" s="261"/>
      <c r="G667" s="261"/>
      <c r="H667" s="262" t="s">
        <v>77</v>
      </c>
      <c r="I667" s="285" t="s">
        <v>65</v>
      </c>
      <c r="J667" s="214"/>
      <c r="K667" s="214"/>
      <c r="L667" s="214"/>
      <c r="M667" s="214"/>
      <c r="N667" s="214"/>
      <c r="O667" s="214"/>
      <c r="P667" s="214"/>
      <c r="Q667" s="214"/>
      <c r="R667" s="214"/>
      <c r="S667" s="214"/>
      <c r="T667" s="214"/>
      <c r="U667" s="214"/>
      <c r="V667" s="214"/>
      <c r="W667" s="214"/>
      <c r="X667" s="214"/>
      <c r="Y667" s="214"/>
      <c r="Z667" s="214"/>
      <c r="AA667" s="214"/>
      <c r="AB667" s="214"/>
      <c r="AC667" s="214"/>
    </row>
    <row r="668">
      <c r="A668" s="222"/>
      <c r="D668" s="279" t="s">
        <v>55</v>
      </c>
      <c r="E668" s="279">
        <v>1.0</v>
      </c>
      <c r="F668" s="316"/>
      <c r="G668" s="280"/>
      <c r="H668" s="281" t="s">
        <v>56</v>
      </c>
      <c r="I668" s="282" t="s">
        <v>43</v>
      </c>
      <c r="J668" s="214"/>
      <c r="K668" s="214"/>
      <c r="L668" s="214"/>
      <c r="M668" s="214"/>
      <c r="N668" s="214"/>
      <c r="O668" s="214"/>
      <c r="P668" s="214"/>
      <c r="Q668" s="214"/>
      <c r="R668" s="214"/>
      <c r="S668" s="214"/>
      <c r="T668" s="214"/>
      <c r="U668" s="214"/>
      <c r="V668" s="214"/>
      <c r="W668" s="214"/>
      <c r="X668" s="214"/>
      <c r="Y668" s="214"/>
      <c r="Z668" s="214"/>
      <c r="AA668" s="214"/>
      <c r="AB668" s="214"/>
      <c r="AC668" s="214"/>
    </row>
    <row r="669">
      <c r="A669" s="222"/>
      <c r="D669" s="333" t="s">
        <v>97</v>
      </c>
      <c r="E669" s="333">
        <v>2.0</v>
      </c>
      <c r="F669" s="296"/>
      <c r="G669" s="296"/>
      <c r="H669" s="334" t="s">
        <v>99</v>
      </c>
      <c r="I669" s="297" t="s">
        <v>98</v>
      </c>
      <c r="J669" s="214"/>
      <c r="K669" s="214"/>
      <c r="L669" s="214"/>
      <c r="M669" s="214"/>
      <c r="N669" s="214"/>
      <c r="O669" s="214"/>
      <c r="P669" s="214"/>
      <c r="Q669" s="214"/>
      <c r="R669" s="214"/>
      <c r="S669" s="214"/>
      <c r="T669" s="214"/>
      <c r="U669" s="214"/>
      <c r="V669" s="214"/>
      <c r="W669" s="214"/>
      <c r="X669" s="214"/>
      <c r="Y669" s="214"/>
      <c r="Z669" s="214"/>
      <c r="AA669" s="214"/>
      <c r="AB669" s="214"/>
      <c r="AC669" s="214"/>
    </row>
    <row r="670">
      <c r="A670" s="222"/>
      <c r="D670" s="299" t="s">
        <v>159</v>
      </c>
      <c r="E670" s="299">
        <v>1.0</v>
      </c>
      <c r="F670" s="250"/>
      <c r="G670" s="251"/>
      <c r="H670" s="312" t="s">
        <v>160</v>
      </c>
      <c r="I670" s="300" t="s">
        <v>144</v>
      </c>
      <c r="J670" s="214"/>
      <c r="K670" s="214"/>
      <c r="L670" s="214"/>
      <c r="M670" s="214"/>
      <c r="N670" s="214"/>
      <c r="O670" s="214"/>
      <c r="P670" s="214"/>
      <c r="Q670" s="214"/>
      <c r="R670" s="214"/>
      <c r="S670" s="214"/>
      <c r="T670" s="214"/>
      <c r="U670" s="214"/>
      <c r="V670" s="214"/>
      <c r="W670" s="214"/>
      <c r="X670" s="214"/>
      <c r="Y670" s="214"/>
      <c r="Z670" s="214"/>
      <c r="AA670" s="214"/>
      <c r="AB670" s="214"/>
      <c r="AC670" s="214"/>
    </row>
    <row r="671">
      <c r="A671" s="222"/>
      <c r="D671" s="271" t="s">
        <v>162</v>
      </c>
      <c r="E671" s="271">
        <v>2.0</v>
      </c>
      <c r="F671" s="272"/>
      <c r="G671" s="272"/>
      <c r="H671" s="273" t="s">
        <v>164</v>
      </c>
      <c r="I671" s="274" t="s">
        <v>163</v>
      </c>
      <c r="J671" s="214"/>
      <c r="K671" s="214"/>
      <c r="L671" s="214"/>
      <c r="M671" s="214"/>
      <c r="N671" s="214"/>
      <c r="O671" s="214"/>
      <c r="P671" s="214"/>
      <c r="Q671" s="214"/>
      <c r="R671" s="214"/>
      <c r="S671" s="214"/>
      <c r="T671" s="214"/>
      <c r="U671" s="214"/>
      <c r="V671" s="214"/>
      <c r="W671" s="214"/>
      <c r="X671" s="214"/>
      <c r="Y671" s="214"/>
      <c r="Z671" s="214"/>
      <c r="AA671" s="214"/>
      <c r="AB671" s="214"/>
      <c r="AC671" s="214"/>
    </row>
    <row r="672">
      <c r="A672" s="236"/>
      <c r="B672" s="237"/>
      <c r="C672" s="237"/>
      <c r="D672" s="287" t="s">
        <v>140</v>
      </c>
      <c r="E672" s="287">
        <v>1.0</v>
      </c>
      <c r="F672" s="288"/>
      <c r="G672" s="288"/>
      <c r="H672" s="289" t="s">
        <v>141</v>
      </c>
      <c r="I672" s="290" t="s">
        <v>105</v>
      </c>
      <c r="J672" s="214"/>
      <c r="K672" s="214"/>
      <c r="L672" s="214"/>
      <c r="M672" s="214"/>
      <c r="N672" s="214"/>
      <c r="O672" s="214"/>
      <c r="P672" s="214"/>
      <c r="Q672" s="214"/>
      <c r="R672" s="214"/>
      <c r="S672" s="214"/>
      <c r="T672" s="214"/>
      <c r="U672" s="214"/>
      <c r="V672" s="214"/>
      <c r="W672" s="214"/>
      <c r="X672" s="214"/>
      <c r="Y672" s="214"/>
      <c r="Z672" s="214"/>
      <c r="AA672" s="214"/>
      <c r="AB672" s="214"/>
      <c r="AC672" s="214"/>
    </row>
    <row r="673">
      <c r="A673" s="242" t="s">
        <v>533</v>
      </c>
      <c r="B673" s="243" t="s">
        <v>303</v>
      </c>
      <c r="C673" s="244">
        <f>sum(E673:E677)</f>
        <v>9</v>
      </c>
      <c r="D673" s="512" t="s">
        <v>306</v>
      </c>
      <c r="E673" s="512">
        <v>3.0</v>
      </c>
      <c r="F673" s="489"/>
      <c r="G673" s="489"/>
      <c r="H673" s="513" t="s">
        <v>31</v>
      </c>
      <c r="I673" s="514" t="s">
        <v>30</v>
      </c>
      <c r="J673" s="214"/>
      <c r="K673" s="214"/>
      <c r="L673" s="214"/>
      <c r="M673" s="214"/>
      <c r="N673" s="214"/>
      <c r="O673" s="214"/>
      <c r="P673" s="214"/>
      <c r="Q673" s="214"/>
      <c r="R673" s="214"/>
      <c r="S673" s="214"/>
      <c r="T673" s="214"/>
      <c r="U673" s="214"/>
      <c r="V673" s="214"/>
      <c r="W673" s="214"/>
      <c r="X673" s="214"/>
      <c r="Y673" s="214"/>
      <c r="Z673" s="214"/>
      <c r="AA673" s="214"/>
      <c r="AB673" s="214"/>
      <c r="AC673" s="214"/>
    </row>
    <row r="674">
      <c r="A674" s="222"/>
      <c r="D674" s="286" t="s">
        <v>76</v>
      </c>
      <c r="E674" s="286">
        <v>2.0</v>
      </c>
      <c r="F674" s="318"/>
      <c r="G674" s="261"/>
      <c r="H674" s="262" t="s">
        <v>77</v>
      </c>
      <c r="I674" s="526" t="s">
        <v>65</v>
      </c>
      <c r="J674" s="214"/>
      <c r="K674" s="214"/>
      <c r="L674" s="214"/>
      <c r="M674" s="214"/>
      <c r="N674" s="214"/>
      <c r="O674" s="214"/>
      <c r="P674" s="214"/>
      <c r="Q674" s="214"/>
      <c r="R674" s="214"/>
      <c r="S674" s="214"/>
      <c r="T674" s="214"/>
      <c r="U674" s="214"/>
      <c r="V674" s="214"/>
      <c r="W674" s="214"/>
      <c r="X674" s="214"/>
      <c r="Y674" s="214"/>
      <c r="Z674" s="214"/>
      <c r="AA674" s="214"/>
      <c r="AB674" s="214"/>
      <c r="AC674" s="214"/>
    </row>
    <row r="675">
      <c r="A675" s="222"/>
      <c r="D675" s="279" t="s">
        <v>58</v>
      </c>
      <c r="E675" s="279">
        <v>1.0</v>
      </c>
      <c r="F675" s="280"/>
      <c r="G675" s="280"/>
      <c r="H675" s="281" t="s">
        <v>59</v>
      </c>
      <c r="I675" s="282" t="s">
        <v>43</v>
      </c>
      <c r="J675" s="214"/>
      <c r="K675" s="214"/>
      <c r="L675" s="214"/>
      <c r="M675" s="214"/>
      <c r="N675" s="214"/>
      <c r="O675" s="214"/>
      <c r="P675" s="214"/>
      <c r="Q675" s="214"/>
      <c r="R675" s="214"/>
      <c r="S675" s="214"/>
      <c r="T675" s="214"/>
      <c r="U675" s="214"/>
      <c r="V675" s="214"/>
      <c r="W675" s="214"/>
      <c r="X675" s="214"/>
      <c r="Y675" s="214"/>
      <c r="Z675" s="214"/>
      <c r="AA675" s="214"/>
      <c r="AB675" s="214"/>
      <c r="AC675" s="214"/>
    </row>
    <row r="676">
      <c r="A676" s="222"/>
      <c r="D676" s="299" t="s">
        <v>159</v>
      </c>
      <c r="E676" s="299">
        <v>1.0</v>
      </c>
      <c r="F676" s="251"/>
      <c r="G676" s="251"/>
      <c r="H676" s="312" t="s">
        <v>160</v>
      </c>
      <c r="I676" s="300" t="s">
        <v>144</v>
      </c>
      <c r="J676" s="214"/>
      <c r="K676" s="214"/>
      <c r="L676" s="214"/>
      <c r="M676" s="214"/>
      <c r="N676" s="214"/>
      <c r="O676" s="214"/>
      <c r="P676" s="214"/>
      <c r="Q676" s="214"/>
      <c r="R676" s="214"/>
      <c r="S676" s="214"/>
      <c r="T676" s="214"/>
      <c r="U676" s="214"/>
      <c r="V676" s="214"/>
      <c r="W676" s="214"/>
      <c r="X676" s="214"/>
      <c r="Y676" s="214"/>
      <c r="Z676" s="214"/>
      <c r="AA676" s="214"/>
      <c r="AB676" s="214"/>
      <c r="AC676" s="214"/>
    </row>
    <row r="677">
      <c r="A677" s="236"/>
      <c r="B677" s="237"/>
      <c r="C677" s="237"/>
      <c r="D677" s="264" t="s">
        <v>162</v>
      </c>
      <c r="E677" s="264">
        <v>2.0</v>
      </c>
      <c r="F677" s="479"/>
      <c r="G677" s="479"/>
      <c r="H677" s="266" t="s">
        <v>164</v>
      </c>
      <c r="I677" s="267" t="s">
        <v>163</v>
      </c>
      <c r="J677" s="214"/>
      <c r="K677" s="214"/>
      <c r="L677" s="214"/>
      <c r="M677" s="214"/>
      <c r="N677" s="214"/>
      <c r="O677" s="214"/>
      <c r="P677" s="214"/>
      <c r="Q677" s="214"/>
      <c r="R677" s="214"/>
      <c r="S677" s="214"/>
      <c r="T677" s="214"/>
      <c r="U677" s="214"/>
      <c r="V677" s="214"/>
      <c r="W677" s="214"/>
      <c r="X677" s="214"/>
      <c r="Y677" s="214"/>
      <c r="Z677" s="214"/>
      <c r="AA677" s="214"/>
      <c r="AB677" s="214"/>
      <c r="AC677" s="214"/>
    </row>
    <row r="678">
      <c r="A678" s="215" t="s">
        <v>534</v>
      </c>
      <c r="B678" s="243" t="s">
        <v>535</v>
      </c>
      <c r="C678" s="244">
        <f>sum(E678:E683)</f>
        <v>9</v>
      </c>
      <c r="D678" s="515" t="s">
        <v>85</v>
      </c>
      <c r="E678" s="515">
        <v>1.0</v>
      </c>
      <c r="F678" s="324"/>
      <c r="G678" s="324"/>
      <c r="H678" s="584" t="s">
        <v>86</v>
      </c>
      <c r="I678" s="585" t="s">
        <v>65</v>
      </c>
      <c r="J678" s="214"/>
      <c r="K678" s="214"/>
      <c r="L678" s="214"/>
      <c r="M678" s="214"/>
      <c r="N678" s="214"/>
      <c r="O678" s="214"/>
      <c r="P678" s="214"/>
      <c r="Q678" s="214"/>
      <c r="R678" s="214"/>
      <c r="S678" s="214"/>
      <c r="T678" s="214"/>
      <c r="U678" s="214"/>
      <c r="V678" s="214"/>
      <c r="W678" s="214"/>
      <c r="X678" s="214"/>
      <c r="Y678" s="214"/>
      <c r="Z678" s="214"/>
      <c r="AA678" s="214"/>
      <c r="AB678" s="214"/>
      <c r="AC678" s="214"/>
    </row>
    <row r="679">
      <c r="A679" s="222"/>
      <c r="D679" s="271" t="s">
        <v>162</v>
      </c>
      <c r="E679" s="271">
        <v>2.0</v>
      </c>
      <c r="F679" s="317"/>
      <c r="G679" s="317"/>
      <c r="H679" s="273" t="s">
        <v>164</v>
      </c>
      <c r="I679" s="393" t="s">
        <v>163</v>
      </c>
      <c r="J679" s="214"/>
      <c r="K679" s="214"/>
      <c r="L679" s="214"/>
      <c r="M679" s="214"/>
      <c r="N679" s="214"/>
      <c r="O679" s="214"/>
      <c r="P679" s="214"/>
      <c r="Q679" s="214"/>
      <c r="R679" s="214"/>
      <c r="S679" s="214"/>
      <c r="T679" s="214"/>
      <c r="U679" s="214"/>
      <c r="V679" s="214"/>
      <c r="W679" s="214"/>
      <c r="X679" s="214"/>
      <c r="Y679" s="214"/>
      <c r="Z679" s="214"/>
      <c r="AA679" s="214"/>
      <c r="AB679" s="214"/>
      <c r="AC679" s="214"/>
    </row>
    <row r="680">
      <c r="A680" s="222"/>
      <c r="D680" s="339" t="s">
        <v>140</v>
      </c>
      <c r="E680" s="339">
        <v>1.0</v>
      </c>
      <c r="F680" s="254"/>
      <c r="G680" s="233"/>
      <c r="H680" s="340" t="s">
        <v>141</v>
      </c>
      <c r="I680" s="298" t="s">
        <v>105</v>
      </c>
      <c r="J680" s="214"/>
      <c r="K680" s="214"/>
      <c r="L680" s="214"/>
      <c r="M680" s="214"/>
      <c r="N680" s="214"/>
      <c r="O680" s="214"/>
      <c r="P680" s="214"/>
      <c r="Q680" s="214"/>
      <c r="R680" s="214"/>
      <c r="S680" s="214"/>
      <c r="T680" s="214"/>
      <c r="U680" s="214"/>
      <c r="V680" s="214"/>
      <c r="W680" s="214"/>
      <c r="X680" s="214"/>
      <c r="Y680" s="214"/>
      <c r="Z680" s="214"/>
      <c r="AA680" s="214"/>
      <c r="AB680" s="214"/>
      <c r="AC680" s="214"/>
    </row>
    <row r="681">
      <c r="A681" s="222"/>
      <c r="D681" s="232" t="s">
        <v>117</v>
      </c>
      <c r="E681" s="232">
        <v>1.0</v>
      </c>
      <c r="F681" s="233"/>
      <c r="G681" s="233"/>
      <c r="H681" s="234" t="s">
        <v>238</v>
      </c>
      <c r="I681" s="235" t="s">
        <v>105</v>
      </c>
      <c r="J681" s="214"/>
      <c r="K681" s="214"/>
      <c r="L681" s="214"/>
      <c r="M681" s="214"/>
      <c r="N681" s="214"/>
      <c r="O681" s="214"/>
      <c r="P681" s="214"/>
      <c r="Q681" s="214"/>
      <c r="R681" s="214"/>
      <c r="S681" s="214"/>
      <c r="T681" s="214"/>
      <c r="U681" s="214"/>
      <c r="V681" s="214"/>
      <c r="W681" s="214"/>
      <c r="X681" s="214"/>
      <c r="Y681" s="214"/>
      <c r="Z681" s="214"/>
      <c r="AA681" s="214"/>
      <c r="AB681" s="214"/>
      <c r="AC681" s="214"/>
    </row>
    <row r="682">
      <c r="A682" s="222"/>
      <c r="D682" s="299" t="s">
        <v>156</v>
      </c>
      <c r="E682" s="299">
        <v>2.0</v>
      </c>
      <c r="F682" s="250"/>
      <c r="G682" s="250"/>
      <c r="H682" s="312" t="s">
        <v>157</v>
      </c>
      <c r="I682" s="253" t="s">
        <v>144</v>
      </c>
      <c r="J682" s="214"/>
      <c r="K682" s="214"/>
      <c r="L682" s="214"/>
      <c r="M682" s="214"/>
      <c r="N682" s="214"/>
      <c r="O682" s="214"/>
      <c r="P682" s="214"/>
      <c r="Q682" s="214"/>
      <c r="R682" s="214"/>
      <c r="S682" s="214"/>
      <c r="T682" s="214"/>
      <c r="U682" s="214"/>
      <c r="V682" s="214"/>
      <c r="W682" s="214"/>
      <c r="X682" s="214"/>
      <c r="Y682" s="214"/>
      <c r="Z682" s="214"/>
      <c r="AA682" s="214"/>
      <c r="AB682" s="214"/>
      <c r="AC682" s="214"/>
    </row>
    <row r="683">
      <c r="A683" s="236"/>
      <c r="B683" s="237"/>
      <c r="C683" s="237"/>
      <c r="D683" s="586" t="s">
        <v>22</v>
      </c>
      <c r="E683" s="586">
        <v>2.0</v>
      </c>
      <c r="F683" s="419"/>
      <c r="G683" s="419"/>
      <c r="H683" s="587" t="s">
        <v>265</v>
      </c>
      <c r="I683" s="421" t="s">
        <v>23</v>
      </c>
      <c r="J683" s="214"/>
      <c r="K683" s="214"/>
      <c r="L683" s="214"/>
      <c r="M683" s="214"/>
      <c r="N683" s="214"/>
      <c r="O683" s="214"/>
      <c r="P683" s="214"/>
      <c r="Q683" s="214"/>
      <c r="R683" s="214"/>
      <c r="S683" s="214"/>
      <c r="T683" s="214"/>
      <c r="U683" s="214"/>
      <c r="V683" s="214"/>
      <c r="W683" s="214"/>
      <c r="X683" s="214"/>
      <c r="Y683" s="214"/>
      <c r="Z683" s="214"/>
      <c r="AA683" s="214"/>
      <c r="AB683" s="214"/>
      <c r="AC683" s="214"/>
    </row>
    <row r="684">
      <c r="A684" s="242" t="s">
        <v>536</v>
      </c>
      <c r="B684" s="243" t="s">
        <v>537</v>
      </c>
      <c r="C684" s="244">
        <f>sum(E684:E689)</f>
        <v>9</v>
      </c>
      <c r="D684" s="356" t="s">
        <v>254</v>
      </c>
      <c r="E684" s="356">
        <v>2.0</v>
      </c>
      <c r="F684" s="357"/>
      <c r="G684" s="357"/>
      <c r="H684" s="447" t="s">
        <v>255</v>
      </c>
      <c r="I684" s="359" t="s">
        <v>7</v>
      </c>
      <c r="J684" s="214"/>
      <c r="K684" s="214"/>
      <c r="L684" s="214"/>
      <c r="M684" s="214"/>
      <c r="N684" s="214"/>
      <c r="O684" s="214"/>
      <c r="P684" s="214"/>
      <c r="Q684" s="214"/>
      <c r="R684" s="214"/>
      <c r="S684" s="214"/>
      <c r="T684" s="214"/>
      <c r="U684" s="214"/>
      <c r="V684" s="214"/>
      <c r="W684" s="214"/>
      <c r="X684" s="214"/>
      <c r="Y684" s="214"/>
      <c r="Z684" s="214"/>
      <c r="AA684" s="214"/>
      <c r="AB684" s="214"/>
      <c r="AC684" s="214"/>
    </row>
    <row r="685">
      <c r="A685" s="222"/>
      <c r="D685" s="279" t="s">
        <v>52</v>
      </c>
      <c r="E685" s="279">
        <v>1.0</v>
      </c>
      <c r="F685" s="280"/>
      <c r="G685" s="280"/>
      <c r="H685" s="281" t="s">
        <v>53</v>
      </c>
      <c r="I685" s="282" t="s">
        <v>43</v>
      </c>
      <c r="J685" s="214"/>
      <c r="K685" s="214"/>
      <c r="L685" s="214"/>
      <c r="M685" s="214"/>
      <c r="N685" s="214"/>
      <c r="O685" s="214"/>
      <c r="P685" s="214"/>
      <c r="Q685" s="214"/>
      <c r="R685" s="214"/>
      <c r="S685" s="214"/>
      <c r="T685" s="214"/>
      <c r="U685" s="214"/>
      <c r="V685" s="214"/>
      <c r="W685" s="214"/>
      <c r="X685" s="214"/>
      <c r="Y685" s="214"/>
      <c r="Z685" s="214"/>
      <c r="AA685" s="214"/>
      <c r="AB685" s="214"/>
      <c r="AC685" s="214"/>
    </row>
    <row r="686">
      <c r="A686" s="222"/>
      <c r="D686" s="286" t="s">
        <v>229</v>
      </c>
      <c r="E686" s="286">
        <v>2.0</v>
      </c>
      <c r="F686" s="318"/>
      <c r="G686" s="261"/>
      <c r="H686" s="262" t="s">
        <v>69</v>
      </c>
      <c r="I686" s="263" t="s">
        <v>65</v>
      </c>
      <c r="J686" s="214"/>
      <c r="K686" s="214"/>
      <c r="L686" s="214"/>
      <c r="M686" s="214"/>
      <c r="N686" s="214"/>
      <c r="O686" s="214"/>
      <c r="P686" s="214"/>
      <c r="Q686" s="214"/>
      <c r="R686" s="214"/>
      <c r="S686" s="214"/>
      <c r="T686" s="214"/>
      <c r="U686" s="214"/>
      <c r="V686" s="214"/>
      <c r="W686" s="214"/>
      <c r="X686" s="214"/>
      <c r="Y686" s="214"/>
      <c r="Z686" s="214"/>
      <c r="AA686" s="214"/>
      <c r="AB686" s="214"/>
      <c r="AC686" s="214"/>
    </row>
    <row r="687">
      <c r="A687" s="222"/>
      <c r="D687" s="333" t="s">
        <v>97</v>
      </c>
      <c r="E687" s="333">
        <v>2.0</v>
      </c>
      <c r="F687" s="276"/>
      <c r="G687" s="276"/>
      <c r="H687" s="334" t="s">
        <v>99</v>
      </c>
      <c r="I687" s="297" t="s">
        <v>98</v>
      </c>
      <c r="J687" s="214"/>
      <c r="K687" s="214"/>
      <c r="L687" s="214"/>
      <c r="M687" s="214"/>
      <c r="N687" s="214"/>
      <c r="O687" s="214"/>
      <c r="P687" s="214"/>
      <c r="Q687" s="214"/>
      <c r="R687" s="214"/>
      <c r="S687" s="214"/>
      <c r="T687" s="214"/>
      <c r="U687" s="214"/>
      <c r="V687" s="214"/>
      <c r="W687" s="214"/>
      <c r="X687" s="214"/>
      <c r="Y687" s="214"/>
      <c r="Z687" s="214"/>
      <c r="AA687" s="214"/>
      <c r="AB687" s="214"/>
      <c r="AC687" s="214"/>
    </row>
    <row r="688">
      <c r="A688" s="222"/>
      <c r="D688" s="271" t="s">
        <v>169</v>
      </c>
      <c r="E688" s="271">
        <v>1.0</v>
      </c>
      <c r="F688" s="272"/>
      <c r="G688" s="272"/>
      <c r="H688" s="273" t="s">
        <v>170</v>
      </c>
      <c r="I688" s="588" t="s">
        <v>163</v>
      </c>
      <c r="J688" s="214"/>
      <c r="K688" s="214"/>
      <c r="L688" s="214"/>
      <c r="M688" s="214"/>
      <c r="N688" s="214"/>
      <c r="O688" s="214"/>
      <c r="P688" s="214"/>
      <c r="Q688" s="214"/>
      <c r="R688" s="214"/>
      <c r="S688" s="214"/>
      <c r="T688" s="214"/>
      <c r="U688" s="214"/>
      <c r="V688" s="214"/>
      <c r="W688" s="214"/>
      <c r="X688" s="214"/>
      <c r="Y688" s="214"/>
      <c r="Z688" s="214"/>
      <c r="AA688" s="214"/>
      <c r="AB688" s="214"/>
      <c r="AC688" s="214"/>
    </row>
    <row r="689">
      <c r="A689" s="236"/>
      <c r="B689" s="237"/>
      <c r="C689" s="237"/>
      <c r="D689" s="495" t="s">
        <v>189</v>
      </c>
      <c r="E689" s="495">
        <v>1.0</v>
      </c>
      <c r="F689" s="496"/>
      <c r="G689" s="500"/>
      <c r="H689" s="497" t="s">
        <v>190</v>
      </c>
      <c r="I689" s="501" t="s">
        <v>186</v>
      </c>
      <c r="J689" s="214"/>
      <c r="K689" s="214"/>
      <c r="L689" s="214"/>
      <c r="M689" s="214"/>
      <c r="N689" s="214"/>
      <c r="O689" s="214"/>
      <c r="P689" s="214"/>
      <c r="Q689" s="214"/>
      <c r="R689" s="214"/>
      <c r="S689" s="214"/>
      <c r="T689" s="214"/>
      <c r="U689" s="214"/>
      <c r="V689" s="214"/>
      <c r="W689" s="214"/>
      <c r="X689" s="214"/>
      <c r="Y689" s="214"/>
      <c r="Z689" s="214"/>
      <c r="AA689" s="214"/>
      <c r="AB689" s="214"/>
      <c r="AC689" s="214"/>
    </row>
    <row r="690">
      <c r="A690" s="242" t="s">
        <v>538</v>
      </c>
      <c r="B690" s="243" t="s">
        <v>539</v>
      </c>
      <c r="C690" s="244">
        <f>sum(E690:E695)</f>
        <v>9</v>
      </c>
      <c r="D690" s="308" t="s">
        <v>540</v>
      </c>
      <c r="E690" s="308">
        <v>3.0</v>
      </c>
      <c r="F690" s="473"/>
      <c r="G690" s="473"/>
      <c r="H690" s="310" t="s">
        <v>541</v>
      </c>
      <c r="I690" s="438" t="s">
        <v>105</v>
      </c>
      <c r="J690" s="214"/>
      <c r="K690" s="214"/>
      <c r="L690" s="214"/>
      <c r="M690" s="214"/>
      <c r="N690" s="214"/>
      <c r="O690" s="214"/>
      <c r="P690" s="214"/>
      <c r="Q690" s="214"/>
      <c r="R690" s="214"/>
      <c r="S690" s="214"/>
      <c r="T690" s="214"/>
      <c r="U690" s="214"/>
      <c r="V690" s="214"/>
      <c r="W690" s="214"/>
      <c r="X690" s="214"/>
      <c r="Y690" s="214"/>
      <c r="Z690" s="214"/>
      <c r="AA690" s="214"/>
      <c r="AB690" s="214"/>
      <c r="AC690" s="214"/>
    </row>
    <row r="691">
      <c r="A691" s="222"/>
      <c r="D691" s="232" t="s">
        <v>542</v>
      </c>
      <c r="E691" s="232">
        <v>1.0</v>
      </c>
      <c r="F691" s="233"/>
      <c r="G691" s="233"/>
      <c r="H691" s="234" t="s">
        <v>543</v>
      </c>
      <c r="I691" s="235" t="s">
        <v>105</v>
      </c>
      <c r="J691" s="214"/>
      <c r="K691" s="214"/>
      <c r="L691" s="214"/>
      <c r="M691" s="214"/>
      <c r="N691" s="214"/>
      <c r="O691" s="214"/>
      <c r="P691" s="214"/>
      <c r="Q691" s="214"/>
      <c r="R691" s="214"/>
      <c r="S691" s="214"/>
      <c r="T691" s="214"/>
      <c r="U691" s="214"/>
      <c r="V691" s="214"/>
      <c r="W691" s="214"/>
      <c r="X691" s="214"/>
      <c r="Y691" s="214"/>
      <c r="Z691" s="214"/>
      <c r="AA691" s="214"/>
      <c r="AB691" s="214"/>
      <c r="AC691" s="214"/>
    </row>
    <row r="692">
      <c r="A692" s="222"/>
      <c r="D692" s="232" t="s">
        <v>123</v>
      </c>
      <c r="E692" s="232">
        <v>1.0</v>
      </c>
      <c r="F692" s="254"/>
      <c r="G692" s="233"/>
      <c r="H692" s="234" t="s">
        <v>124</v>
      </c>
      <c r="I692" s="235" t="s">
        <v>105</v>
      </c>
      <c r="J692" s="214"/>
      <c r="K692" s="214"/>
      <c r="L692" s="214"/>
      <c r="M692" s="214"/>
      <c r="N692" s="214"/>
      <c r="O692" s="214"/>
      <c r="P692" s="214"/>
      <c r="Q692" s="214"/>
      <c r="R692" s="214"/>
      <c r="S692" s="214"/>
      <c r="T692" s="214"/>
      <c r="U692" s="214"/>
      <c r="V692" s="214"/>
      <c r="W692" s="214"/>
      <c r="X692" s="214"/>
      <c r="Y692" s="214"/>
      <c r="Z692" s="214"/>
      <c r="AA692" s="214"/>
      <c r="AB692" s="214"/>
      <c r="AC692" s="214"/>
    </row>
    <row r="693">
      <c r="A693" s="222"/>
      <c r="D693" s="232" t="s">
        <v>120</v>
      </c>
      <c r="E693" s="232">
        <v>1.0</v>
      </c>
      <c r="F693" s="233"/>
      <c r="G693" s="233"/>
      <c r="H693" s="234" t="s">
        <v>121</v>
      </c>
      <c r="I693" s="235" t="s">
        <v>105</v>
      </c>
      <c r="J693" s="214"/>
      <c r="K693" s="214"/>
      <c r="L693" s="214"/>
      <c r="M693" s="214"/>
      <c r="N693" s="214"/>
      <c r="O693" s="214"/>
      <c r="P693" s="214"/>
      <c r="Q693" s="214"/>
      <c r="R693" s="214"/>
      <c r="S693" s="214"/>
      <c r="T693" s="214"/>
      <c r="U693" s="214"/>
      <c r="V693" s="214"/>
      <c r="W693" s="214"/>
      <c r="X693" s="214"/>
      <c r="Y693" s="214"/>
      <c r="Z693" s="214"/>
      <c r="AA693" s="214"/>
      <c r="AB693" s="214"/>
      <c r="AC693" s="214"/>
    </row>
    <row r="694">
      <c r="A694" s="222"/>
      <c r="D694" s="339" t="s">
        <v>239</v>
      </c>
      <c r="E694" s="339">
        <v>1.0</v>
      </c>
      <c r="F694" s="254"/>
      <c r="G694" s="233"/>
      <c r="H694" s="340" t="s">
        <v>115</v>
      </c>
      <c r="I694" s="298" t="s">
        <v>105</v>
      </c>
      <c r="J694" s="214"/>
      <c r="K694" s="214"/>
      <c r="L694" s="214"/>
      <c r="M694" s="214"/>
      <c r="N694" s="214"/>
      <c r="O694" s="214"/>
      <c r="P694" s="214"/>
      <c r="Q694" s="214"/>
      <c r="R694" s="214"/>
      <c r="S694" s="214"/>
      <c r="T694" s="214"/>
      <c r="U694" s="214"/>
      <c r="V694" s="214"/>
      <c r="W694" s="214"/>
      <c r="X694" s="214"/>
      <c r="Y694" s="214"/>
      <c r="Z694" s="214"/>
      <c r="AA694" s="214"/>
      <c r="AB694" s="214"/>
      <c r="AC694" s="214"/>
    </row>
    <row r="695">
      <c r="A695" s="236"/>
      <c r="B695" s="237"/>
      <c r="C695" s="237"/>
      <c r="D695" s="320" t="s">
        <v>150</v>
      </c>
      <c r="E695" s="320">
        <v>2.0</v>
      </c>
      <c r="F695" s="321"/>
      <c r="G695" s="321"/>
      <c r="H695" s="322" t="s">
        <v>151</v>
      </c>
      <c r="I695" s="353" t="s">
        <v>144</v>
      </c>
      <c r="J695" s="214"/>
      <c r="K695" s="214"/>
      <c r="L695" s="214"/>
      <c r="M695" s="214"/>
      <c r="N695" s="214"/>
      <c r="O695" s="214"/>
      <c r="P695" s="214"/>
      <c r="Q695" s="214"/>
      <c r="R695" s="214"/>
      <c r="S695" s="214"/>
      <c r="T695" s="214"/>
      <c r="U695" s="214"/>
      <c r="V695" s="214"/>
      <c r="W695" s="214"/>
      <c r="X695" s="214"/>
      <c r="Y695" s="214"/>
      <c r="Z695" s="214"/>
      <c r="AA695" s="214"/>
      <c r="AB695" s="214"/>
      <c r="AC695" s="214"/>
    </row>
    <row r="696">
      <c r="A696" s="242" t="s">
        <v>544</v>
      </c>
      <c r="B696" s="243" t="s">
        <v>545</v>
      </c>
      <c r="C696" s="244">
        <f>sum(E696:E700)</f>
        <v>9</v>
      </c>
      <c r="D696" s="356" t="s">
        <v>254</v>
      </c>
      <c r="E696" s="356">
        <v>2.0</v>
      </c>
      <c r="F696" s="357"/>
      <c r="G696" s="357"/>
      <c r="H696" s="447" t="s">
        <v>255</v>
      </c>
      <c r="I696" s="482" t="s">
        <v>7</v>
      </c>
      <c r="J696" s="214"/>
      <c r="K696" s="214"/>
      <c r="L696" s="214"/>
      <c r="M696" s="214"/>
      <c r="N696" s="214"/>
      <c r="O696" s="214"/>
      <c r="P696" s="214"/>
      <c r="Q696" s="214"/>
      <c r="R696" s="214"/>
      <c r="S696" s="214"/>
      <c r="T696" s="214"/>
      <c r="U696" s="214"/>
      <c r="V696" s="214"/>
      <c r="W696" s="214"/>
      <c r="X696" s="214"/>
      <c r="Y696" s="214"/>
      <c r="Z696" s="214"/>
      <c r="AA696" s="214"/>
      <c r="AB696" s="214"/>
      <c r="AC696" s="214"/>
    </row>
    <row r="697">
      <c r="A697" s="222"/>
      <c r="D697" s="223" t="s">
        <v>182</v>
      </c>
      <c r="E697" s="223">
        <v>3.0</v>
      </c>
      <c r="F697" s="342"/>
      <c r="G697" s="342"/>
      <c r="H697" s="225" t="s">
        <v>183</v>
      </c>
      <c r="I697" s="344" t="s">
        <v>176</v>
      </c>
      <c r="J697" s="214"/>
      <c r="K697" s="214"/>
      <c r="L697" s="214"/>
      <c r="M697" s="214"/>
      <c r="N697" s="214"/>
      <c r="O697" s="214"/>
      <c r="P697" s="214"/>
      <c r="Q697" s="214"/>
      <c r="R697" s="214"/>
      <c r="S697" s="214"/>
      <c r="T697" s="214"/>
      <c r="U697" s="214"/>
      <c r="V697" s="214"/>
      <c r="W697" s="214"/>
      <c r="X697" s="214"/>
      <c r="Y697" s="214"/>
      <c r="Z697" s="214"/>
      <c r="AA697" s="214"/>
      <c r="AB697" s="214"/>
      <c r="AC697" s="214"/>
    </row>
    <row r="698">
      <c r="A698" s="222"/>
      <c r="D698" s="333" t="s">
        <v>97</v>
      </c>
      <c r="E698" s="333">
        <v>2.0</v>
      </c>
      <c r="F698" s="276"/>
      <c r="G698" s="276"/>
      <c r="H698" s="334" t="s">
        <v>99</v>
      </c>
      <c r="I698" s="278" t="s">
        <v>98</v>
      </c>
      <c r="J698" s="214"/>
      <c r="K698" s="214"/>
      <c r="L698" s="214"/>
      <c r="M698" s="214"/>
      <c r="N698" s="214"/>
      <c r="O698" s="214"/>
      <c r="P698" s="214"/>
      <c r="Q698" s="214"/>
      <c r="R698" s="214"/>
      <c r="S698" s="214"/>
      <c r="T698" s="214"/>
      <c r="U698" s="214"/>
      <c r="V698" s="214"/>
      <c r="W698" s="214"/>
      <c r="X698" s="214"/>
      <c r="Y698" s="214"/>
      <c r="Z698" s="214"/>
      <c r="AA698" s="214"/>
      <c r="AB698" s="214"/>
      <c r="AC698" s="214"/>
    </row>
    <row r="699">
      <c r="A699" s="222"/>
      <c r="D699" s="232" t="s">
        <v>131</v>
      </c>
      <c r="E699" s="232">
        <v>1.0</v>
      </c>
      <c r="F699" s="254"/>
      <c r="G699" s="254"/>
      <c r="H699" s="234" t="s">
        <v>132</v>
      </c>
      <c r="I699" s="235" t="s">
        <v>105</v>
      </c>
      <c r="J699" s="214"/>
      <c r="K699" s="214"/>
      <c r="L699" s="214"/>
      <c r="M699" s="214"/>
      <c r="N699" s="214"/>
      <c r="O699" s="214"/>
      <c r="P699" s="214"/>
      <c r="Q699" s="214"/>
      <c r="R699" s="214"/>
      <c r="S699" s="214"/>
      <c r="T699" s="214"/>
      <c r="U699" s="214"/>
      <c r="V699" s="214"/>
      <c r="W699" s="214"/>
      <c r="X699" s="214"/>
      <c r="Y699" s="214"/>
      <c r="Z699" s="214"/>
      <c r="AA699" s="214"/>
      <c r="AB699" s="214"/>
      <c r="AC699" s="214"/>
    </row>
    <row r="700">
      <c r="A700" s="236"/>
      <c r="B700" s="237"/>
      <c r="C700" s="237"/>
      <c r="D700" s="287" t="s">
        <v>134</v>
      </c>
      <c r="E700" s="287">
        <v>1.0</v>
      </c>
      <c r="F700" s="288"/>
      <c r="G700" s="288"/>
      <c r="H700" s="289" t="s">
        <v>135</v>
      </c>
      <c r="I700" s="290" t="s">
        <v>105</v>
      </c>
      <c r="J700" s="214"/>
      <c r="K700" s="214"/>
      <c r="L700" s="214"/>
      <c r="M700" s="214"/>
      <c r="N700" s="214"/>
      <c r="O700" s="214"/>
      <c r="P700" s="214"/>
      <c r="Q700" s="214"/>
      <c r="R700" s="214"/>
      <c r="S700" s="214"/>
      <c r="T700" s="214"/>
      <c r="U700" s="214"/>
      <c r="V700" s="214"/>
      <c r="W700" s="214"/>
      <c r="X700" s="214"/>
      <c r="Y700" s="214"/>
      <c r="Z700" s="214"/>
      <c r="AA700" s="214"/>
      <c r="AB700" s="214"/>
      <c r="AC700" s="214"/>
    </row>
    <row r="701">
      <c r="A701" s="242" t="s">
        <v>546</v>
      </c>
      <c r="B701" s="216" t="s">
        <v>384</v>
      </c>
      <c r="C701" s="244">
        <f>sum(E701:E704)</f>
        <v>9</v>
      </c>
      <c r="D701" s="426" t="s">
        <v>22</v>
      </c>
      <c r="E701" s="426">
        <v>2.0</v>
      </c>
      <c r="F701" s="397"/>
      <c r="G701" s="397"/>
      <c r="H701" s="427" t="s">
        <v>265</v>
      </c>
      <c r="I701" s="399" t="s">
        <v>23</v>
      </c>
      <c r="J701" s="214"/>
      <c r="K701" s="214"/>
      <c r="L701" s="214"/>
      <c r="M701" s="214"/>
      <c r="N701" s="214"/>
      <c r="O701" s="214"/>
      <c r="P701" s="214"/>
      <c r="Q701" s="214"/>
      <c r="R701" s="214"/>
      <c r="S701" s="214"/>
      <c r="T701" s="214"/>
      <c r="U701" s="214"/>
      <c r="V701" s="214"/>
      <c r="W701" s="214"/>
      <c r="X701" s="214"/>
      <c r="Y701" s="214"/>
      <c r="Z701" s="214"/>
      <c r="AA701" s="214"/>
      <c r="AB701" s="214"/>
      <c r="AC701" s="214"/>
    </row>
    <row r="702">
      <c r="A702" s="222"/>
      <c r="D702" s="434" t="s">
        <v>306</v>
      </c>
      <c r="E702" s="434">
        <v>3.0</v>
      </c>
      <c r="F702" s="383"/>
      <c r="G702" s="384"/>
      <c r="H702" s="435" t="s">
        <v>31</v>
      </c>
      <c r="I702" s="429" t="s">
        <v>30</v>
      </c>
      <c r="J702" s="214"/>
      <c r="K702" s="214"/>
      <c r="L702" s="214"/>
      <c r="M702" s="214"/>
      <c r="N702" s="214"/>
      <c r="O702" s="214"/>
      <c r="P702" s="214"/>
      <c r="Q702" s="214"/>
      <c r="R702" s="214"/>
      <c r="S702" s="214"/>
      <c r="T702" s="214"/>
      <c r="U702" s="214"/>
      <c r="V702" s="214"/>
      <c r="W702" s="214"/>
      <c r="X702" s="214"/>
      <c r="Y702" s="214"/>
      <c r="Z702" s="214"/>
      <c r="AA702" s="214"/>
      <c r="AB702" s="214"/>
      <c r="AC702" s="214"/>
    </row>
    <row r="703">
      <c r="A703" s="222"/>
      <c r="D703" s="286" t="s">
        <v>229</v>
      </c>
      <c r="E703" s="286">
        <v>2.0</v>
      </c>
      <c r="F703" s="318"/>
      <c r="G703" s="261"/>
      <c r="H703" s="262" t="s">
        <v>69</v>
      </c>
      <c r="I703" s="263" t="s">
        <v>65</v>
      </c>
      <c r="J703" s="214"/>
      <c r="K703" s="214"/>
      <c r="L703" s="214"/>
      <c r="M703" s="214"/>
      <c r="N703" s="214"/>
      <c r="O703" s="214"/>
      <c r="P703" s="214"/>
      <c r="Q703" s="214"/>
      <c r="R703" s="214"/>
      <c r="S703" s="214"/>
      <c r="T703" s="214"/>
      <c r="U703" s="214"/>
      <c r="V703" s="214"/>
      <c r="W703" s="214"/>
      <c r="X703" s="214"/>
      <c r="Y703" s="214"/>
      <c r="Z703" s="214"/>
      <c r="AA703" s="214"/>
      <c r="AB703" s="214"/>
      <c r="AC703" s="214"/>
    </row>
    <row r="704">
      <c r="A704" s="236"/>
      <c r="B704" s="237"/>
      <c r="C704" s="237"/>
      <c r="D704" s="264" t="s">
        <v>162</v>
      </c>
      <c r="E704" s="264">
        <v>2.0</v>
      </c>
      <c r="F704" s="479"/>
      <c r="G704" s="479"/>
      <c r="H704" s="266" t="s">
        <v>164</v>
      </c>
      <c r="I704" s="480" t="s">
        <v>163</v>
      </c>
      <c r="J704" s="214"/>
      <c r="K704" s="214"/>
      <c r="L704" s="214"/>
      <c r="M704" s="214"/>
      <c r="N704" s="214"/>
      <c r="O704" s="214"/>
      <c r="P704" s="214"/>
      <c r="Q704" s="214"/>
      <c r="R704" s="214"/>
      <c r="S704" s="214"/>
      <c r="T704" s="214"/>
      <c r="U704" s="214"/>
      <c r="V704" s="214"/>
      <c r="W704" s="214"/>
      <c r="X704" s="214"/>
      <c r="Y704" s="214"/>
      <c r="Z704" s="214"/>
      <c r="AA704" s="214"/>
      <c r="AB704" s="214"/>
      <c r="AC704" s="214"/>
    </row>
    <row r="705">
      <c r="A705" s="242" t="s">
        <v>547</v>
      </c>
      <c r="B705" s="243" t="s">
        <v>548</v>
      </c>
      <c r="C705" s="244">
        <f>sum(E705:E709)</f>
        <v>9</v>
      </c>
      <c r="D705" s="308" t="s">
        <v>129</v>
      </c>
      <c r="E705" s="308">
        <v>1.0</v>
      </c>
      <c r="F705" s="309"/>
      <c r="G705" s="309"/>
      <c r="H705" s="310" t="s">
        <v>130</v>
      </c>
      <c r="I705" s="311" t="s">
        <v>105</v>
      </c>
      <c r="J705" s="214"/>
      <c r="K705" s="214"/>
      <c r="L705" s="214"/>
      <c r="M705" s="214"/>
      <c r="N705" s="214"/>
      <c r="O705" s="214"/>
      <c r="P705" s="214"/>
      <c r="Q705" s="214"/>
      <c r="R705" s="214"/>
      <c r="S705" s="214"/>
      <c r="T705" s="214"/>
      <c r="U705" s="214"/>
      <c r="V705" s="214"/>
      <c r="W705" s="214"/>
      <c r="X705" s="214"/>
      <c r="Y705" s="214"/>
      <c r="Z705" s="214"/>
      <c r="AA705" s="214"/>
      <c r="AB705" s="214"/>
      <c r="AC705" s="214"/>
    </row>
    <row r="706">
      <c r="A706" s="222"/>
      <c r="D706" s="227" t="s">
        <v>19</v>
      </c>
      <c r="E706" s="227">
        <v>2.0</v>
      </c>
      <c r="F706" s="327"/>
      <c r="G706" s="327"/>
      <c r="H706" s="229" t="s">
        <v>20</v>
      </c>
      <c r="I706" s="392" t="s">
        <v>7</v>
      </c>
      <c r="J706" s="214"/>
      <c r="K706" s="214"/>
      <c r="L706" s="214"/>
      <c r="M706" s="214"/>
      <c r="N706" s="214"/>
      <c r="O706" s="214"/>
      <c r="P706" s="214"/>
      <c r="Q706" s="214"/>
      <c r="R706" s="214"/>
      <c r="S706" s="214"/>
      <c r="T706" s="214"/>
      <c r="U706" s="214"/>
      <c r="V706" s="214"/>
      <c r="W706" s="214"/>
      <c r="X706" s="214"/>
      <c r="Y706" s="214"/>
      <c r="Z706" s="214"/>
      <c r="AA706" s="214"/>
      <c r="AB706" s="214"/>
      <c r="AC706" s="214"/>
    </row>
    <row r="707">
      <c r="A707" s="222"/>
      <c r="D707" s="271" t="s">
        <v>162</v>
      </c>
      <c r="E707" s="271">
        <v>2.0</v>
      </c>
      <c r="F707" s="317"/>
      <c r="G707" s="272"/>
      <c r="H707" s="273" t="s">
        <v>164</v>
      </c>
      <c r="I707" s="274" t="s">
        <v>163</v>
      </c>
      <c r="J707" s="214"/>
      <c r="K707" s="214"/>
      <c r="L707" s="214"/>
      <c r="M707" s="214"/>
      <c r="N707" s="214"/>
      <c r="O707" s="214"/>
      <c r="P707" s="214"/>
      <c r="Q707" s="214"/>
      <c r="R707" s="214"/>
      <c r="S707" s="214"/>
      <c r="T707" s="214"/>
      <c r="U707" s="214"/>
      <c r="V707" s="214"/>
      <c r="W707" s="214"/>
      <c r="X707" s="214"/>
      <c r="Y707" s="214"/>
      <c r="Z707" s="214"/>
      <c r="AA707" s="214"/>
      <c r="AB707" s="214"/>
      <c r="AC707" s="214"/>
    </row>
    <row r="708">
      <c r="A708" s="222"/>
      <c r="D708" s="286" t="s">
        <v>64</v>
      </c>
      <c r="E708" s="286">
        <v>3.0</v>
      </c>
      <c r="F708" s="318"/>
      <c r="G708" s="261"/>
      <c r="H708" s="262" t="s">
        <v>66</v>
      </c>
      <c r="I708" s="263" t="s">
        <v>65</v>
      </c>
      <c r="J708" s="214"/>
      <c r="K708" s="214"/>
      <c r="L708" s="214"/>
      <c r="M708" s="214"/>
      <c r="N708" s="214"/>
      <c r="O708" s="214"/>
      <c r="P708" s="214"/>
      <c r="Q708" s="214"/>
      <c r="R708" s="214"/>
      <c r="S708" s="214"/>
      <c r="T708" s="214"/>
      <c r="U708" s="214"/>
      <c r="V708" s="214"/>
      <c r="W708" s="214"/>
      <c r="X708" s="214"/>
      <c r="Y708" s="214"/>
      <c r="Z708" s="214"/>
      <c r="AA708" s="214"/>
      <c r="AB708" s="214"/>
      <c r="AC708" s="214"/>
    </row>
    <row r="709">
      <c r="A709" s="236"/>
      <c r="B709" s="237"/>
      <c r="C709" s="237"/>
      <c r="D709" s="495" t="s">
        <v>189</v>
      </c>
      <c r="E709" s="495">
        <v>1.0</v>
      </c>
      <c r="F709" s="500"/>
      <c r="G709" s="500"/>
      <c r="H709" s="497" t="s">
        <v>190</v>
      </c>
      <c r="I709" s="501" t="s">
        <v>186</v>
      </c>
      <c r="J709" s="214"/>
      <c r="K709" s="214"/>
      <c r="L709" s="214"/>
      <c r="M709" s="214"/>
      <c r="N709" s="214"/>
      <c r="O709" s="214"/>
      <c r="P709" s="214"/>
      <c r="Q709" s="214"/>
      <c r="R709" s="214"/>
      <c r="S709" s="214"/>
      <c r="T709" s="214"/>
      <c r="U709" s="214"/>
      <c r="V709" s="214"/>
      <c r="W709" s="214"/>
      <c r="X709" s="214"/>
      <c r="Y709" s="214"/>
      <c r="Z709" s="214"/>
      <c r="AA709" s="214"/>
      <c r="AB709" s="214"/>
      <c r="AC709" s="214"/>
    </row>
    <row r="710">
      <c r="A710" s="242" t="s">
        <v>549</v>
      </c>
      <c r="B710" s="243" t="s">
        <v>550</v>
      </c>
      <c r="C710" s="244">
        <f>sum(E710:E713)</f>
        <v>9</v>
      </c>
      <c r="D710" s="292" t="s">
        <v>229</v>
      </c>
      <c r="E710" s="292">
        <v>2.0</v>
      </c>
      <c r="F710" s="324"/>
      <c r="G710" s="324"/>
      <c r="H710" s="294" t="s">
        <v>69</v>
      </c>
      <c r="I710" s="295" t="s">
        <v>65</v>
      </c>
      <c r="J710" s="214"/>
      <c r="K710" s="214"/>
      <c r="L710" s="214"/>
      <c r="M710" s="214"/>
      <c r="N710" s="214"/>
      <c r="O710" s="214"/>
      <c r="P710" s="214"/>
      <c r="Q710" s="214"/>
      <c r="R710" s="214"/>
      <c r="S710" s="214"/>
      <c r="T710" s="214"/>
      <c r="U710" s="214"/>
      <c r="V710" s="214"/>
      <c r="W710" s="214"/>
      <c r="X710" s="214"/>
      <c r="Y710" s="214"/>
      <c r="Z710" s="214"/>
      <c r="AA710" s="214"/>
      <c r="AB710" s="214"/>
      <c r="AC710" s="214"/>
    </row>
    <row r="711">
      <c r="A711" s="222"/>
      <c r="D711" s="299" t="s">
        <v>143</v>
      </c>
      <c r="E711" s="299">
        <v>5.0</v>
      </c>
      <c r="F711" s="251"/>
      <c r="G711" s="251"/>
      <c r="H711" s="312" t="s">
        <v>145</v>
      </c>
      <c r="I711" s="253" t="s">
        <v>144</v>
      </c>
      <c r="J711" s="214"/>
      <c r="K711" s="214"/>
      <c r="L711" s="214"/>
      <c r="M711" s="214"/>
      <c r="N711" s="214"/>
      <c r="O711" s="214"/>
      <c r="P711" s="214"/>
      <c r="Q711" s="214"/>
      <c r="R711" s="214"/>
      <c r="S711" s="214"/>
      <c r="T711" s="214"/>
      <c r="U711" s="214"/>
      <c r="V711" s="214"/>
      <c r="W711" s="214"/>
      <c r="X711" s="214"/>
      <c r="Y711" s="214"/>
      <c r="Z711" s="214"/>
      <c r="AA711" s="214"/>
      <c r="AB711" s="214"/>
      <c r="AC711" s="214"/>
    </row>
    <row r="712">
      <c r="A712" s="222"/>
      <c r="D712" s="232" t="s">
        <v>239</v>
      </c>
      <c r="E712" s="232">
        <v>1.0</v>
      </c>
      <c r="F712" s="233"/>
      <c r="G712" s="233"/>
      <c r="H712" s="234" t="s">
        <v>115</v>
      </c>
      <c r="I712" s="298" t="s">
        <v>105</v>
      </c>
      <c r="J712" s="214"/>
      <c r="K712" s="214"/>
      <c r="L712" s="214"/>
      <c r="M712" s="214"/>
      <c r="N712" s="214"/>
      <c r="O712" s="214"/>
      <c r="P712" s="214"/>
      <c r="Q712" s="214"/>
      <c r="R712" s="214"/>
      <c r="S712" s="214"/>
      <c r="T712" s="214"/>
      <c r="U712" s="214"/>
      <c r="V712" s="214"/>
      <c r="W712" s="214"/>
      <c r="X712" s="214"/>
      <c r="Y712" s="214"/>
      <c r="Z712" s="214"/>
      <c r="AA712" s="214"/>
      <c r="AB712" s="214"/>
      <c r="AC712" s="214"/>
    </row>
    <row r="713">
      <c r="A713" s="236"/>
      <c r="B713" s="237"/>
      <c r="C713" s="237"/>
      <c r="D713" s="287" t="s">
        <v>117</v>
      </c>
      <c r="E713" s="287">
        <v>1.0</v>
      </c>
      <c r="F713" s="404"/>
      <c r="G713" s="404"/>
      <c r="H713" s="289" t="s">
        <v>238</v>
      </c>
      <c r="I713" s="290" t="s">
        <v>105</v>
      </c>
      <c r="J713" s="214"/>
      <c r="K713" s="214"/>
      <c r="L713" s="214"/>
      <c r="M713" s="214"/>
      <c r="N713" s="214"/>
      <c r="O713" s="214"/>
      <c r="P713" s="214"/>
      <c r="Q713" s="214"/>
      <c r="R713" s="214"/>
      <c r="S713" s="214"/>
      <c r="T713" s="214"/>
      <c r="U713" s="214"/>
      <c r="V713" s="214"/>
      <c r="W713" s="214"/>
      <c r="X713" s="214"/>
      <c r="Y713" s="214"/>
      <c r="Z713" s="214"/>
      <c r="AA713" s="214"/>
      <c r="AB713" s="214"/>
      <c r="AC713" s="214"/>
    </row>
    <row r="714">
      <c r="A714" s="215" t="s">
        <v>551</v>
      </c>
      <c r="B714" s="216" t="s">
        <v>552</v>
      </c>
      <c r="C714" s="244">
        <f>sum(E714:E719)</f>
        <v>9</v>
      </c>
      <c r="D714" s="335" t="s">
        <v>166</v>
      </c>
      <c r="E714" s="335">
        <v>2.0</v>
      </c>
      <c r="F714" s="354"/>
      <c r="G714" s="354"/>
      <c r="H714" s="337" t="s">
        <v>167</v>
      </c>
      <c r="I714" s="355" t="s">
        <v>163</v>
      </c>
      <c r="J714" s="214"/>
      <c r="K714" s="214"/>
      <c r="L714" s="214"/>
      <c r="M714" s="214"/>
      <c r="N714" s="214"/>
      <c r="O714" s="214"/>
      <c r="P714" s="214"/>
      <c r="Q714" s="214"/>
      <c r="R714" s="214"/>
      <c r="S714" s="214"/>
      <c r="T714" s="214"/>
      <c r="U714" s="214"/>
      <c r="V714" s="214"/>
      <c r="W714" s="214"/>
      <c r="X714" s="214"/>
      <c r="Y714" s="214"/>
      <c r="Z714" s="214"/>
      <c r="AA714" s="214"/>
      <c r="AB714" s="214"/>
      <c r="AC714" s="214"/>
    </row>
    <row r="715">
      <c r="A715" s="222"/>
      <c r="D715" s="279" t="s">
        <v>49</v>
      </c>
      <c r="E715" s="279">
        <v>2.0</v>
      </c>
      <c r="F715" s="280"/>
      <c r="G715" s="280"/>
      <c r="H715" s="281" t="s">
        <v>50</v>
      </c>
      <c r="I715" s="282" t="s">
        <v>43</v>
      </c>
      <c r="J715" s="214"/>
      <c r="K715" s="214"/>
      <c r="L715" s="214"/>
      <c r="M715" s="214"/>
      <c r="N715" s="214"/>
      <c r="O715" s="214"/>
      <c r="P715" s="214"/>
      <c r="Q715" s="214"/>
      <c r="R715" s="214"/>
      <c r="S715" s="214"/>
      <c r="T715" s="214"/>
      <c r="U715" s="214"/>
      <c r="V715" s="214"/>
      <c r="W715" s="214"/>
      <c r="X715" s="214"/>
      <c r="Y715" s="214"/>
      <c r="Z715" s="214"/>
      <c r="AA715" s="214"/>
      <c r="AB715" s="214"/>
      <c r="AC715" s="214"/>
    </row>
    <row r="716">
      <c r="A716" s="222"/>
      <c r="D716" s="279" t="s">
        <v>58</v>
      </c>
      <c r="E716" s="279">
        <v>1.0</v>
      </c>
      <c r="F716" s="280"/>
      <c r="G716" s="280"/>
      <c r="H716" s="281" t="s">
        <v>59</v>
      </c>
      <c r="I716" s="282" t="s">
        <v>43</v>
      </c>
      <c r="J716" s="214"/>
      <c r="K716" s="214"/>
      <c r="L716" s="214"/>
      <c r="M716" s="214"/>
      <c r="N716" s="214"/>
      <c r="O716" s="214"/>
      <c r="P716" s="214"/>
      <c r="Q716" s="214"/>
      <c r="R716" s="214"/>
      <c r="S716" s="214"/>
      <c r="T716" s="214"/>
      <c r="U716" s="214"/>
      <c r="V716" s="214"/>
      <c r="W716" s="214"/>
      <c r="X716" s="214"/>
      <c r="Y716" s="214"/>
      <c r="Z716" s="214"/>
      <c r="AA716" s="214"/>
      <c r="AB716" s="214"/>
      <c r="AC716" s="214"/>
    </row>
    <row r="717">
      <c r="A717" s="222"/>
      <c r="D717" s="256" t="s">
        <v>185</v>
      </c>
      <c r="E717" s="256">
        <v>1.0</v>
      </c>
      <c r="F717" s="257"/>
      <c r="G717" s="257"/>
      <c r="H717" s="258" t="s">
        <v>187</v>
      </c>
      <c r="I717" s="315" t="s">
        <v>186</v>
      </c>
      <c r="J717" s="214"/>
      <c r="K717" s="214"/>
      <c r="L717" s="214"/>
      <c r="M717" s="214"/>
      <c r="N717" s="214"/>
      <c r="O717" s="214"/>
      <c r="P717" s="214"/>
      <c r="Q717" s="214"/>
      <c r="R717" s="214"/>
      <c r="S717" s="214"/>
      <c r="T717" s="214"/>
      <c r="U717" s="214"/>
      <c r="V717" s="214"/>
      <c r="W717" s="214"/>
      <c r="X717" s="214"/>
      <c r="Y717" s="214"/>
      <c r="Z717" s="214"/>
      <c r="AA717" s="214"/>
      <c r="AB717" s="214"/>
      <c r="AC717" s="214"/>
    </row>
    <row r="718">
      <c r="A718" s="222"/>
      <c r="D718" s="232" t="s">
        <v>239</v>
      </c>
      <c r="E718" s="232">
        <v>1.0</v>
      </c>
      <c r="F718" s="233"/>
      <c r="G718" s="233"/>
      <c r="H718" s="234" t="s">
        <v>115</v>
      </c>
      <c r="I718" s="235" t="s">
        <v>105</v>
      </c>
      <c r="J718" s="214"/>
      <c r="K718" s="214"/>
      <c r="L718" s="214"/>
      <c r="M718" s="214"/>
      <c r="N718" s="214"/>
      <c r="O718" s="214"/>
      <c r="P718" s="214"/>
      <c r="Q718" s="214"/>
      <c r="R718" s="214"/>
      <c r="S718" s="214"/>
      <c r="T718" s="214"/>
      <c r="U718" s="214"/>
      <c r="V718" s="214"/>
      <c r="W718" s="214"/>
      <c r="X718" s="214"/>
      <c r="Y718" s="214"/>
      <c r="Z718" s="214"/>
      <c r="AA718" s="214"/>
      <c r="AB718" s="214"/>
      <c r="AC718" s="214"/>
    </row>
    <row r="719">
      <c r="A719" s="236"/>
      <c r="B719" s="237"/>
      <c r="C719" s="237"/>
      <c r="D719" s="320" t="s">
        <v>156</v>
      </c>
      <c r="E719" s="320">
        <v>2.0</v>
      </c>
      <c r="F719" s="321"/>
      <c r="G719" s="321"/>
      <c r="H719" s="322" t="s">
        <v>157</v>
      </c>
      <c r="I719" s="323" t="s">
        <v>144</v>
      </c>
      <c r="J719" s="214"/>
      <c r="K719" s="214"/>
      <c r="L719" s="214"/>
      <c r="M719" s="214"/>
      <c r="N719" s="214"/>
      <c r="O719" s="214"/>
      <c r="P719" s="214"/>
      <c r="Q719" s="214"/>
      <c r="R719" s="214"/>
      <c r="S719" s="214"/>
      <c r="T719" s="214"/>
      <c r="U719" s="214"/>
      <c r="V719" s="214"/>
      <c r="W719" s="214"/>
      <c r="X719" s="214"/>
      <c r="Y719" s="214"/>
      <c r="Z719" s="214"/>
      <c r="AA719" s="214"/>
      <c r="AB719" s="214"/>
      <c r="AC719" s="214"/>
    </row>
    <row r="720">
      <c r="A720" s="242" t="s">
        <v>553</v>
      </c>
      <c r="B720" s="243" t="s">
        <v>228</v>
      </c>
      <c r="C720" s="244">
        <f>sum(E720:E724)</f>
        <v>9</v>
      </c>
      <c r="D720" s="521" t="s">
        <v>159</v>
      </c>
      <c r="E720" s="521">
        <v>1.0</v>
      </c>
      <c r="F720" s="522"/>
      <c r="G720" s="522"/>
      <c r="H720" s="523" t="s">
        <v>160</v>
      </c>
      <c r="I720" s="538" t="s">
        <v>144</v>
      </c>
      <c r="J720" s="214"/>
      <c r="K720" s="214"/>
      <c r="L720" s="214"/>
      <c r="M720" s="214"/>
      <c r="N720" s="214"/>
      <c r="O720" s="214"/>
      <c r="P720" s="214"/>
      <c r="Q720" s="214"/>
      <c r="R720" s="214"/>
      <c r="S720" s="214"/>
      <c r="T720" s="214"/>
      <c r="U720" s="214"/>
      <c r="V720" s="214"/>
      <c r="W720" s="214"/>
      <c r="X720" s="214"/>
      <c r="Y720" s="214"/>
      <c r="Z720" s="214"/>
      <c r="AA720" s="214"/>
      <c r="AB720" s="214"/>
      <c r="AC720" s="214"/>
    </row>
    <row r="721">
      <c r="A721" s="222"/>
      <c r="D721" s="299" t="s">
        <v>150</v>
      </c>
      <c r="E721" s="299">
        <v>2.0</v>
      </c>
      <c r="F721" s="250"/>
      <c r="G721" s="251"/>
      <c r="H721" s="312" t="s">
        <v>151</v>
      </c>
      <c r="I721" s="415" t="s">
        <v>144</v>
      </c>
      <c r="J721" s="214"/>
      <c r="K721" s="214"/>
      <c r="L721" s="214"/>
      <c r="M721" s="214"/>
      <c r="N721" s="214"/>
      <c r="O721" s="214"/>
      <c r="P721" s="214"/>
      <c r="Q721" s="214"/>
      <c r="R721" s="214"/>
      <c r="S721" s="214"/>
      <c r="T721" s="214"/>
      <c r="U721" s="214"/>
      <c r="V721" s="214"/>
      <c r="W721" s="214"/>
      <c r="X721" s="214"/>
      <c r="Y721" s="214"/>
      <c r="Z721" s="214"/>
      <c r="AA721" s="214"/>
      <c r="AB721" s="214"/>
      <c r="AC721" s="214"/>
    </row>
    <row r="722">
      <c r="A722" s="222"/>
      <c r="D722" s="271" t="s">
        <v>162</v>
      </c>
      <c r="E722" s="271">
        <v>2.0</v>
      </c>
      <c r="F722" s="272"/>
      <c r="G722" s="272"/>
      <c r="H722" s="273" t="s">
        <v>164</v>
      </c>
      <c r="I722" s="393" t="s">
        <v>163</v>
      </c>
      <c r="J722" s="214"/>
      <c r="K722" s="214"/>
      <c r="L722" s="214"/>
      <c r="M722" s="214"/>
      <c r="N722" s="214"/>
      <c r="O722" s="214"/>
      <c r="P722" s="214"/>
      <c r="Q722" s="214"/>
      <c r="R722" s="214"/>
      <c r="S722" s="214"/>
      <c r="T722" s="214"/>
      <c r="U722" s="214"/>
      <c r="V722" s="214"/>
      <c r="W722" s="214"/>
      <c r="X722" s="214"/>
      <c r="Y722" s="214"/>
      <c r="Z722" s="214"/>
      <c r="AA722" s="214"/>
      <c r="AB722" s="214"/>
      <c r="AC722" s="214"/>
    </row>
    <row r="723">
      <c r="A723" s="222"/>
      <c r="D723" s="506" t="s">
        <v>22</v>
      </c>
      <c r="E723" s="506">
        <v>2.0</v>
      </c>
      <c r="F723" s="371"/>
      <c r="G723" s="371"/>
      <c r="H723" s="507" t="s">
        <v>265</v>
      </c>
      <c r="I723" s="424" t="s">
        <v>23</v>
      </c>
      <c r="J723" s="214"/>
      <c r="K723" s="214"/>
      <c r="L723" s="214"/>
      <c r="M723" s="214"/>
      <c r="N723" s="214"/>
      <c r="O723" s="214"/>
      <c r="P723" s="214"/>
      <c r="Q723" s="214"/>
      <c r="R723" s="214"/>
      <c r="S723" s="214"/>
      <c r="T723" s="214"/>
      <c r="U723" s="214"/>
      <c r="V723" s="214"/>
      <c r="W723" s="214"/>
      <c r="X723" s="214"/>
      <c r="Y723" s="214"/>
      <c r="Z723" s="214"/>
      <c r="AA723" s="214"/>
      <c r="AB723" s="214"/>
      <c r="AC723" s="214"/>
    </row>
    <row r="724">
      <c r="A724" s="236"/>
      <c r="B724" s="237"/>
      <c r="C724" s="237"/>
      <c r="D724" s="238" t="s">
        <v>79</v>
      </c>
      <c r="E724" s="238">
        <v>2.0</v>
      </c>
      <c r="F724" s="239"/>
      <c r="G724" s="239"/>
      <c r="H724" s="446" t="s">
        <v>80</v>
      </c>
      <c r="I724" s="241" t="s">
        <v>65</v>
      </c>
      <c r="J724" s="214"/>
      <c r="K724" s="214"/>
      <c r="L724" s="214"/>
      <c r="M724" s="214"/>
      <c r="N724" s="214"/>
      <c r="O724" s="214"/>
      <c r="P724" s="214"/>
      <c r="Q724" s="214"/>
      <c r="R724" s="214"/>
      <c r="S724" s="214"/>
      <c r="T724" s="214"/>
      <c r="U724" s="214"/>
      <c r="V724" s="214"/>
      <c r="W724" s="214"/>
      <c r="X724" s="214"/>
      <c r="Y724" s="214"/>
      <c r="Z724" s="214"/>
      <c r="AA724" s="214"/>
      <c r="AB724" s="214"/>
      <c r="AC724" s="214"/>
    </row>
    <row r="725">
      <c r="A725" s="215" t="s">
        <v>554</v>
      </c>
      <c r="B725" s="243" t="s">
        <v>555</v>
      </c>
      <c r="C725" s="244">
        <f>sum(E725:E729)</f>
        <v>9</v>
      </c>
      <c r="D725" s="521" t="s">
        <v>143</v>
      </c>
      <c r="E725" s="521">
        <v>5.0</v>
      </c>
      <c r="F725" s="522"/>
      <c r="G725" s="522"/>
      <c r="H725" s="523" t="s">
        <v>145</v>
      </c>
      <c r="I725" s="524" t="s">
        <v>144</v>
      </c>
      <c r="J725" s="214"/>
      <c r="K725" s="214"/>
      <c r="L725" s="214"/>
      <c r="M725" s="214"/>
      <c r="N725" s="214"/>
      <c r="O725" s="214"/>
      <c r="P725" s="214"/>
      <c r="Q725" s="214"/>
      <c r="R725" s="214"/>
      <c r="S725" s="214"/>
      <c r="T725" s="214"/>
      <c r="U725" s="214"/>
      <c r="V725" s="214"/>
      <c r="W725" s="214"/>
      <c r="X725" s="214"/>
      <c r="Y725" s="214"/>
      <c r="Z725" s="214"/>
      <c r="AA725" s="214"/>
      <c r="AB725" s="214"/>
      <c r="AC725" s="214"/>
    </row>
    <row r="726">
      <c r="A726" s="222"/>
      <c r="D726" s="286" t="s">
        <v>94</v>
      </c>
      <c r="E726" s="286">
        <v>1.0</v>
      </c>
      <c r="F726" s="261"/>
      <c r="G726" s="261"/>
      <c r="H726" s="414" t="s">
        <v>95</v>
      </c>
      <c r="I726" s="263" t="s">
        <v>65</v>
      </c>
      <c r="J726" s="214"/>
      <c r="K726" s="214"/>
      <c r="L726" s="214"/>
      <c r="M726" s="214"/>
      <c r="N726" s="214"/>
      <c r="O726" s="214"/>
      <c r="P726" s="214"/>
      <c r="Q726" s="214"/>
      <c r="R726" s="214"/>
      <c r="S726" s="214"/>
      <c r="T726" s="214"/>
      <c r="U726" s="214"/>
      <c r="V726" s="214"/>
      <c r="W726" s="214"/>
      <c r="X726" s="214"/>
      <c r="Y726" s="214"/>
      <c r="Z726" s="214"/>
      <c r="AA726" s="214"/>
      <c r="AB726" s="214"/>
      <c r="AC726" s="214"/>
    </row>
    <row r="727">
      <c r="A727" s="222"/>
      <c r="D727" s="271" t="s">
        <v>172</v>
      </c>
      <c r="E727" s="271">
        <v>1.0</v>
      </c>
      <c r="F727" s="272"/>
      <c r="G727" s="272"/>
      <c r="H727" s="273" t="s">
        <v>389</v>
      </c>
      <c r="I727" s="274" t="s">
        <v>163</v>
      </c>
      <c r="J727" s="214"/>
      <c r="K727" s="214"/>
      <c r="L727" s="214"/>
      <c r="M727" s="214"/>
      <c r="N727" s="214"/>
      <c r="O727" s="214"/>
      <c r="P727" s="214"/>
      <c r="Q727" s="214"/>
      <c r="R727" s="214"/>
      <c r="S727" s="214"/>
      <c r="T727" s="214"/>
      <c r="U727" s="214"/>
      <c r="V727" s="214"/>
      <c r="W727" s="214"/>
      <c r="X727" s="214"/>
      <c r="Y727" s="214"/>
      <c r="Z727" s="214"/>
      <c r="AA727" s="214"/>
      <c r="AB727" s="214"/>
      <c r="AC727" s="214"/>
    </row>
    <row r="728">
      <c r="A728" s="222"/>
      <c r="D728" s="339" t="s">
        <v>117</v>
      </c>
      <c r="E728" s="339">
        <v>1.0</v>
      </c>
      <c r="F728" s="254"/>
      <c r="G728" s="233"/>
      <c r="H728" s="340" t="s">
        <v>238</v>
      </c>
      <c r="I728" s="235" t="s">
        <v>105</v>
      </c>
      <c r="J728" s="214"/>
      <c r="K728" s="214"/>
      <c r="L728" s="214"/>
      <c r="M728" s="214"/>
      <c r="N728" s="214"/>
      <c r="O728" s="214"/>
      <c r="P728" s="214"/>
      <c r="Q728" s="214"/>
      <c r="R728" s="214"/>
      <c r="S728" s="214"/>
      <c r="T728" s="214"/>
      <c r="U728" s="214"/>
      <c r="V728" s="214"/>
      <c r="W728" s="214"/>
      <c r="X728" s="214"/>
      <c r="Y728" s="214"/>
      <c r="Z728" s="214"/>
      <c r="AA728" s="214"/>
      <c r="AB728" s="214"/>
      <c r="AC728" s="214"/>
    </row>
    <row r="729">
      <c r="A729" s="236"/>
      <c r="B729" s="237"/>
      <c r="C729" s="237"/>
      <c r="D729" s="287" t="s">
        <v>239</v>
      </c>
      <c r="E729" s="287">
        <v>1.0</v>
      </c>
      <c r="F729" s="288"/>
      <c r="G729" s="288"/>
      <c r="H729" s="289" t="s">
        <v>115</v>
      </c>
      <c r="I729" s="290" t="s">
        <v>105</v>
      </c>
      <c r="J729" s="214"/>
      <c r="K729" s="214"/>
      <c r="L729" s="214"/>
      <c r="M729" s="214"/>
      <c r="N729" s="214"/>
      <c r="O729" s="214"/>
      <c r="P729" s="214"/>
      <c r="Q729" s="214"/>
      <c r="R729" s="214"/>
      <c r="S729" s="214"/>
      <c r="T729" s="214"/>
      <c r="U729" s="214"/>
      <c r="V729" s="214"/>
      <c r="W729" s="214"/>
      <c r="X729" s="214"/>
      <c r="Y729" s="214"/>
      <c r="Z729" s="214"/>
      <c r="AA729" s="214"/>
      <c r="AB729" s="214"/>
      <c r="AC729" s="214"/>
    </row>
    <row r="730">
      <c r="A730" s="215" t="s">
        <v>556</v>
      </c>
      <c r="B730" s="243" t="s">
        <v>557</v>
      </c>
      <c r="C730" s="244">
        <f>sum(E730:E733)</f>
        <v>9</v>
      </c>
      <c r="D730" s="335" t="s">
        <v>162</v>
      </c>
      <c r="E730" s="335">
        <v>2.0</v>
      </c>
      <c r="F730" s="354"/>
      <c r="G730" s="354"/>
      <c r="H730" s="337" t="s">
        <v>164</v>
      </c>
      <c r="I730" s="355" t="s">
        <v>163</v>
      </c>
      <c r="J730" s="527"/>
      <c r="K730" s="527"/>
      <c r="L730" s="527"/>
      <c r="M730" s="527"/>
      <c r="N730" s="527"/>
      <c r="O730" s="527"/>
      <c r="P730" s="527"/>
      <c r="Q730" s="527"/>
      <c r="R730" s="527"/>
      <c r="S730" s="527"/>
      <c r="T730" s="527"/>
      <c r="U730" s="527"/>
      <c r="V730" s="527"/>
      <c r="W730" s="527"/>
      <c r="X730" s="527"/>
      <c r="Y730" s="527"/>
      <c r="Z730" s="527"/>
      <c r="AA730" s="527"/>
      <c r="AB730" s="527"/>
      <c r="AC730" s="527"/>
    </row>
    <row r="731">
      <c r="A731" s="222"/>
      <c r="D731" s="249" t="s">
        <v>143</v>
      </c>
      <c r="E731" s="249">
        <v>5.0</v>
      </c>
      <c r="F731" s="250"/>
      <c r="G731" s="251"/>
      <c r="H731" s="252" t="s">
        <v>145</v>
      </c>
      <c r="I731" s="253" t="s">
        <v>144</v>
      </c>
      <c r="J731" s="527"/>
      <c r="K731" s="527"/>
      <c r="L731" s="527"/>
      <c r="M731" s="527"/>
      <c r="N731" s="527"/>
      <c r="O731" s="527"/>
      <c r="P731" s="527"/>
      <c r="Q731" s="527"/>
      <c r="R731" s="527"/>
      <c r="S731" s="527"/>
      <c r="T731" s="527"/>
      <c r="U731" s="527"/>
      <c r="V731" s="527"/>
      <c r="W731" s="527"/>
      <c r="X731" s="527"/>
      <c r="Y731" s="527"/>
      <c r="Z731" s="527"/>
      <c r="AA731" s="527"/>
      <c r="AB731" s="527"/>
      <c r="AC731" s="527"/>
    </row>
    <row r="732">
      <c r="A732" s="222"/>
      <c r="D732" s="232" t="s">
        <v>239</v>
      </c>
      <c r="E732" s="232">
        <v>1.0</v>
      </c>
      <c r="F732" s="233"/>
      <c r="G732" s="233"/>
      <c r="H732" s="234" t="s">
        <v>115</v>
      </c>
      <c r="I732" s="235" t="s">
        <v>105</v>
      </c>
      <c r="J732" s="527"/>
      <c r="K732" s="527"/>
      <c r="L732" s="527"/>
      <c r="M732" s="527"/>
      <c r="N732" s="527"/>
      <c r="O732" s="527"/>
      <c r="P732" s="527"/>
      <c r="Q732" s="527"/>
      <c r="R732" s="527"/>
      <c r="S732" s="527"/>
      <c r="T732" s="527"/>
      <c r="U732" s="527"/>
      <c r="V732" s="527"/>
      <c r="W732" s="527"/>
      <c r="X732" s="527"/>
      <c r="Y732" s="527"/>
      <c r="Z732" s="527"/>
      <c r="AA732" s="527"/>
      <c r="AB732" s="527"/>
      <c r="AC732" s="527"/>
    </row>
    <row r="733" ht="19.5" customHeight="1">
      <c r="A733" s="236"/>
      <c r="B733" s="237"/>
      <c r="C733" s="237"/>
      <c r="D733" s="232" t="s">
        <v>117</v>
      </c>
      <c r="E733" s="232">
        <v>1.0</v>
      </c>
      <c r="F733" s="254"/>
      <c r="G733" s="233"/>
      <c r="H733" s="234" t="s">
        <v>238</v>
      </c>
      <c r="I733" s="235" t="s">
        <v>105</v>
      </c>
      <c r="J733" s="527"/>
      <c r="K733" s="527"/>
      <c r="L733" s="527"/>
      <c r="M733" s="527"/>
      <c r="N733" s="527"/>
      <c r="O733" s="527"/>
      <c r="P733" s="527"/>
      <c r="Q733" s="527"/>
      <c r="R733" s="527"/>
      <c r="S733" s="527"/>
      <c r="T733" s="527"/>
      <c r="U733" s="527"/>
      <c r="V733" s="527"/>
      <c r="W733" s="527"/>
      <c r="X733" s="527"/>
      <c r="Y733" s="527"/>
      <c r="Z733" s="527"/>
      <c r="AA733" s="527"/>
      <c r="AB733" s="527"/>
      <c r="AC733" s="527"/>
    </row>
    <row r="734">
      <c r="A734" s="242" t="s">
        <v>558</v>
      </c>
      <c r="B734" s="243" t="s">
        <v>434</v>
      </c>
      <c r="C734" s="589">
        <f>sum(E734:E737)</f>
        <v>9</v>
      </c>
      <c r="D734" s="292" t="s">
        <v>229</v>
      </c>
      <c r="E734" s="292">
        <v>2.0</v>
      </c>
      <c r="F734" s="293"/>
      <c r="G734" s="324"/>
      <c r="H734" s="294" t="s">
        <v>69</v>
      </c>
      <c r="I734" s="295" t="s">
        <v>65</v>
      </c>
      <c r="J734" s="214"/>
      <c r="K734" s="214"/>
      <c r="L734" s="214"/>
      <c r="M734" s="214"/>
      <c r="N734" s="214"/>
      <c r="O734" s="214"/>
      <c r="P734" s="214"/>
      <c r="Q734" s="214"/>
      <c r="R734" s="214"/>
      <c r="S734" s="214"/>
      <c r="T734" s="214"/>
      <c r="U734" s="214"/>
      <c r="V734" s="214"/>
      <c r="W734" s="214"/>
      <c r="X734" s="214"/>
      <c r="Y734" s="214"/>
      <c r="Z734" s="214"/>
      <c r="AA734" s="214"/>
      <c r="AB734" s="214"/>
      <c r="AC734" s="214"/>
    </row>
    <row r="735">
      <c r="A735" s="222"/>
      <c r="D735" s="223" t="s">
        <v>175</v>
      </c>
      <c r="E735" s="425">
        <v>4.0</v>
      </c>
      <c r="F735" s="224"/>
      <c r="G735" s="224"/>
      <c r="H735" s="225" t="s">
        <v>232</v>
      </c>
      <c r="I735" s="226" t="s">
        <v>176</v>
      </c>
      <c r="J735" s="214"/>
      <c r="K735" s="214"/>
      <c r="L735" s="214"/>
      <c r="M735" s="214"/>
      <c r="N735" s="214"/>
      <c r="O735" s="214"/>
      <c r="P735" s="214"/>
      <c r="Q735" s="214"/>
      <c r="R735" s="214"/>
      <c r="S735" s="214"/>
      <c r="T735" s="214"/>
      <c r="U735" s="214"/>
      <c r="V735" s="214"/>
      <c r="W735" s="214"/>
      <c r="X735" s="214"/>
      <c r="Y735" s="214"/>
      <c r="Z735" s="214"/>
      <c r="AA735" s="214"/>
      <c r="AB735" s="214"/>
      <c r="AC735" s="214"/>
    </row>
    <row r="736">
      <c r="A736" s="222"/>
      <c r="D736" s="299" t="s">
        <v>156</v>
      </c>
      <c r="E736" s="299">
        <v>2.0</v>
      </c>
      <c r="F736" s="250"/>
      <c r="G736" s="250"/>
      <c r="H736" s="312" t="s">
        <v>157</v>
      </c>
      <c r="I736" s="253" t="s">
        <v>144</v>
      </c>
      <c r="J736" s="214"/>
      <c r="K736" s="214"/>
      <c r="L736" s="214"/>
      <c r="M736" s="214"/>
      <c r="N736" s="214"/>
      <c r="O736" s="214"/>
      <c r="P736" s="214"/>
      <c r="Q736" s="214"/>
      <c r="R736" s="214"/>
      <c r="S736" s="214"/>
      <c r="T736" s="214"/>
      <c r="U736" s="214"/>
      <c r="V736" s="214"/>
      <c r="W736" s="214"/>
      <c r="X736" s="214"/>
      <c r="Y736" s="214"/>
      <c r="Z736" s="214"/>
      <c r="AA736" s="214"/>
      <c r="AB736" s="214"/>
      <c r="AC736" s="214"/>
    </row>
    <row r="737">
      <c r="A737" s="236"/>
      <c r="B737" s="237"/>
      <c r="C737" s="237"/>
      <c r="D737" s="287" t="s">
        <v>239</v>
      </c>
      <c r="E737" s="287">
        <v>1.0</v>
      </c>
      <c r="F737" s="288"/>
      <c r="G737" s="288"/>
      <c r="H737" s="289" t="s">
        <v>115</v>
      </c>
      <c r="I737" s="290" t="s">
        <v>105</v>
      </c>
      <c r="J737" s="214"/>
      <c r="K737" s="214"/>
      <c r="L737" s="214"/>
      <c r="M737" s="214"/>
      <c r="N737" s="214"/>
      <c r="O737" s="214"/>
      <c r="P737" s="214"/>
      <c r="Q737" s="214"/>
      <c r="R737" s="214"/>
      <c r="S737" s="214"/>
      <c r="T737" s="214"/>
      <c r="U737" s="214"/>
      <c r="V737" s="214"/>
      <c r="W737" s="214"/>
      <c r="X737" s="214"/>
      <c r="Y737" s="214"/>
      <c r="Z737" s="214"/>
      <c r="AA737" s="214"/>
      <c r="AB737" s="214"/>
      <c r="AC737" s="214"/>
    </row>
    <row r="738">
      <c r="A738" s="242" t="s">
        <v>559</v>
      </c>
      <c r="B738" s="243" t="s">
        <v>560</v>
      </c>
      <c r="C738" s="589">
        <f>sum(E738:E741)</f>
        <v>9</v>
      </c>
      <c r="D738" s="590" t="s">
        <v>162</v>
      </c>
      <c r="E738" s="590">
        <v>2.0</v>
      </c>
      <c r="F738" s="336"/>
      <c r="G738" s="354"/>
      <c r="H738" s="591" t="s">
        <v>164</v>
      </c>
      <c r="I738" s="338" t="s">
        <v>163</v>
      </c>
      <c r="J738" s="214"/>
      <c r="K738" s="214"/>
      <c r="L738" s="214"/>
      <c r="M738" s="214"/>
      <c r="N738" s="214"/>
      <c r="O738" s="214"/>
      <c r="P738" s="214"/>
      <c r="Q738" s="214"/>
      <c r="R738" s="214"/>
      <c r="S738" s="214"/>
      <c r="T738" s="214"/>
      <c r="U738" s="214"/>
      <c r="V738" s="214"/>
      <c r="W738" s="214"/>
      <c r="X738" s="214"/>
      <c r="Y738" s="214"/>
      <c r="Z738" s="214"/>
      <c r="AA738" s="214"/>
      <c r="AB738" s="214"/>
      <c r="AC738" s="214"/>
    </row>
    <row r="739">
      <c r="A739" s="222"/>
      <c r="D739" s="232" t="s">
        <v>239</v>
      </c>
      <c r="E739" s="232">
        <v>1.0</v>
      </c>
      <c r="F739" s="254"/>
      <c r="G739" s="233"/>
      <c r="H739" s="234" t="s">
        <v>115</v>
      </c>
      <c r="I739" s="235" t="s">
        <v>105</v>
      </c>
      <c r="J739" s="214"/>
      <c r="K739" s="214"/>
      <c r="L739" s="214"/>
      <c r="M739" s="214"/>
      <c r="N739" s="214"/>
      <c r="O739" s="214"/>
      <c r="P739" s="214"/>
      <c r="Q739" s="214"/>
      <c r="R739" s="214"/>
      <c r="S739" s="214"/>
      <c r="T739" s="214"/>
      <c r="U739" s="214"/>
      <c r="V739" s="214"/>
      <c r="W739" s="214"/>
      <c r="X739" s="214"/>
      <c r="Y739" s="214"/>
      <c r="Z739" s="214"/>
      <c r="AA739" s="214"/>
      <c r="AB739" s="214"/>
      <c r="AC739" s="214"/>
    </row>
    <row r="740">
      <c r="A740" s="222"/>
      <c r="D740" s="333" t="s">
        <v>97</v>
      </c>
      <c r="E740" s="333">
        <v>2.0</v>
      </c>
      <c r="F740" s="276"/>
      <c r="G740" s="276"/>
      <c r="H740" s="334" t="s">
        <v>99</v>
      </c>
      <c r="I740" s="297" t="s">
        <v>98</v>
      </c>
      <c r="J740" s="214"/>
      <c r="K740" s="214"/>
      <c r="L740" s="214"/>
      <c r="M740" s="214"/>
      <c r="N740" s="214"/>
      <c r="O740" s="214"/>
      <c r="P740" s="214"/>
      <c r="Q740" s="214"/>
      <c r="R740" s="214"/>
      <c r="S740" s="214"/>
      <c r="T740" s="214"/>
      <c r="U740" s="214"/>
      <c r="V740" s="214"/>
      <c r="W740" s="214"/>
      <c r="X740" s="214"/>
      <c r="Y740" s="214"/>
      <c r="Z740" s="214"/>
      <c r="AA740" s="214"/>
      <c r="AB740" s="214"/>
      <c r="AC740" s="214"/>
    </row>
    <row r="741">
      <c r="A741" s="236"/>
      <c r="B741" s="237"/>
      <c r="C741" s="237"/>
      <c r="D741" s="345" t="s">
        <v>175</v>
      </c>
      <c r="E741" s="400">
        <v>4.0</v>
      </c>
      <c r="F741" s="346"/>
      <c r="G741" s="346"/>
      <c r="H741" s="347" t="s">
        <v>232</v>
      </c>
      <c r="I741" s="348" t="s">
        <v>176</v>
      </c>
      <c r="J741" s="214"/>
      <c r="K741" s="214"/>
      <c r="L741" s="214"/>
      <c r="M741" s="214"/>
      <c r="N741" s="214"/>
      <c r="O741" s="214"/>
      <c r="P741" s="214"/>
      <c r="Q741" s="214"/>
      <c r="R741" s="214"/>
      <c r="S741" s="214"/>
      <c r="T741" s="214"/>
      <c r="U741" s="214"/>
      <c r="V741" s="214"/>
      <c r="W741" s="214"/>
      <c r="X741" s="214"/>
      <c r="Y741" s="214"/>
      <c r="Z741" s="214"/>
      <c r="AA741" s="214"/>
      <c r="AB741" s="214"/>
      <c r="AC741" s="214"/>
    </row>
    <row r="742">
      <c r="A742" s="242" t="s">
        <v>561</v>
      </c>
      <c r="B742" s="243" t="s">
        <v>562</v>
      </c>
      <c r="C742" s="589">
        <f>sum(E742:E745)</f>
        <v>9</v>
      </c>
      <c r="D742" s="218" t="s">
        <v>175</v>
      </c>
      <c r="E742" s="269">
        <v>4.0</v>
      </c>
      <c r="F742" s="219"/>
      <c r="G742" s="270"/>
      <c r="H742" s="220" t="s">
        <v>232</v>
      </c>
      <c r="I742" s="221" t="s">
        <v>176</v>
      </c>
      <c r="J742" s="214"/>
      <c r="K742" s="214"/>
      <c r="L742" s="214"/>
      <c r="M742" s="214"/>
      <c r="N742" s="214"/>
      <c r="O742" s="214"/>
      <c r="P742" s="214"/>
      <c r="Q742" s="214"/>
      <c r="R742" s="214"/>
      <c r="S742" s="214"/>
      <c r="T742" s="214"/>
      <c r="U742" s="214"/>
      <c r="V742" s="214"/>
      <c r="W742" s="214"/>
      <c r="X742" s="214"/>
      <c r="Y742" s="214"/>
      <c r="Z742" s="214"/>
      <c r="AA742" s="214"/>
      <c r="AB742" s="214"/>
      <c r="AC742" s="214"/>
    </row>
    <row r="743">
      <c r="A743" s="222"/>
      <c r="D743" s="271" t="s">
        <v>162</v>
      </c>
      <c r="E743" s="271">
        <v>2.0</v>
      </c>
      <c r="F743" s="272"/>
      <c r="G743" s="272"/>
      <c r="H743" s="273" t="s">
        <v>164</v>
      </c>
      <c r="I743" s="274" t="s">
        <v>163</v>
      </c>
      <c r="J743" s="214"/>
      <c r="K743" s="214"/>
      <c r="L743" s="214"/>
      <c r="M743" s="214"/>
      <c r="N743" s="214"/>
      <c r="O743" s="214"/>
      <c r="P743" s="214"/>
      <c r="Q743" s="214"/>
      <c r="R743" s="214"/>
      <c r="S743" s="214"/>
      <c r="T743" s="214"/>
      <c r="U743" s="214"/>
      <c r="V743" s="214"/>
      <c r="W743" s="214"/>
      <c r="X743" s="214"/>
      <c r="Y743" s="214"/>
      <c r="Z743" s="214"/>
      <c r="AA743" s="214"/>
      <c r="AB743" s="214"/>
      <c r="AC743" s="214"/>
    </row>
    <row r="744">
      <c r="A744" s="222"/>
      <c r="D744" s="387" t="s">
        <v>58</v>
      </c>
      <c r="E744" s="387">
        <v>1.0</v>
      </c>
      <c r="F744" s="280"/>
      <c r="G744" s="280"/>
      <c r="H744" s="388" t="s">
        <v>59</v>
      </c>
      <c r="I744" s="282" t="s">
        <v>43</v>
      </c>
      <c r="J744" s="214"/>
      <c r="K744" s="214"/>
      <c r="L744" s="214"/>
      <c r="M744" s="214"/>
      <c r="N744" s="214"/>
      <c r="O744" s="214"/>
      <c r="P744" s="214"/>
      <c r="Q744" s="214"/>
      <c r="R744" s="214"/>
      <c r="S744" s="214"/>
      <c r="T744" s="214"/>
      <c r="U744" s="214"/>
      <c r="V744" s="214"/>
      <c r="W744" s="214"/>
      <c r="X744" s="214"/>
      <c r="Y744" s="214"/>
      <c r="Z744" s="214"/>
      <c r="AA744" s="214"/>
      <c r="AB744" s="214"/>
      <c r="AC744" s="214"/>
    </row>
    <row r="745">
      <c r="A745" s="236"/>
      <c r="B745" s="237"/>
      <c r="C745" s="237"/>
      <c r="D745" s="238" t="s">
        <v>229</v>
      </c>
      <c r="E745" s="238">
        <v>2.0</v>
      </c>
      <c r="F745" s="239"/>
      <c r="G745" s="239"/>
      <c r="H745" s="446" t="s">
        <v>69</v>
      </c>
      <c r="I745" s="241" t="s">
        <v>65</v>
      </c>
      <c r="J745" s="214"/>
      <c r="K745" s="214"/>
      <c r="L745" s="214"/>
      <c r="M745" s="214"/>
      <c r="N745" s="214"/>
      <c r="O745" s="214"/>
      <c r="P745" s="214"/>
      <c r="Q745" s="214"/>
      <c r="R745" s="214"/>
      <c r="S745" s="214"/>
      <c r="T745" s="214"/>
      <c r="U745" s="214"/>
      <c r="V745" s="214"/>
      <c r="W745" s="214"/>
      <c r="X745" s="214"/>
      <c r="Y745" s="214"/>
      <c r="Z745" s="214"/>
      <c r="AA745" s="214"/>
      <c r="AB745" s="214"/>
      <c r="AC745" s="214"/>
    </row>
    <row r="746">
      <c r="A746" s="242" t="s">
        <v>563</v>
      </c>
      <c r="B746" s="243" t="s">
        <v>564</v>
      </c>
      <c r="C746" s="589">
        <f>sum(E746:E748)</f>
        <v>9</v>
      </c>
      <c r="D746" s="335" t="s">
        <v>162</v>
      </c>
      <c r="E746" s="335">
        <v>2.0</v>
      </c>
      <c r="F746" s="354"/>
      <c r="G746" s="354"/>
      <c r="H746" s="337" t="s">
        <v>164</v>
      </c>
      <c r="I746" s="338" t="s">
        <v>163</v>
      </c>
      <c r="J746" s="214"/>
      <c r="K746" s="214"/>
      <c r="L746" s="214"/>
      <c r="M746" s="214"/>
      <c r="N746" s="214"/>
      <c r="O746" s="214"/>
      <c r="P746" s="214"/>
      <c r="Q746" s="214"/>
      <c r="R746" s="214"/>
      <c r="S746" s="214"/>
      <c r="T746" s="214"/>
      <c r="U746" s="214"/>
      <c r="V746" s="214"/>
      <c r="W746" s="214"/>
      <c r="X746" s="214"/>
      <c r="Y746" s="214"/>
      <c r="Z746" s="214"/>
      <c r="AA746" s="214"/>
      <c r="AB746" s="214"/>
      <c r="AC746" s="214"/>
    </row>
    <row r="747">
      <c r="A747" s="222"/>
      <c r="D747" s="299" t="s">
        <v>147</v>
      </c>
      <c r="E747" s="299">
        <v>3.0</v>
      </c>
      <c r="F747" s="251"/>
      <c r="G747" s="251"/>
      <c r="H747" s="312" t="s">
        <v>145</v>
      </c>
      <c r="I747" s="300" t="s">
        <v>144</v>
      </c>
      <c r="J747" s="214"/>
      <c r="K747" s="214"/>
      <c r="L747" s="214"/>
      <c r="M747" s="214"/>
      <c r="N747" s="214"/>
      <c r="O747" s="214"/>
      <c r="P747" s="214"/>
      <c r="Q747" s="214"/>
      <c r="R747" s="214"/>
      <c r="S747" s="214"/>
      <c r="T747" s="214"/>
      <c r="U747" s="214"/>
      <c r="V747" s="214"/>
      <c r="W747" s="214"/>
      <c r="X747" s="214"/>
      <c r="Y747" s="214"/>
      <c r="Z747" s="214"/>
      <c r="AA747" s="214"/>
      <c r="AB747" s="214"/>
      <c r="AC747" s="214"/>
    </row>
    <row r="748">
      <c r="A748" s="236"/>
      <c r="B748" s="237"/>
      <c r="C748" s="237"/>
      <c r="D748" s="345" t="s">
        <v>175</v>
      </c>
      <c r="E748" s="400">
        <v>4.0</v>
      </c>
      <c r="F748" s="346"/>
      <c r="G748" s="346"/>
      <c r="H748" s="347" t="s">
        <v>232</v>
      </c>
      <c r="I748" s="348" t="s">
        <v>176</v>
      </c>
      <c r="J748" s="214"/>
      <c r="K748" s="214"/>
      <c r="L748" s="214"/>
      <c r="M748" s="214"/>
      <c r="N748" s="214"/>
      <c r="O748" s="214"/>
      <c r="P748" s="214"/>
      <c r="Q748" s="214"/>
      <c r="R748" s="214"/>
      <c r="S748" s="214"/>
      <c r="T748" s="214"/>
      <c r="U748" s="214"/>
      <c r="V748" s="214"/>
      <c r="W748" s="214"/>
      <c r="X748" s="214"/>
      <c r="Y748" s="214"/>
      <c r="Z748" s="214"/>
      <c r="AA748" s="214"/>
      <c r="AB748" s="214"/>
      <c r="AC748" s="214"/>
    </row>
    <row r="749">
      <c r="A749" s="215" t="s">
        <v>565</v>
      </c>
      <c r="B749" s="216" t="s">
        <v>566</v>
      </c>
      <c r="C749" s="589">
        <f>sum(E749:E752)</f>
        <v>9</v>
      </c>
      <c r="D749" s="395" t="s">
        <v>22</v>
      </c>
      <c r="E749" s="395">
        <v>2.0</v>
      </c>
      <c r="F749" s="396"/>
      <c r="G749" s="397"/>
      <c r="H749" s="398" t="s">
        <v>265</v>
      </c>
      <c r="I749" s="399" t="s">
        <v>23</v>
      </c>
      <c r="J749" s="214"/>
      <c r="K749" s="214"/>
      <c r="L749" s="214"/>
      <c r="M749" s="214"/>
      <c r="N749" s="214"/>
      <c r="O749" s="214"/>
      <c r="P749" s="214"/>
      <c r="Q749" s="214"/>
      <c r="R749" s="214"/>
      <c r="S749" s="214"/>
      <c r="T749" s="214"/>
      <c r="U749" s="214"/>
      <c r="V749" s="214"/>
      <c r="W749" s="214"/>
      <c r="X749" s="214"/>
      <c r="Y749" s="214"/>
      <c r="Z749" s="214"/>
      <c r="AA749" s="214"/>
      <c r="AB749" s="214"/>
      <c r="AC749" s="214"/>
    </row>
    <row r="750">
      <c r="A750" s="222"/>
      <c r="D750" s="279" t="s">
        <v>55</v>
      </c>
      <c r="E750" s="279">
        <v>1.0</v>
      </c>
      <c r="F750" s="280"/>
      <c r="G750" s="280"/>
      <c r="H750" s="281" t="s">
        <v>56</v>
      </c>
      <c r="I750" s="282" t="s">
        <v>43</v>
      </c>
      <c r="J750" s="214"/>
      <c r="K750" s="214"/>
      <c r="L750" s="214"/>
      <c r="M750" s="214"/>
      <c r="N750" s="214"/>
      <c r="O750" s="214"/>
      <c r="P750" s="214"/>
      <c r="Q750" s="214"/>
      <c r="R750" s="214"/>
      <c r="S750" s="214"/>
      <c r="T750" s="214"/>
      <c r="U750" s="214"/>
      <c r="V750" s="214"/>
      <c r="W750" s="214"/>
      <c r="X750" s="214"/>
      <c r="Y750" s="214"/>
      <c r="Z750" s="214"/>
      <c r="AA750" s="214"/>
      <c r="AB750" s="214"/>
      <c r="AC750" s="214"/>
    </row>
    <row r="751">
      <c r="A751" s="222"/>
      <c r="D751" s="223" t="s">
        <v>175</v>
      </c>
      <c r="E751" s="425">
        <v>4.0</v>
      </c>
      <c r="F751" s="342"/>
      <c r="G751" s="342"/>
      <c r="H751" s="225" t="s">
        <v>232</v>
      </c>
      <c r="I751" s="226" t="s">
        <v>176</v>
      </c>
      <c r="J751" s="214"/>
      <c r="K751" s="214"/>
      <c r="L751" s="214"/>
      <c r="M751" s="214"/>
      <c r="N751" s="214"/>
      <c r="O751" s="214"/>
      <c r="P751" s="214"/>
      <c r="Q751" s="214"/>
      <c r="R751" s="214"/>
      <c r="S751" s="214"/>
      <c r="T751" s="214"/>
      <c r="U751" s="214"/>
      <c r="V751" s="214"/>
      <c r="W751" s="214"/>
      <c r="X751" s="214"/>
      <c r="Y751" s="214"/>
      <c r="Z751" s="214"/>
      <c r="AA751" s="214"/>
      <c r="AB751" s="214"/>
      <c r="AC751" s="214"/>
    </row>
    <row r="752">
      <c r="A752" s="236"/>
      <c r="B752" s="237"/>
      <c r="C752" s="237"/>
      <c r="D752" s="264" t="s">
        <v>162</v>
      </c>
      <c r="E752" s="264">
        <v>2.0</v>
      </c>
      <c r="F752" s="479"/>
      <c r="G752" s="479"/>
      <c r="H752" s="266" t="s">
        <v>164</v>
      </c>
      <c r="I752" s="267" t="s">
        <v>163</v>
      </c>
      <c r="J752" s="214"/>
      <c r="K752" s="214"/>
      <c r="L752" s="214"/>
      <c r="M752" s="214"/>
      <c r="N752" s="214"/>
      <c r="O752" s="214"/>
      <c r="P752" s="214"/>
      <c r="Q752" s="214"/>
      <c r="R752" s="214"/>
      <c r="S752" s="214"/>
      <c r="T752" s="214"/>
      <c r="U752" s="214"/>
      <c r="V752" s="214"/>
      <c r="W752" s="214"/>
      <c r="X752" s="214"/>
      <c r="Y752" s="214"/>
      <c r="Z752" s="214"/>
      <c r="AA752" s="214"/>
      <c r="AB752" s="214"/>
      <c r="AC752" s="214"/>
    </row>
    <row r="753">
      <c r="A753" s="242" t="s">
        <v>567</v>
      </c>
      <c r="B753" s="243" t="s">
        <v>568</v>
      </c>
      <c r="C753" s="589">
        <f>sum(E753:E756)</f>
        <v>9</v>
      </c>
      <c r="D753" s="356" t="s">
        <v>17</v>
      </c>
      <c r="E753" s="356">
        <v>2.0</v>
      </c>
      <c r="F753" s="357"/>
      <c r="G753" s="357"/>
      <c r="H753" s="358" t="s">
        <v>260</v>
      </c>
      <c r="I753" s="359" t="s">
        <v>7</v>
      </c>
      <c r="J753" s="527"/>
      <c r="K753" s="527"/>
      <c r="L753" s="527"/>
      <c r="M753" s="527"/>
      <c r="N753" s="527"/>
      <c r="O753" s="527"/>
      <c r="P753" s="527"/>
      <c r="Q753" s="527"/>
      <c r="R753" s="527"/>
      <c r="S753" s="527"/>
      <c r="T753" s="527"/>
      <c r="U753" s="527"/>
      <c r="V753" s="527"/>
      <c r="W753" s="527"/>
      <c r="X753" s="527"/>
      <c r="Y753" s="527"/>
      <c r="Z753" s="527"/>
      <c r="AA753" s="527"/>
      <c r="AB753" s="527"/>
      <c r="AC753" s="527"/>
    </row>
    <row r="754">
      <c r="A754" s="222"/>
      <c r="D754" s="279" t="s">
        <v>49</v>
      </c>
      <c r="E754" s="279">
        <v>2.0</v>
      </c>
      <c r="F754" s="316"/>
      <c r="G754" s="316"/>
      <c r="H754" s="281" t="s">
        <v>50</v>
      </c>
      <c r="I754" s="282" t="s">
        <v>43</v>
      </c>
      <c r="J754" s="527"/>
      <c r="K754" s="527"/>
      <c r="L754" s="527"/>
      <c r="M754" s="527"/>
      <c r="N754" s="527"/>
      <c r="O754" s="527"/>
      <c r="P754" s="527"/>
      <c r="Q754" s="527"/>
      <c r="R754" s="527"/>
      <c r="S754" s="527"/>
      <c r="T754" s="527"/>
      <c r="U754" s="527"/>
      <c r="V754" s="527"/>
      <c r="W754" s="527"/>
      <c r="X754" s="527"/>
      <c r="Y754" s="527"/>
      <c r="Z754" s="527"/>
      <c r="AA754" s="527"/>
      <c r="AB754" s="527"/>
      <c r="AC754" s="527"/>
    </row>
    <row r="755">
      <c r="A755" s="222"/>
      <c r="D755" s="223" t="s">
        <v>175</v>
      </c>
      <c r="E755" s="425">
        <v>4.0</v>
      </c>
      <c r="F755" s="224"/>
      <c r="G755" s="224"/>
      <c r="H755" s="225" t="s">
        <v>232</v>
      </c>
      <c r="I755" s="344" t="s">
        <v>176</v>
      </c>
      <c r="J755" s="527"/>
      <c r="K755" s="527"/>
      <c r="L755" s="527"/>
      <c r="M755" s="527"/>
      <c r="N755" s="527"/>
      <c r="O755" s="527"/>
      <c r="P755" s="527"/>
      <c r="Q755" s="527"/>
      <c r="R755" s="527"/>
      <c r="S755" s="527"/>
      <c r="T755" s="527"/>
      <c r="U755" s="527"/>
      <c r="V755" s="527"/>
      <c r="W755" s="527"/>
      <c r="X755" s="527"/>
      <c r="Y755" s="527"/>
      <c r="Z755" s="527"/>
      <c r="AA755" s="527"/>
      <c r="AB755" s="527"/>
      <c r="AC755" s="527"/>
    </row>
    <row r="756">
      <c r="A756" s="236"/>
      <c r="B756" s="237"/>
      <c r="C756" s="237"/>
      <c r="D756" s="232" t="s">
        <v>120</v>
      </c>
      <c r="E756" s="232">
        <v>1.0</v>
      </c>
      <c r="F756" s="254"/>
      <c r="G756" s="254"/>
      <c r="H756" s="234" t="s">
        <v>289</v>
      </c>
      <c r="I756" s="235" t="s">
        <v>105</v>
      </c>
      <c r="J756" s="527"/>
      <c r="K756" s="527"/>
      <c r="L756" s="527"/>
      <c r="M756" s="527"/>
      <c r="N756" s="527"/>
      <c r="O756" s="527"/>
      <c r="P756" s="527"/>
      <c r="Q756" s="527"/>
      <c r="R756" s="527"/>
      <c r="S756" s="527"/>
      <c r="T756" s="527"/>
      <c r="U756" s="527"/>
      <c r="V756" s="527"/>
      <c r="W756" s="527"/>
      <c r="X756" s="527"/>
      <c r="Y756" s="527"/>
      <c r="Z756" s="527"/>
      <c r="AA756" s="527"/>
      <c r="AB756" s="527"/>
      <c r="AC756" s="527"/>
    </row>
    <row r="757">
      <c r="A757" s="242" t="s">
        <v>569</v>
      </c>
      <c r="B757" s="243" t="s">
        <v>562</v>
      </c>
      <c r="C757" s="589">
        <f>sum(E757:E760)</f>
        <v>9</v>
      </c>
      <c r="D757" s="218" t="s">
        <v>175</v>
      </c>
      <c r="E757" s="269">
        <v>4.0</v>
      </c>
      <c r="F757" s="219"/>
      <c r="G757" s="219"/>
      <c r="H757" s="220" t="s">
        <v>232</v>
      </c>
      <c r="I757" s="221" t="s">
        <v>176</v>
      </c>
      <c r="J757" s="527"/>
      <c r="K757" s="527"/>
      <c r="L757" s="527"/>
      <c r="M757" s="527"/>
      <c r="N757" s="527"/>
      <c r="O757" s="527"/>
      <c r="P757" s="527"/>
      <c r="Q757" s="527"/>
      <c r="R757" s="527"/>
      <c r="S757" s="527"/>
      <c r="T757" s="527"/>
      <c r="U757" s="527"/>
      <c r="V757" s="527"/>
      <c r="W757" s="527"/>
      <c r="X757" s="527"/>
      <c r="Y757" s="527"/>
      <c r="Z757" s="527"/>
      <c r="AA757" s="527"/>
      <c r="AB757" s="527"/>
      <c r="AC757" s="527"/>
    </row>
    <row r="758">
      <c r="A758" s="222"/>
      <c r="D758" s="271" t="s">
        <v>162</v>
      </c>
      <c r="E758" s="271">
        <v>2.0</v>
      </c>
      <c r="F758" s="317"/>
      <c r="G758" s="317"/>
      <c r="H758" s="273" t="s">
        <v>164</v>
      </c>
      <c r="I758" s="274" t="s">
        <v>163</v>
      </c>
      <c r="J758" s="527"/>
      <c r="K758" s="527"/>
      <c r="L758" s="527"/>
      <c r="M758" s="527"/>
      <c r="N758" s="527"/>
      <c r="O758" s="527"/>
      <c r="P758" s="527"/>
      <c r="Q758" s="527"/>
      <c r="R758" s="527"/>
      <c r="S758" s="527"/>
      <c r="T758" s="527"/>
      <c r="U758" s="527"/>
      <c r="V758" s="527"/>
      <c r="W758" s="527"/>
      <c r="X758" s="527"/>
      <c r="Y758" s="527"/>
      <c r="Z758" s="527"/>
      <c r="AA758" s="527"/>
      <c r="AB758" s="527"/>
      <c r="AC758" s="527"/>
    </row>
    <row r="759">
      <c r="A759" s="222"/>
      <c r="D759" s="279" t="s">
        <v>58</v>
      </c>
      <c r="E759" s="279">
        <v>1.0</v>
      </c>
      <c r="F759" s="316"/>
      <c r="G759" s="316"/>
      <c r="H759" s="281" t="s">
        <v>59</v>
      </c>
      <c r="I759" s="282" t="s">
        <v>43</v>
      </c>
      <c r="J759" s="527"/>
      <c r="K759" s="527"/>
      <c r="L759" s="527"/>
      <c r="M759" s="527"/>
      <c r="N759" s="527"/>
      <c r="O759" s="527"/>
      <c r="P759" s="527"/>
      <c r="Q759" s="527"/>
      <c r="R759" s="527"/>
      <c r="S759" s="527"/>
      <c r="T759" s="527"/>
      <c r="U759" s="527"/>
      <c r="V759" s="527"/>
      <c r="W759" s="527"/>
      <c r="X759" s="527"/>
      <c r="Y759" s="527"/>
      <c r="Z759" s="527"/>
      <c r="AA759" s="527"/>
      <c r="AB759" s="527"/>
      <c r="AC759" s="527"/>
    </row>
    <row r="760">
      <c r="A760" s="236"/>
      <c r="B760" s="237"/>
      <c r="C760" s="237"/>
      <c r="D760" s="333" t="s">
        <v>101</v>
      </c>
      <c r="E760" s="333">
        <v>2.0</v>
      </c>
      <c r="F760" s="296"/>
      <c r="G760" s="296"/>
      <c r="H760" s="334" t="s">
        <v>102</v>
      </c>
      <c r="I760" s="278" t="s">
        <v>98</v>
      </c>
      <c r="J760" s="527"/>
      <c r="K760" s="527"/>
      <c r="L760" s="527"/>
      <c r="M760" s="527"/>
      <c r="N760" s="527"/>
      <c r="O760" s="527"/>
      <c r="P760" s="527"/>
      <c r="Q760" s="527"/>
      <c r="R760" s="527"/>
      <c r="S760" s="527"/>
      <c r="T760" s="527"/>
      <c r="U760" s="527"/>
      <c r="V760" s="527"/>
      <c r="W760" s="527"/>
      <c r="X760" s="527"/>
      <c r="Y760" s="527"/>
      <c r="Z760" s="527"/>
      <c r="AA760" s="527"/>
      <c r="AB760" s="527"/>
      <c r="AC760" s="527"/>
    </row>
    <row r="761">
      <c r="A761" s="242" t="s">
        <v>570</v>
      </c>
      <c r="B761" s="243" t="s">
        <v>571</v>
      </c>
      <c r="C761" s="589">
        <f>sum(E761:E766)</f>
        <v>9</v>
      </c>
      <c r="D761" s="426" t="s">
        <v>22</v>
      </c>
      <c r="E761" s="426">
        <v>2.0</v>
      </c>
      <c r="F761" s="396"/>
      <c r="G761" s="397"/>
      <c r="H761" s="427" t="s">
        <v>265</v>
      </c>
      <c r="I761" s="428" t="s">
        <v>23</v>
      </c>
      <c r="J761" s="214"/>
      <c r="K761" s="214"/>
      <c r="L761" s="214"/>
      <c r="M761" s="214"/>
      <c r="N761" s="214"/>
      <c r="O761" s="214"/>
      <c r="P761" s="214"/>
      <c r="Q761" s="214"/>
      <c r="R761" s="214"/>
      <c r="S761" s="214"/>
      <c r="T761" s="214"/>
      <c r="U761" s="214"/>
      <c r="V761" s="214"/>
      <c r="W761" s="214"/>
      <c r="X761" s="214"/>
      <c r="Y761" s="214"/>
      <c r="Z761" s="214"/>
      <c r="AA761" s="214"/>
      <c r="AB761" s="214"/>
      <c r="AC761" s="214"/>
    </row>
    <row r="762">
      <c r="A762" s="222"/>
      <c r="D762" s="387" t="s">
        <v>42</v>
      </c>
      <c r="E762" s="387">
        <v>2.0</v>
      </c>
      <c r="F762" s="316"/>
      <c r="G762" s="280"/>
      <c r="H762" s="388" t="s">
        <v>44</v>
      </c>
      <c r="I762" s="592" t="s">
        <v>43</v>
      </c>
      <c r="J762" s="214"/>
      <c r="K762" s="214"/>
      <c r="L762" s="214"/>
      <c r="M762" s="214"/>
      <c r="N762" s="214"/>
      <c r="O762" s="214"/>
      <c r="P762" s="214"/>
      <c r="Q762" s="214"/>
      <c r="R762" s="214"/>
      <c r="S762" s="214"/>
      <c r="T762" s="214"/>
      <c r="U762" s="214"/>
      <c r="V762" s="214"/>
      <c r="W762" s="214"/>
      <c r="X762" s="214"/>
      <c r="Y762" s="214"/>
      <c r="Z762" s="214"/>
      <c r="AA762" s="214"/>
      <c r="AB762" s="214"/>
      <c r="AC762" s="214"/>
    </row>
    <row r="763">
      <c r="A763" s="222"/>
      <c r="D763" s="286" t="s">
        <v>85</v>
      </c>
      <c r="E763" s="286">
        <v>1.0</v>
      </c>
      <c r="F763" s="261"/>
      <c r="G763" s="261"/>
      <c r="H763" s="414" t="s">
        <v>86</v>
      </c>
      <c r="I763" s="526" t="s">
        <v>65</v>
      </c>
      <c r="J763" s="214"/>
      <c r="K763" s="214"/>
      <c r="L763" s="214"/>
      <c r="M763" s="214"/>
      <c r="N763" s="214"/>
      <c r="O763" s="214"/>
      <c r="P763" s="214"/>
      <c r="Q763" s="214"/>
      <c r="R763" s="214"/>
      <c r="S763" s="214"/>
      <c r="T763" s="214"/>
      <c r="U763" s="214"/>
      <c r="V763" s="214"/>
      <c r="W763" s="214"/>
      <c r="X763" s="214"/>
      <c r="Y763" s="214"/>
      <c r="Z763" s="214"/>
      <c r="AA763" s="214"/>
      <c r="AB763" s="214"/>
      <c r="AC763" s="214"/>
    </row>
    <row r="764">
      <c r="A764" s="222"/>
      <c r="D764" s="286" t="s">
        <v>64</v>
      </c>
      <c r="E764" s="286">
        <v>3.0</v>
      </c>
      <c r="F764" s="261"/>
      <c r="G764" s="261"/>
      <c r="H764" s="262" t="s">
        <v>66</v>
      </c>
      <c r="I764" s="593" t="s">
        <v>65</v>
      </c>
      <c r="J764" s="214"/>
      <c r="K764" s="214"/>
      <c r="L764" s="214"/>
      <c r="M764" s="214"/>
      <c r="N764" s="214"/>
      <c r="O764" s="214"/>
      <c r="P764" s="214"/>
      <c r="Q764" s="214"/>
      <c r="R764" s="214"/>
      <c r="S764" s="214"/>
      <c r="T764" s="214"/>
      <c r="U764" s="214"/>
      <c r="V764" s="214"/>
      <c r="W764" s="214"/>
      <c r="X764" s="214"/>
      <c r="Y764" s="214"/>
      <c r="Z764" s="214"/>
      <c r="AA764" s="214"/>
      <c r="AB764" s="214"/>
      <c r="AC764" s="214"/>
    </row>
    <row r="765">
      <c r="A765" s="222"/>
      <c r="I765" s="368"/>
      <c r="J765" s="214"/>
      <c r="K765" s="214"/>
      <c r="L765" s="214"/>
      <c r="M765" s="214"/>
      <c r="N765" s="214"/>
      <c r="O765" s="214"/>
      <c r="P765" s="214"/>
      <c r="Q765" s="214"/>
      <c r="R765" s="214"/>
      <c r="S765" s="214"/>
      <c r="T765" s="214"/>
      <c r="U765" s="214"/>
      <c r="V765" s="214"/>
      <c r="W765" s="214"/>
      <c r="X765" s="214"/>
      <c r="Y765" s="214"/>
      <c r="Z765" s="214"/>
      <c r="AA765" s="214"/>
      <c r="AB765" s="214"/>
      <c r="AC765" s="214"/>
    </row>
    <row r="766">
      <c r="A766" s="236"/>
      <c r="B766" s="237"/>
      <c r="C766" s="237"/>
      <c r="D766" s="287" t="s">
        <v>137</v>
      </c>
      <c r="E766" s="287">
        <v>1.0</v>
      </c>
      <c r="F766" s="288"/>
      <c r="G766" s="288"/>
      <c r="H766" s="289" t="s">
        <v>138</v>
      </c>
      <c r="I766" s="290" t="s">
        <v>105</v>
      </c>
      <c r="J766" s="214"/>
      <c r="K766" s="214"/>
      <c r="L766" s="214"/>
      <c r="M766" s="214"/>
      <c r="N766" s="214"/>
      <c r="O766" s="214"/>
      <c r="P766" s="214"/>
      <c r="Q766" s="214"/>
      <c r="R766" s="214"/>
      <c r="S766" s="214"/>
      <c r="T766" s="214"/>
      <c r="U766" s="214"/>
      <c r="V766" s="214"/>
      <c r="W766" s="214"/>
      <c r="X766" s="214"/>
      <c r="Y766" s="214"/>
      <c r="Z766" s="214"/>
      <c r="AA766" s="214"/>
      <c r="AB766" s="214"/>
      <c r="AC766" s="214"/>
    </row>
    <row r="767">
      <c r="A767" s="242" t="s">
        <v>572</v>
      </c>
      <c r="B767" s="243" t="s">
        <v>573</v>
      </c>
      <c r="C767" s="550">
        <f>sum(E767:E770)</f>
        <v>9</v>
      </c>
      <c r="D767" s="308" t="s">
        <v>239</v>
      </c>
      <c r="E767" s="308">
        <v>1.0</v>
      </c>
      <c r="F767" s="309"/>
      <c r="G767" s="309"/>
      <c r="H767" s="310" t="s">
        <v>115</v>
      </c>
      <c r="I767" s="311" t="s">
        <v>105</v>
      </c>
      <c r="J767" s="214"/>
      <c r="K767" s="214"/>
      <c r="L767" s="214"/>
      <c r="M767" s="214"/>
      <c r="N767" s="214"/>
      <c r="O767" s="214"/>
      <c r="P767" s="214"/>
      <c r="Q767" s="214"/>
      <c r="R767" s="214"/>
      <c r="S767" s="214"/>
      <c r="T767" s="214"/>
      <c r="U767" s="214"/>
      <c r="V767" s="214"/>
      <c r="W767" s="214"/>
      <c r="X767" s="214"/>
      <c r="Y767" s="214"/>
      <c r="Z767" s="214"/>
      <c r="AA767" s="214"/>
      <c r="AB767" s="214"/>
      <c r="AC767" s="214"/>
    </row>
    <row r="768">
      <c r="A768" s="222"/>
      <c r="D768" s="333" t="s">
        <v>97</v>
      </c>
      <c r="E768" s="333">
        <v>2.0</v>
      </c>
      <c r="F768" s="276"/>
      <c r="G768" s="276"/>
      <c r="H768" s="334" t="s">
        <v>99</v>
      </c>
      <c r="I768" s="278" t="s">
        <v>98</v>
      </c>
      <c r="J768" s="214"/>
      <c r="K768" s="214"/>
      <c r="L768" s="214"/>
      <c r="M768" s="214"/>
      <c r="N768" s="214"/>
      <c r="O768" s="214"/>
      <c r="P768" s="214"/>
      <c r="Q768" s="214"/>
      <c r="R768" s="214"/>
      <c r="S768" s="214"/>
      <c r="T768" s="214"/>
      <c r="U768" s="214"/>
      <c r="V768" s="214"/>
      <c r="W768" s="214"/>
      <c r="X768" s="214"/>
      <c r="Y768" s="214"/>
      <c r="Z768" s="214"/>
      <c r="AA768" s="214"/>
      <c r="AB768" s="214"/>
      <c r="AC768" s="214"/>
    </row>
    <row r="769">
      <c r="A769" s="222"/>
      <c r="D769" s="299" t="s">
        <v>143</v>
      </c>
      <c r="E769" s="299">
        <v>5.0</v>
      </c>
      <c r="F769" s="251"/>
      <c r="G769" s="251"/>
      <c r="H769" s="312" t="s">
        <v>145</v>
      </c>
      <c r="I769" s="300" t="s">
        <v>144</v>
      </c>
      <c r="J769" s="214"/>
      <c r="K769" s="214"/>
      <c r="L769" s="214"/>
      <c r="M769" s="214"/>
      <c r="N769" s="214"/>
      <c r="O769" s="214"/>
      <c r="P769" s="214"/>
      <c r="Q769" s="214"/>
      <c r="R769" s="214"/>
      <c r="S769" s="214"/>
      <c r="T769" s="214"/>
      <c r="U769" s="214"/>
      <c r="V769" s="214"/>
      <c r="W769" s="214"/>
      <c r="X769" s="214"/>
      <c r="Y769" s="214"/>
      <c r="Z769" s="214"/>
      <c r="AA769" s="214"/>
      <c r="AB769" s="214"/>
      <c r="AC769" s="214"/>
    </row>
    <row r="770">
      <c r="A770" s="236"/>
      <c r="B770" s="237"/>
      <c r="C770" s="237"/>
      <c r="D770" s="302" t="s">
        <v>52</v>
      </c>
      <c r="E770" s="302">
        <v>1.0</v>
      </c>
      <c r="F770" s="564"/>
      <c r="G770" s="564"/>
      <c r="H770" s="304" t="s">
        <v>53</v>
      </c>
      <c r="I770" s="594" t="s">
        <v>43</v>
      </c>
      <c r="J770" s="214"/>
      <c r="K770" s="214"/>
      <c r="L770" s="214"/>
      <c r="M770" s="214"/>
      <c r="N770" s="214"/>
      <c r="O770" s="214"/>
      <c r="P770" s="214"/>
      <c r="Q770" s="214"/>
      <c r="R770" s="214"/>
      <c r="S770" s="214"/>
      <c r="T770" s="214"/>
      <c r="U770" s="214"/>
      <c r="V770" s="214"/>
      <c r="W770" s="214"/>
      <c r="X770" s="214"/>
      <c r="Y770" s="214"/>
      <c r="Z770" s="214"/>
      <c r="AA770" s="214"/>
      <c r="AB770" s="214"/>
      <c r="AC770" s="214"/>
    </row>
    <row r="771" ht="17.25" customHeight="1">
      <c r="A771" s="453" t="s">
        <v>574</v>
      </c>
      <c r="B771" s="409" t="s">
        <v>575</v>
      </c>
      <c r="C771" s="595">
        <f>sum(E771:E773)</f>
        <v>8</v>
      </c>
      <c r="D771" s="299" t="s">
        <v>143</v>
      </c>
      <c r="E771" s="299">
        <v>5.0</v>
      </c>
      <c r="F771" s="251"/>
      <c r="G771" s="251"/>
      <c r="H771" s="312" t="s">
        <v>145</v>
      </c>
      <c r="I771" s="300" t="s">
        <v>144</v>
      </c>
      <c r="J771" s="214"/>
      <c r="K771" s="214"/>
      <c r="L771" s="214"/>
      <c r="M771" s="214"/>
      <c r="N771" s="214"/>
      <c r="O771" s="214"/>
      <c r="P771" s="214"/>
      <c r="Q771" s="214"/>
      <c r="R771" s="214"/>
      <c r="S771" s="214"/>
      <c r="T771" s="214"/>
      <c r="U771" s="214"/>
      <c r="V771" s="214"/>
      <c r="W771" s="214"/>
      <c r="X771" s="214"/>
      <c r="Y771" s="214"/>
      <c r="Z771" s="214"/>
      <c r="AA771" s="214"/>
      <c r="AB771" s="214"/>
      <c r="AC771" s="214"/>
    </row>
    <row r="772" ht="17.25" customHeight="1">
      <c r="A772" s="222"/>
      <c r="D772" s="339" t="s">
        <v>239</v>
      </c>
      <c r="E772" s="339">
        <v>1.0</v>
      </c>
      <c r="F772" s="254"/>
      <c r="G772" s="233"/>
      <c r="H772" s="340" t="s">
        <v>115</v>
      </c>
      <c r="I772" s="235" t="s">
        <v>105</v>
      </c>
      <c r="J772" s="214"/>
      <c r="K772" s="214"/>
      <c r="L772" s="214"/>
      <c r="M772" s="214"/>
      <c r="N772" s="214"/>
      <c r="O772" s="214"/>
      <c r="P772" s="214"/>
      <c r="Q772" s="214"/>
      <c r="R772" s="214"/>
      <c r="S772" s="214"/>
      <c r="T772" s="214"/>
      <c r="U772" s="214"/>
      <c r="V772" s="214"/>
      <c r="W772" s="214"/>
      <c r="X772" s="214"/>
      <c r="Y772" s="214"/>
      <c r="Z772" s="214"/>
      <c r="AA772" s="214"/>
      <c r="AB772" s="214"/>
      <c r="AC772" s="214"/>
    </row>
    <row r="773" ht="17.25" customHeight="1">
      <c r="A773" s="222"/>
      <c r="D773" s="227" t="s">
        <v>17</v>
      </c>
      <c r="E773" s="227">
        <v>2.0</v>
      </c>
      <c r="F773" s="327"/>
      <c r="G773" s="228"/>
      <c r="H773" s="445" t="s">
        <v>260</v>
      </c>
      <c r="I773" s="230" t="s">
        <v>7</v>
      </c>
      <c r="J773" s="214"/>
      <c r="K773" s="214"/>
      <c r="L773" s="214"/>
      <c r="M773" s="214"/>
      <c r="N773" s="214"/>
      <c r="O773" s="214"/>
      <c r="P773" s="214"/>
      <c r="Q773" s="214"/>
      <c r="R773" s="214"/>
      <c r="S773" s="214"/>
      <c r="T773" s="214"/>
      <c r="U773" s="214"/>
      <c r="V773" s="214"/>
      <c r="W773" s="214"/>
      <c r="X773" s="214"/>
      <c r="Y773" s="214"/>
      <c r="Z773" s="214"/>
      <c r="AA773" s="214"/>
      <c r="AB773" s="214"/>
      <c r="AC773" s="214"/>
    </row>
    <row r="774" ht="17.25" customHeight="1">
      <c r="A774" s="242" t="s">
        <v>576</v>
      </c>
      <c r="B774" s="243" t="s">
        <v>243</v>
      </c>
      <c r="C774" s="589">
        <f>sum(E774:AC776)</f>
        <v>8</v>
      </c>
      <c r="D774" s="308" t="s">
        <v>239</v>
      </c>
      <c r="E774" s="308">
        <v>1.0</v>
      </c>
      <c r="F774" s="309"/>
      <c r="G774" s="309"/>
      <c r="H774" s="310" t="s">
        <v>115</v>
      </c>
      <c r="I774" s="311" t="s">
        <v>105</v>
      </c>
      <c r="J774" s="214"/>
      <c r="K774" s="214"/>
      <c r="L774" s="214"/>
      <c r="M774" s="214"/>
      <c r="N774" s="214"/>
      <c r="O774" s="214"/>
      <c r="P774" s="214"/>
      <c r="Q774" s="214"/>
      <c r="R774" s="214"/>
      <c r="S774" s="214"/>
      <c r="T774" s="214"/>
      <c r="U774" s="214"/>
      <c r="V774" s="214"/>
      <c r="W774" s="214"/>
      <c r="X774" s="214"/>
      <c r="Y774" s="214"/>
      <c r="Z774" s="214"/>
      <c r="AA774" s="214"/>
      <c r="AB774" s="214"/>
      <c r="AC774" s="214"/>
    </row>
    <row r="775">
      <c r="A775" s="222"/>
      <c r="D775" s="299" t="s">
        <v>143</v>
      </c>
      <c r="E775" s="299">
        <v>5.0</v>
      </c>
      <c r="F775" s="251"/>
      <c r="G775" s="251"/>
      <c r="H775" s="312" t="s">
        <v>145</v>
      </c>
      <c r="I775" s="300" t="s">
        <v>144</v>
      </c>
      <c r="J775" s="214"/>
      <c r="K775" s="214"/>
      <c r="L775" s="214"/>
      <c r="M775" s="214"/>
      <c r="N775" s="214"/>
      <c r="O775" s="214"/>
      <c r="P775" s="214"/>
      <c r="Q775" s="214"/>
      <c r="R775" s="214"/>
      <c r="S775" s="214"/>
      <c r="T775" s="214"/>
      <c r="U775" s="214"/>
      <c r="V775" s="214"/>
      <c r="W775" s="214"/>
      <c r="X775" s="214"/>
      <c r="Y775" s="214"/>
      <c r="Z775" s="214"/>
      <c r="AA775" s="214"/>
      <c r="AB775" s="214"/>
      <c r="AC775" s="214"/>
    </row>
    <row r="776">
      <c r="A776" s="236"/>
      <c r="B776" s="237"/>
      <c r="C776" s="237"/>
      <c r="D776" s="264" t="s">
        <v>166</v>
      </c>
      <c r="E776" s="264">
        <v>2.0</v>
      </c>
      <c r="F776" s="479"/>
      <c r="G776" s="479"/>
      <c r="H776" s="266" t="s">
        <v>167</v>
      </c>
      <c r="I776" s="274" t="s">
        <v>163</v>
      </c>
      <c r="J776" s="214"/>
      <c r="K776" s="214"/>
      <c r="L776" s="214"/>
      <c r="M776" s="214"/>
      <c r="N776" s="214"/>
      <c r="O776" s="214"/>
      <c r="P776" s="214"/>
      <c r="Q776" s="214"/>
      <c r="R776" s="214"/>
      <c r="S776" s="214"/>
      <c r="T776" s="214"/>
      <c r="U776" s="214"/>
      <c r="V776" s="214"/>
      <c r="W776" s="214"/>
      <c r="X776" s="214"/>
      <c r="Y776" s="214"/>
      <c r="Z776" s="214"/>
      <c r="AA776" s="214"/>
      <c r="AB776" s="214"/>
      <c r="AC776" s="214"/>
    </row>
    <row r="777">
      <c r="A777" s="242" t="s">
        <v>577</v>
      </c>
      <c r="B777" s="243" t="s">
        <v>513</v>
      </c>
      <c r="C777" s="589">
        <f>sum(E777:E779)</f>
        <v>8</v>
      </c>
      <c r="D777" s="521" t="s">
        <v>143</v>
      </c>
      <c r="E777" s="521">
        <v>5.0</v>
      </c>
      <c r="F777" s="522"/>
      <c r="G777" s="522"/>
      <c r="H777" s="523" t="s">
        <v>145</v>
      </c>
      <c r="I777" s="524" t="s">
        <v>144</v>
      </c>
      <c r="J777" s="214"/>
      <c r="K777" s="214"/>
      <c r="L777" s="214"/>
      <c r="M777" s="214"/>
      <c r="N777" s="214"/>
      <c r="O777" s="214"/>
      <c r="P777" s="214"/>
      <c r="Q777" s="214"/>
      <c r="R777" s="214"/>
      <c r="S777" s="214"/>
      <c r="T777" s="214"/>
      <c r="U777" s="214"/>
      <c r="V777" s="214"/>
      <c r="W777" s="214"/>
      <c r="X777" s="214"/>
      <c r="Y777" s="214"/>
      <c r="Z777" s="214"/>
      <c r="AA777" s="214"/>
      <c r="AB777" s="214"/>
      <c r="AC777" s="214"/>
    </row>
    <row r="778">
      <c r="A778" s="222"/>
      <c r="D778" s="232" t="s">
        <v>239</v>
      </c>
      <c r="E778" s="232">
        <v>1.0</v>
      </c>
      <c r="F778" s="233"/>
      <c r="G778" s="233"/>
      <c r="H778" s="234" t="s">
        <v>115</v>
      </c>
      <c r="I778" s="235" t="s">
        <v>105</v>
      </c>
      <c r="J778" s="214"/>
      <c r="K778" s="214"/>
      <c r="L778" s="214"/>
      <c r="M778" s="214"/>
      <c r="N778" s="214"/>
      <c r="O778" s="214"/>
      <c r="P778" s="214"/>
      <c r="Q778" s="214"/>
      <c r="R778" s="214"/>
      <c r="S778" s="214"/>
      <c r="T778" s="214"/>
      <c r="U778" s="214"/>
      <c r="V778" s="214"/>
      <c r="W778" s="214"/>
      <c r="X778" s="214"/>
      <c r="Y778" s="214"/>
      <c r="Z778" s="214"/>
      <c r="AA778" s="214"/>
      <c r="AB778" s="214"/>
      <c r="AC778" s="214"/>
    </row>
    <row r="779">
      <c r="A779" s="236"/>
      <c r="B779" s="237"/>
      <c r="C779" s="237"/>
      <c r="D779" s="264" t="s">
        <v>162</v>
      </c>
      <c r="E779" s="264">
        <v>2.0</v>
      </c>
      <c r="F779" s="479"/>
      <c r="G779" s="479"/>
      <c r="H779" s="266" t="s">
        <v>164</v>
      </c>
      <c r="I779" s="267" t="s">
        <v>163</v>
      </c>
      <c r="J779" s="214"/>
      <c r="K779" s="214"/>
      <c r="L779" s="214"/>
      <c r="M779" s="214"/>
      <c r="N779" s="214"/>
      <c r="O779" s="214"/>
      <c r="P779" s="214"/>
      <c r="Q779" s="214"/>
      <c r="R779" s="214"/>
      <c r="S779" s="214"/>
      <c r="T779" s="214"/>
      <c r="U779" s="214"/>
      <c r="V779" s="214"/>
      <c r="W779" s="214"/>
      <c r="X779" s="214"/>
      <c r="Y779" s="214"/>
      <c r="Z779" s="214"/>
      <c r="AA779" s="214"/>
      <c r="AB779" s="214"/>
      <c r="AC779" s="214"/>
    </row>
    <row r="780">
      <c r="A780" s="596" t="s">
        <v>578</v>
      </c>
      <c r="B780" s="243" t="s">
        <v>579</v>
      </c>
      <c r="C780" s="589">
        <f>sum(E780:E782)</f>
        <v>8</v>
      </c>
      <c r="D780" s="521" t="s">
        <v>143</v>
      </c>
      <c r="E780" s="521">
        <v>5.0</v>
      </c>
      <c r="F780" s="522"/>
      <c r="G780" s="522"/>
      <c r="H780" s="523" t="s">
        <v>145</v>
      </c>
      <c r="I780" s="524" t="s">
        <v>144</v>
      </c>
      <c r="J780" s="214"/>
      <c r="K780" s="214"/>
      <c r="L780" s="214"/>
      <c r="M780" s="214"/>
      <c r="N780" s="214"/>
      <c r="O780" s="214"/>
      <c r="P780" s="214"/>
      <c r="Q780" s="214"/>
      <c r="R780" s="214"/>
      <c r="S780" s="214"/>
      <c r="T780" s="214"/>
      <c r="U780" s="214"/>
      <c r="V780" s="214"/>
      <c r="W780" s="214"/>
      <c r="X780" s="214"/>
      <c r="Y780" s="214"/>
      <c r="Z780" s="214"/>
      <c r="AA780" s="214"/>
      <c r="AB780" s="214"/>
      <c r="AC780" s="214"/>
    </row>
    <row r="781">
      <c r="A781" s="597"/>
      <c r="D781" s="249" t="s">
        <v>156</v>
      </c>
      <c r="E781" s="249">
        <v>2.0</v>
      </c>
      <c r="F781" s="251"/>
      <c r="G781" s="251"/>
      <c r="H781" s="252" t="s">
        <v>157</v>
      </c>
      <c r="I781" s="300" t="s">
        <v>144</v>
      </c>
      <c r="J781" s="214"/>
      <c r="K781" s="214"/>
      <c r="L781" s="214"/>
      <c r="M781" s="214"/>
      <c r="N781" s="214"/>
      <c r="O781" s="214"/>
      <c r="P781" s="214"/>
      <c r="Q781" s="214"/>
      <c r="R781" s="214"/>
      <c r="S781" s="214"/>
      <c r="T781" s="214"/>
      <c r="U781" s="214"/>
      <c r="V781" s="214"/>
      <c r="W781" s="214"/>
      <c r="X781" s="214"/>
      <c r="Y781" s="214"/>
      <c r="Z781" s="214"/>
      <c r="AA781" s="214"/>
      <c r="AB781" s="214"/>
      <c r="AC781" s="214"/>
    </row>
    <row r="782">
      <c r="A782" s="598"/>
      <c r="B782" s="237"/>
      <c r="C782" s="237"/>
      <c r="D782" s="287" t="s">
        <v>239</v>
      </c>
      <c r="E782" s="287">
        <v>1.0</v>
      </c>
      <c r="F782" s="288"/>
      <c r="G782" s="288"/>
      <c r="H782" s="289" t="s">
        <v>115</v>
      </c>
      <c r="I782" s="290" t="s">
        <v>105</v>
      </c>
      <c r="J782" s="214"/>
      <c r="K782" s="214"/>
      <c r="L782" s="214"/>
      <c r="M782" s="214"/>
      <c r="N782" s="214"/>
      <c r="O782" s="214"/>
      <c r="P782" s="214"/>
      <c r="Q782" s="214"/>
      <c r="R782" s="214"/>
      <c r="S782" s="214"/>
      <c r="T782" s="214"/>
      <c r="U782" s="214"/>
      <c r="V782" s="214"/>
      <c r="W782" s="214"/>
      <c r="X782" s="214"/>
      <c r="Y782" s="214"/>
      <c r="Z782" s="214"/>
      <c r="AA782" s="214"/>
      <c r="AB782" s="214"/>
      <c r="AC782" s="214"/>
    </row>
    <row r="783">
      <c r="A783" s="453" t="s">
        <v>580</v>
      </c>
      <c r="B783" s="216" t="s">
        <v>218</v>
      </c>
      <c r="C783" s="589">
        <f>sum(E783:E786)</f>
        <v>8</v>
      </c>
      <c r="D783" s="521" t="s">
        <v>143</v>
      </c>
      <c r="E783" s="521">
        <v>5.0</v>
      </c>
      <c r="F783" s="522"/>
      <c r="G783" s="522"/>
      <c r="H783" s="523" t="s">
        <v>145</v>
      </c>
      <c r="I783" s="524" t="s">
        <v>144</v>
      </c>
      <c r="J783" s="214"/>
      <c r="K783" s="214"/>
      <c r="L783" s="214"/>
      <c r="M783" s="214"/>
      <c r="N783" s="214"/>
      <c r="O783" s="214"/>
      <c r="P783" s="214"/>
      <c r="Q783" s="214"/>
      <c r="R783" s="214"/>
      <c r="S783" s="214"/>
      <c r="T783" s="214"/>
      <c r="U783" s="214"/>
      <c r="V783" s="214"/>
      <c r="W783" s="214"/>
      <c r="X783" s="214"/>
      <c r="Y783" s="214"/>
      <c r="Z783" s="214"/>
      <c r="AA783" s="214"/>
      <c r="AB783" s="214"/>
      <c r="AC783" s="214"/>
    </row>
    <row r="784">
      <c r="A784" s="222"/>
      <c r="D784" s="232" t="s">
        <v>117</v>
      </c>
      <c r="E784" s="232">
        <v>1.0</v>
      </c>
      <c r="F784" s="254"/>
      <c r="G784" s="233"/>
      <c r="H784" s="234" t="s">
        <v>238</v>
      </c>
      <c r="I784" s="235" t="s">
        <v>105</v>
      </c>
      <c r="J784" s="214"/>
      <c r="K784" s="214"/>
      <c r="L784" s="214"/>
      <c r="M784" s="214"/>
      <c r="N784" s="214"/>
      <c r="O784" s="214"/>
      <c r="P784" s="214"/>
      <c r="Q784" s="214"/>
      <c r="R784" s="214"/>
      <c r="S784" s="214"/>
      <c r="T784" s="214"/>
      <c r="U784" s="214"/>
      <c r="V784" s="214"/>
      <c r="W784" s="214"/>
      <c r="X784" s="214"/>
      <c r="Y784" s="214"/>
      <c r="Z784" s="214"/>
      <c r="AA784" s="214"/>
      <c r="AB784" s="214"/>
      <c r="AC784" s="214"/>
    </row>
    <row r="785">
      <c r="A785" s="222"/>
      <c r="D785" s="232" t="s">
        <v>239</v>
      </c>
      <c r="E785" s="232">
        <v>1.0</v>
      </c>
      <c r="F785" s="254"/>
      <c r="G785" s="233"/>
      <c r="H785" s="234" t="s">
        <v>115</v>
      </c>
      <c r="I785" s="235" t="s">
        <v>105</v>
      </c>
      <c r="J785" s="214"/>
      <c r="K785" s="214"/>
      <c r="L785" s="214"/>
      <c r="M785" s="214"/>
      <c r="N785" s="214"/>
      <c r="O785" s="214"/>
      <c r="P785" s="214"/>
      <c r="Q785" s="214"/>
      <c r="R785" s="214"/>
      <c r="S785" s="214"/>
      <c r="T785" s="214"/>
      <c r="U785" s="214"/>
      <c r="V785" s="214"/>
      <c r="W785" s="214"/>
      <c r="X785" s="214"/>
      <c r="Y785" s="214"/>
      <c r="Z785" s="214"/>
      <c r="AA785" s="214"/>
      <c r="AB785" s="214"/>
      <c r="AC785" s="214"/>
    </row>
    <row r="786">
      <c r="A786" s="236"/>
      <c r="B786" s="237"/>
      <c r="C786" s="237"/>
      <c r="D786" s="232" t="s">
        <v>123</v>
      </c>
      <c r="E786" s="232">
        <v>1.0</v>
      </c>
      <c r="F786" s="233"/>
      <c r="G786" s="233"/>
      <c r="H786" s="234" t="s">
        <v>124</v>
      </c>
      <c r="I786" s="298" t="s">
        <v>105</v>
      </c>
      <c r="J786" s="214"/>
      <c r="K786" s="214"/>
      <c r="L786" s="214"/>
      <c r="M786" s="214"/>
      <c r="N786" s="214"/>
      <c r="O786" s="214"/>
      <c r="P786" s="214"/>
      <c r="Q786" s="214"/>
      <c r="R786" s="214"/>
      <c r="S786" s="214"/>
      <c r="T786" s="214"/>
      <c r="U786" s="214"/>
      <c r="V786" s="214"/>
      <c r="W786" s="214"/>
      <c r="X786" s="214"/>
      <c r="Y786" s="214"/>
      <c r="Z786" s="214"/>
      <c r="AA786" s="214"/>
      <c r="AB786" s="214"/>
      <c r="AC786" s="214"/>
    </row>
    <row r="787">
      <c r="A787" s="455" t="s">
        <v>581</v>
      </c>
      <c r="B787" s="492" t="s">
        <v>582</v>
      </c>
      <c r="C787" s="589">
        <f>sum(E787:AC790)</f>
        <v>8</v>
      </c>
      <c r="D787" s="308" t="s">
        <v>239</v>
      </c>
      <c r="E787" s="308">
        <v>1.0</v>
      </c>
      <c r="F787" s="309"/>
      <c r="G787" s="309"/>
      <c r="H787" s="310" t="s">
        <v>115</v>
      </c>
      <c r="I787" s="311" t="s">
        <v>105</v>
      </c>
      <c r="J787" s="214"/>
      <c r="K787" s="214"/>
      <c r="L787" s="214"/>
      <c r="M787" s="214"/>
      <c r="N787" s="214"/>
      <c r="O787" s="214"/>
      <c r="P787" s="214"/>
      <c r="Q787" s="214"/>
      <c r="R787" s="214"/>
      <c r="S787" s="214"/>
      <c r="T787" s="214"/>
      <c r="U787" s="214"/>
      <c r="V787" s="214"/>
      <c r="W787" s="214"/>
      <c r="X787" s="214"/>
      <c r="Y787" s="214"/>
      <c r="Z787" s="214"/>
      <c r="AA787" s="214"/>
      <c r="AB787" s="214"/>
      <c r="AC787" s="214"/>
    </row>
    <row r="788">
      <c r="A788" s="222"/>
      <c r="D788" s="341" t="s">
        <v>175</v>
      </c>
      <c r="E788" s="341">
        <v>4.0</v>
      </c>
      <c r="F788" s="342"/>
      <c r="G788" s="342"/>
      <c r="H788" s="343" t="s">
        <v>232</v>
      </c>
      <c r="I788" s="344" t="s">
        <v>176</v>
      </c>
      <c r="J788" s="214"/>
      <c r="K788" s="214"/>
      <c r="L788" s="214"/>
      <c r="M788" s="214"/>
      <c r="N788" s="214"/>
      <c r="O788" s="214"/>
      <c r="P788" s="214"/>
      <c r="Q788" s="214"/>
      <c r="R788" s="214"/>
      <c r="S788" s="214"/>
      <c r="T788" s="214"/>
      <c r="U788" s="214"/>
      <c r="V788" s="214"/>
      <c r="W788" s="214"/>
      <c r="X788" s="214"/>
      <c r="Y788" s="214"/>
      <c r="Z788" s="214"/>
      <c r="AA788" s="214"/>
      <c r="AB788" s="214"/>
      <c r="AC788" s="214"/>
    </row>
    <row r="789">
      <c r="A789" s="222"/>
      <c r="D789" s="434" t="s">
        <v>39</v>
      </c>
      <c r="E789" s="434">
        <v>1.0</v>
      </c>
      <c r="F789" s="383"/>
      <c r="G789" s="383"/>
      <c r="H789" s="435" t="s">
        <v>40</v>
      </c>
      <c r="I789" s="429" t="s">
        <v>30</v>
      </c>
      <c r="J789" s="214"/>
      <c r="K789" s="214"/>
      <c r="L789" s="214"/>
      <c r="M789" s="214"/>
      <c r="N789" s="214"/>
      <c r="O789" s="214"/>
      <c r="P789" s="214"/>
      <c r="Q789" s="214"/>
      <c r="R789" s="214"/>
      <c r="S789" s="214"/>
      <c r="T789" s="214"/>
      <c r="U789" s="214"/>
      <c r="V789" s="214"/>
      <c r="W789" s="214"/>
      <c r="X789" s="214"/>
      <c r="Y789" s="214"/>
      <c r="Z789" s="214"/>
      <c r="AA789" s="214"/>
      <c r="AB789" s="214"/>
      <c r="AC789" s="214"/>
    </row>
    <row r="790">
      <c r="A790" s="236"/>
      <c r="B790" s="237"/>
      <c r="C790" s="237"/>
      <c r="D790" s="287" t="s">
        <v>583</v>
      </c>
      <c r="E790" s="287">
        <v>2.0</v>
      </c>
      <c r="F790" s="404"/>
      <c r="G790" s="404"/>
      <c r="H790" s="289" t="s">
        <v>584</v>
      </c>
      <c r="I790" s="461" t="s">
        <v>105</v>
      </c>
      <c r="J790" s="214"/>
      <c r="K790" s="214"/>
      <c r="L790" s="214"/>
      <c r="M790" s="214"/>
      <c r="N790" s="214"/>
      <c r="O790" s="214"/>
      <c r="P790" s="214"/>
      <c r="Q790" s="214"/>
      <c r="R790" s="214"/>
      <c r="S790" s="214"/>
      <c r="T790" s="214"/>
      <c r="U790" s="214"/>
      <c r="V790" s="214"/>
      <c r="W790" s="214"/>
      <c r="X790" s="214"/>
      <c r="Y790" s="214"/>
      <c r="Z790" s="214"/>
      <c r="AA790" s="214"/>
      <c r="AB790" s="214"/>
      <c r="AC790" s="214"/>
    </row>
    <row r="791">
      <c r="A791" s="599" t="s">
        <v>585</v>
      </c>
      <c r="B791" s="600" t="s">
        <v>586</v>
      </c>
      <c r="C791" s="589">
        <f>sum(E791:E795)</f>
        <v>8</v>
      </c>
      <c r="D791" s="335" t="s">
        <v>162</v>
      </c>
      <c r="E791" s="335">
        <v>2.0</v>
      </c>
      <c r="F791" s="336"/>
      <c r="G791" s="336"/>
      <c r="H791" s="337" t="s">
        <v>164</v>
      </c>
      <c r="I791" s="338" t="s">
        <v>163</v>
      </c>
      <c r="J791" s="214"/>
      <c r="K791" s="214"/>
      <c r="L791" s="214"/>
      <c r="M791" s="214"/>
      <c r="N791" s="214"/>
      <c r="O791" s="214"/>
      <c r="P791" s="214"/>
      <c r="Q791" s="214"/>
      <c r="R791" s="214"/>
      <c r="S791" s="214"/>
      <c r="T791" s="214"/>
      <c r="U791" s="214"/>
      <c r="V791" s="214"/>
      <c r="W791" s="214"/>
      <c r="X791" s="214"/>
      <c r="Y791" s="214"/>
      <c r="Z791" s="214"/>
      <c r="AA791" s="214"/>
      <c r="AB791" s="214"/>
      <c r="AC791" s="214"/>
    </row>
    <row r="792">
      <c r="A792" s="222"/>
      <c r="D792" s="339" t="s">
        <v>120</v>
      </c>
      <c r="E792" s="339">
        <v>1.0</v>
      </c>
      <c r="F792" s="254"/>
      <c r="G792" s="233"/>
      <c r="H792" s="340" t="s">
        <v>289</v>
      </c>
      <c r="I792" s="298" t="s">
        <v>105</v>
      </c>
      <c r="J792" s="214"/>
      <c r="K792" s="214"/>
      <c r="L792" s="214"/>
      <c r="M792" s="214"/>
      <c r="N792" s="214"/>
      <c r="O792" s="214"/>
      <c r="P792" s="214"/>
      <c r="Q792" s="214"/>
      <c r="R792" s="214"/>
      <c r="S792" s="214"/>
      <c r="T792" s="214"/>
      <c r="U792" s="214"/>
      <c r="V792" s="214"/>
      <c r="W792" s="214"/>
      <c r="X792" s="214"/>
      <c r="Y792" s="214"/>
      <c r="Z792" s="214"/>
      <c r="AA792" s="214"/>
      <c r="AB792" s="214"/>
      <c r="AC792" s="214"/>
    </row>
    <row r="793">
      <c r="A793" s="222"/>
      <c r="D793" s="232" t="s">
        <v>239</v>
      </c>
      <c r="E793" s="232">
        <v>1.0</v>
      </c>
      <c r="F793" s="254"/>
      <c r="G793" s="254"/>
      <c r="H793" s="234" t="s">
        <v>115</v>
      </c>
      <c r="I793" s="298" t="s">
        <v>105</v>
      </c>
      <c r="J793" s="214"/>
      <c r="K793" s="214"/>
      <c r="L793" s="214"/>
      <c r="M793" s="214"/>
      <c r="N793" s="214"/>
      <c r="O793" s="214"/>
      <c r="P793" s="214"/>
      <c r="Q793" s="214"/>
      <c r="R793" s="214"/>
      <c r="S793" s="214"/>
      <c r="T793" s="214"/>
      <c r="U793" s="214"/>
      <c r="V793" s="214"/>
      <c r="W793" s="214"/>
      <c r="X793" s="214"/>
      <c r="Y793" s="214"/>
      <c r="Z793" s="214"/>
      <c r="AA793" s="214"/>
      <c r="AB793" s="214"/>
      <c r="AC793" s="214"/>
    </row>
    <row r="794">
      <c r="A794" s="222"/>
      <c r="D794" s="260" t="s">
        <v>229</v>
      </c>
      <c r="E794" s="260">
        <v>2.0</v>
      </c>
      <c r="F794" s="318"/>
      <c r="G794" s="261"/>
      <c r="H794" s="262" t="s">
        <v>69</v>
      </c>
      <c r="I794" s="319" t="s">
        <v>65</v>
      </c>
      <c r="J794" s="214"/>
      <c r="K794" s="214"/>
      <c r="L794" s="214"/>
      <c r="M794" s="214"/>
      <c r="N794" s="214"/>
      <c r="O794" s="214"/>
      <c r="P794" s="214"/>
      <c r="Q794" s="214"/>
      <c r="R794" s="214"/>
      <c r="S794" s="214"/>
      <c r="T794" s="214"/>
      <c r="U794" s="214"/>
      <c r="V794" s="214"/>
      <c r="W794" s="214"/>
      <c r="X794" s="214"/>
      <c r="Y794" s="214"/>
      <c r="Z794" s="214"/>
      <c r="AA794" s="214"/>
      <c r="AB794" s="214"/>
      <c r="AC794" s="214"/>
    </row>
    <row r="795">
      <c r="A795" s="222"/>
      <c r="D795" s="232" t="s">
        <v>108</v>
      </c>
      <c r="E795" s="232">
        <v>2.0</v>
      </c>
      <c r="F795" s="254"/>
      <c r="G795" s="254"/>
      <c r="H795" s="234" t="s">
        <v>109</v>
      </c>
      <c r="I795" s="537" t="s">
        <v>105</v>
      </c>
      <c r="J795" s="214"/>
      <c r="K795" s="214"/>
      <c r="L795" s="214"/>
      <c r="M795" s="214"/>
      <c r="N795" s="214"/>
      <c r="O795" s="214"/>
      <c r="P795" s="214"/>
      <c r="Q795" s="214"/>
      <c r="R795" s="214"/>
      <c r="S795" s="214"/>
      <c r="T795" s="214"/>
      <c r="U795" s="214"/>
      <c r="V795" s="214"/>
      <c r="W795" s="214"/>
      <c r="X795" s="214"/>
      <c r="Y795" s="214"/>
      <c r="Z795" s="214"/>
      <c r="AA795" s="214"/>
      <c r="AB795" s="214"/>
      <c r="AC795" s="214"/>
    </row>
    <row r="796">
      <c r="A796" s="215" t="s">
        <v>587</v>
      </c>
      <c r="B796" s="243" t="s">
        <v>588</v>
      </c>
      <c r="C796" s="589">
        <f>sum(E796:E800)</f>
        <v>8</v>
      </c>
      <c r="D796" s="521" t="s">
        <v>147</v>
      </c>
      <c r="E796" s="521">
        <v>3.0</v>
      </c>
      <c r="F796" s="525"/>
      <c r="G796" s="525"/>
      <c r="H796" s="523" t="s">
        <v>145</v>
      </c>
      <c r="I796" s="538" t="s">
        <v>144</v>
      </c>
      <c r="J796" s="214"/>
      <c r="K796" s="214"/>
      <c r="L796" s="214"/>
      <c r="M796" s="214"/>
      <c r="N796" s="214"/>
      <c r="O796" s="214"/>
      <c r="P796" s="214"/>
      <c r="Q796" s="214"/>
      <c r="R796" s="214"/>
      <c r="S796" s="214"/>
      <c r="T796" s="214"/>
      <c r="U796" s="214"/>
      <c r="V796" s="214"/>
      <c r="W796" s="214"/>
      <c r="X796" s="214"/>
      <c r="Y796" s="214"/>
      <c r="Z796" s="214"/>
      <c r="AA796" s="214"/>
      <c r="AB796" s="214"/>
      <c r="AC796" s="214"/>
    </row>
    <row r="797">
      <c r="A797" s="222"/>
      <c r="D797" s="339" t="s">
        <v>239</v>
      </c>
      <c r="E797" s="232">
        <v>1.0</v>
      </c>
      <c r="F797" s="254"/>
      <c r="G797" s="233"/>
      <c r="H797" s="340" t="s">
        <v>115</v>
      </c>
      <c r="I797" s="298" t="s">
        <v>105</v>
      </c>
      <c r="J797" s="214"/>
      <c r="K797" s="214"/>
      <c r="L797" s="214"/>
      <c r="M797" s="214"/>
      <c r="N797" s="214"/>
      <c r="O797" s="214"/>
      <c r="P797" s="214"/>
      <c r="Q797" s="214"/>
      <c r="R797" s="214"/>
      <c r="S797" s="214"/>
      <c r="T797" s="214"/>
      <c r="U797" s="214"/>
      <c r="V797" s="214"/>
      <c r="W797" s="214"/>
      <c r="X797" s="214"/>
      <c r="Y797" s="214"/>
      <c r="Z797" s="214"/>
      <c r="AA797" s="214"/>
      <c r="AB797" s="214"/>
      <c r="AC797" s="214"/>
    </row>
    <row r="798">
      <c r="A798" s="222"/>
      <c r="D798" s="339" t="s">
        <v>123</v>
      </c>
      <c r="E798" s="339">
        <v>1.0</v>
      </c>
      <c r="F798" s="233"/>
      <c r="G798" s="233"/>
      <c r="H798" s="340" t="s">
        <v>124</v>
      </c>
      <c r="I798" s="298" t="s">
        <v>105</v>
      </c>
      <c r="J798" s="214"/>
      <c r="K798" s="214"/>
      <c r="L798" s="214"/>
      <c r="M798" s="214"/>
      <c r="N798" s="214"/>
      <c r="O798" s="214"/>
      <c r="P798" s="214"/>
      <c r="Q798" s="214"/>
      <c r="R798" s="214"/>
      <c r="S798" s="214"/>
      <c r="T798" s="214"/>
      <c r="U798" s="214"/>
      <c r="V798" s="214"/>
      <c r="W798" s="214"/>
      <c r="X798" s="214"/>
      <c r="Y798" s="214"/>
      <c r="Z798" s="214"/>
      <c r="AA798" s="214"/>
      <c r="AB798" s="214"/>
      <c r="AC798" s="214"/>
    </row>
    <row r="799">
      <c r="A799" s="222"/>
      <c r="D799" s="271" t="s">
        <v>162</v>
      </c>
      <c r="E799" s="271">
        <v>2.0</v>
      </c>
      <c r="F799" s="272"/>
      <c r="G799" s="272"/>
      <c r="H799" s="273" t="s">
        <v>164</v>
      </c>
      <c r="I799" s="274" t="s">
        <v>163</v>
      </c>
      <c r="J799" s="214"/>
      <c r="K799" s="214"/>
      <c r="L799" s="214"/>
      <c r="M799" s="214"/>
      <c r="N799" s="214"/>
      <c r="O799" s="214"/>
      <c r="P799" s="214"/>
      <c r="Q799" s="214"/>
      <c r="R799" s="214"/>
      <c r="S799" s="214"/>
      <c r="T799" s="214"/>
      <c r="U799" s="214"/>
      <c r="V799" s="214"/>
      <c r="W799" s="214"/>
      <c r="X799" s="214"/>
      <c r="Y799" s="214"/>
      <c r="Z799" s="214"/>
      <c r="AA799" s="214"/>
      <c r="AB799" s="214"/>
      <c r="AC799" s="214"/>
    </row>
    <row r="800">
      <c r="A800" s="236"/>
      <c r="B800" s="237"/>
      <c r="C800" s="237"/>
      <c r="D800" s="287" t="s">
        <v>120</v>
      </c>
      <c r="E800" s="287">
        <v>1.0</v>
      </c>
      <c r="F800" s="404"/>
      <c r="G800" s="404"/>
      <c r="H800" s="289" t="s">
        <v>289</v>
      </c>
      <c r="I800" s="290" t="s">
        <v>105</v>
      </c>
      <c r="J800" s="214"/>
      <c r="K800" s="214"/>
      <c r="L800" s="214"/>
      <c r="M800" s="214"/>
      <c r="N800" s="214"/>
      <c r="O800" s="214"/>
      <c r="P800" s="214"/>
      <c r="Q800" s="214"/>
      <c r="R800" s="214"/>
      <c r="S800" s="214"/>
      <c r="T800" s="214"/>
      <c r="U800" s="214"/>
      <c r="V800" s="214"/>
      <c r="W800" s="214"/>
      <c r="X800" s="214"/>
      <c r="Y800" s="214"/>
      <c r="Z800" s="214"/>
      <c r="AA800" s="214"/>
      <c r="AB800" s="214"/>
      <c r="AC800" s="214"/>
    </row>
    <row r="801">
      <c r="A801" s="242" t="s">
        <v>589</v>
      </c>
      <c r="B801" s="243" t="s">
        <v>590</v>
      </c>
      <c r="C801" s="589">
        <f>sum(E801:E803)</f>
        <v>8</v>
      </c>
      <c r="D801" s="515" t="s">
        <v>79</v>
      </c>
      <c r="E801" s="515">
        <v>2.0</v>
      </c>
      <c r="F801" s="293"/>
      <c r="G801" s="324"/>
      <c r="H801" s="294" t="s">
        <v>80</v>
      </c>
      <c r="I801" s="457" t="s">
        <v>65</v>
      </c>
      <c r="J801" s="214"/>
      <c r="K801" s="214"/>
      <c r="L801" s="214"/>
      <c r="M801" s="214"/>
      <c r="N801" s="214"/>
      <c r="O801" s="214"/>
      <c r="P801" s="214"/>
      <c r="Q801" s="214"/>
      <c r="R801" s="214"/>
      <c r="S801" s="214"/>
      <c r="T801" s="214"/>
      <c r="U801" s="214"/>
      <c r="V801" s="214"/>
      <c r="W801" s="214"/>
      <c r="X801" s="214"/>
      <c r="Y801" s="214"/>
      <c r="Z801" s="214"/>
      <c r="AA801" s="214"/>
      <c r="AB801" s="214"/>
      <c r="AC801" s="214"/>
    </row>
    <row r="802">
      <c r="A802" s="222"/>
      <c r="D802" s="339" t="s">
        <v>239</v>
      </c>
      <c r="E802" s="339">
        <v>1.0</v>
      </c>
      <c r="F802" s="233"/>
      <c r="G802" s="233"/>
      <c r="H802" s="340" t="s">
        <v>115</v>
      </c>
      <c r="I802" s="235" t="s">
        <v>105</v>
      </c>
      <c r="J802" s="214"/>
      <c r="K802" s="214"/>
      <c r="L802" s="214"/>
      <c r="M802" s="214"/>
      <c r="N802" s="214"/>
      <c r="O802" s="214"/>
      <c r="P802" s="214"/>
      <c r="Q802" s="214"/>
      <c r="R802" s="214"/>
      <c r="S802" s="214"/>
      <c r="T802" s="214"/>
      <c r="U802" s="214"/>
      <c r="V802" s="214"/>
      <c r="W802" s="214"/>
      <c r="X802" s="214"/>
      <c r="Y802" s="214"/>
      <c r="Z802" s="214"/>
      <c r="AA802" s="214"/>
      <c r="AB802" s="214"/>
      <c r="AC802" s="214"/>
    </row>
    <row r="803">
      <c r="A803" s="236"/>
      <c r="B803" s="237"/>
      <c r="C803" s="237"/>
      <c r="D803" s="351" t="s">
        <v>143</v>
      </c>
      <c r="E803" s="351">
        <v>5.0</v>
      </c>
      <c r="F803" s="436"/>
      <c r="G803" s="321"/>
      <c r="H803" s="352" t="s">
        <v>145</v>
      </c>
      <c r="I803" s="323" t="s">
        <v>144</v>
      </c>
      <c r="J803" s="214"/>
      <c r="K803" s="214"/>
      <c r="L803" s="214"/>
      <c r="M803" s="214"/>
      <c r="N803" s="214"/>
      <c r="O803" s="214"/>
      <c r="P803" s="214"/>
      <c r="Q803" s="214"/>
      <c r="R803" s="214"/>
      <c r="S803" s="214"/>
      <c r="T803" s="214"/>
      <c r="U803" s="214"/>
      <c r="V803" s="214"/>
      <c r="W803" s="214"/>
      <c r="X803" s="214"/>
      <c r="Y803" s="214"/>
      <c r="Z803" s="214"/>
      <c r="AA803" s="214"/>
      <c r="AB803" s="214"/>
      <c r="AC803" s="214"/>
    </row>
    <row r="804">
      <c r="A804" s="242" t="s">
        <v>591</v>
      </c>
      <c r="B804" s="243" t="s">
        <v>592</v>
      </c>
      <c r="C804" s="589">
        <f>sum(E804:E806)</f>
        <v>8</v>
      </c>
      <c r="D804" s="292" t="s">
        <v>79</v>
      </c>
      <c r="E804" s="292">
        <v>2.0</v>
      </c>
      <c r="F804" s="324"/>
      <c r="G804" s="324"/>
      <c r="H804" s="294" t="s">
        <v>80</v>
      </c>
      <c r="I804" s="457" t="s">
        <v>65</v>
      </c>
      <c r="J804" s="214"/>
      <c r="K804" s="214"/>
      <c r="L804" s="214"/>
      <c r="M804" s="214"/>
      <c r="N804" s="214"/>
      <c r="O804" s="214"/>
      <c r="P804" s="214"/>
      <c r="Q804" s="214"/>
      <c r="R804" s="214"/>
      <c r="S804" s="214"/>
      <c r="T804" s="214"/>
      <c r="U804" s="214"/>
      <c r="V804" s="214"/>
      <c r="W804" s="214"/>
      <c r="X804" s="214"/>
      <c r="Y804" s="214"/>
      <c r="Z804" s="214"/>
      <c r="AA804" s="214"/>
      <c r="AB804" s="214"/>
      <c r="AC804" s="214"/>
    </row>
    <row r="805">
      <c r="A805" s="222"/>
      <c r="D805" s="232" t="s">
        <v>239</v>
      </c>
      <c r="E805" s="232">
        <v>1.0</v>
      </c>
      <c r="F805" s="254"/>
      <c r="G805" s="233"/>
      <c r="H805" s="234" t="s">
        <v>115</v>
      </c>
      <c r="I805" s="235" t="s">
        <v>105</v>
      </c>
      <c r="J805" s="214"/>
      <c r="K805" s="214"/>
      <c r="L805" s="214"/>
      <c r="M805" s="214"/>
      <c r="N805" s="214"/>
      <c r="O805" s="214"/>
      <c r="P805" s="214"/>
      <c r="Q805" s="214"/>
      <c r="R805" s="214"/>
      <c r="S805" s="214"/>
      <c r="T805" s="214"/>
      <c r="U805" s="214"/>
      <c r="V805" s="214"/>
      <c r="W805" s="214"/>
      <c r="X805" s="214"/>
      <c r="Y805" s="214"/>
      <c r="Z805" s="214"/>
      <c r="AA805" s="214"/>
      <c r="AB805" s="214"/>
      <c r="AC805" s="214"/>
    </row>
    <row r="806">
      <c r="A806" s="236"/>
      <c r="B806" s="237"/>
      <c r="C806" s="237"/>
      <c r="D806" s="320" t="s">
        <v>143</v>
      </c>
      <c r="E806" s="320">
        <v>5.0</v>
      </c>
      <c r="F806" s="436"/>
      <c r="G806" s="436"/>
      <c r="H806" s="322" t="s">
        <v>145</v>
      </c>
      <c r="I806" s="323" t="s">
        <v>144</v>
      </c>
      <c r="J806" s="214"/>
      <c r="K806" s="214"/>
      <c r="L806" s="214"/>
      <c r="M806" s="214"/>
      <c r="N806" s="214"/>
      <c r="O806" s="214"/>
      <c r="P806" s="214"/>
      <c r="Q806" s="214"/>
      <c r="R806" s="214"/>
      <c r="S806" s="214"/>
      <c r="T806" s="214"/>
      <c r="U806" s="214"/>
      <c r="V806" s="214"/>
      <c r="W806" s="214"/>
      <c r="X806" s="214"/>
      <c r="Y806" s="214"/>
      <c r="Z806" s="214"/>
      <c r="AA806" s="214"/>
      <c r="AB806" s="214"/>
      <c r="AC806" s="214"/>
    </row>
    <row r="807">
      <c r="A807" s="215" t="s">
        <v>593</v>
      </c>
      <c r="B807" s="243" t="s">
        <v>594</v>
      </c>
      <c r="C807" s="589">
        <f>sum(E807:E810)</f>
        <v>8</v>
      </c>
      <c r="D807" s="245" t="s">
        <v>58</v>
      </c>
      <c r="E807" s="245">
        <v>1.0</v>
      </c>
      <c r="F807" s="246"/>
      <c r="G807" s="246"/>
      <c r="H807" s="247" t="s">
        <v>59</v>
      </c>
      <c r="I807" s="248" t="s">
        <v>43</v>
      </c>
      <c r="J807" s="214"/>
      <c r="K807" s="214"/>
      <c r="L807" s="214"/>
      <c r="M807" s="214"/>
      <c r="N807" s="214"/>
      <c r="O807" s="214"/>
      <c r="P807" s="214"/>
      <c r="Q807" s="214"/>
      <c r="R807" s="214"/>
      <c r="S807" s="214"/>
      <c r="T807" s="214"/>
      <c r="U807" s="214"/>
      <c r="V807" s="214"/>
      <c r="W807" s="214"/>
      <c r="X807" s="214"/>
      <c r="Y807" s="214"/>
      <c r="Z807" s="214"/>
      <c r="AA807" s="214"/>
      <c r="AB807" s="214"/>
      <c r="AC807" s="214"/>
    </row>
    <row r="808">
      <c r="A808" s="222"/>
      <c r="D808" s="286" t="s">
        <v>229</v>
      </c>
      <c r="E808" s="286">
        <v>2.0</v>
      </c>
      <c r="F808" s="318"/>
      <c r="G808" s="318"/>
      <c r="H808" s="262" t="s">
        <v>69</v>
      </c>
      <c r="I808" s="319" t="s">
        <v>65</v>
      </c>
      <c r="J808" s="214"/>
      <c r="K808" s="214"/>
      <c r="L808" s="214"/>
      <c r="M808" s="214"/>
      <c r="N808" s="214"/>
      <c r="O808" s="214"/>
      <c r="P808" s="214"/>
      <c r="Q808" s="214"/>
      <c r="R808" s="214"/>
      <c r="S808" s="214"/>
      <c r="T808" s="214"/>
      <c r="U808" s="214"/>
      <c r="V808" s="214"/>
      <c r="W808" s="214"/>
      <c r="X808" s="214"/>
      <c r="Y808" s="214"/>
      <c r="Z808" s="214"/>
      <c r="AA808" s="214"/>
      <c r="AB808" s="214"/>
      <c r="AC808" s="214"/>
    </row>
    <row r="809">
      <c r="A809" s="222"/>
      <c r="D809" s="299" t="s">
        <v>147</v>
      </c>
      <c r="E809" s="299">
        <v>3.0</v>
      </c>
      <c r="F809" s="250"/>
      <c r="G809" s="250"/>
      <c r="H809" s="312" t="s">
        <v>145</v>
      </c>
      <c r="I809" s="253" t="s">
        <v>144</v>
      </c>
      <c r="J809" s="214"/>
      <c r="K809" s="214"/>
      <c r="L809" s="214"/>
      <c r="M809" s="214"/>
      <c r="N809" s="214"/>
      <c r="O809" s="214"/>
      <c r="P809" s="214"/>
      <c r="Q809" s="214"/>
      <c r="R809" s="214"/>
      <c r="S809" s="214"/>
      <c r="T809" s="214"/>
      <c r="U809" s="214"/>
      <c r="V809" s="214"/>
      <c r="W809" s="214"/>
      <c r="X809" s="214"/>
      <c r="Y809" s="214"/>
      <c r="Z809" s="214"/>
      <c r="AA809" s="214"/>
      <c r="AB809" s="214"/>
      <c r="AC809" s="214"/>
    </row>
    <row r="810">
      <c r="A810" s="236"/>
      <c r="B810" s="237"/>
      <c r="C810" s="237"/>
      <c r="D810" s="264" t="s">
        <v>162</v>
      </c>
      <c r="E810" s="264">
        <v>2.0</v>
      </c>
      <c r="F810" s="479"/>
      <c r="G810" s="479"/>
      <c r="H810" s="266" t="s">
        <v>164</v>
      </c>
      <c r="I810" s="267" t="s">
        <v>163</v>
      </c>
      <c r="J810" s="214"/>
      <c r="K810" s="214"/>
      <c r="L810" s="214"/>
      <c r="M810" s="214"/>
      <c r="N810" s="214"/>
      <c r="O810" s="214"/>
      <c r="P810" s="214"/>
      <c r="Q810" s="214"/>
      <c r="R810" s="214"/>
      <c r="S810" s="214"/>
      <c r="T810" s="214"/>
      <c r="U810" s="214"/>
      <c r="V810" s="214"/>
      <c r="W810" s="214"/>
      <c r="X810" s="214"/>
      <c r="Y810" s="214"/>
      <c r="Z810" s="214"/>
      <c r="AA810" s="214"/>
      <c r="AB810" s="214"/>
      <c r="AC810" s="214"/>
    </row>
    <row r="811">
      <c r="A811" s="242" t="s">
        <v>595</v>
      </c>
      <c r="B811" s="243" t="s">
        <v>513</v>
      </c>
      <c r="C811" s="589">
        <f>sum(E811:E815)</f>
        <v>8</v>
      </c>
      <c r="D811" s="335" t="s">
        <v>162</v>
      </c>
      <c r="E811" s="335">
        <v>2.0</v>
      </c>
      <c r="F811" s="336"/>
      <c r="G811" s="336"/>
      <c r="H811" s="337" t="s">
        <v>164</v>
      </c>
      <c r="I811" s="338" t="s">
        <v>163</v>
      </c>
      <c r="J811" s="214"/>
      <c r="K811" s="214"/>
      <c r="L811" s="214"/>
      <c r="M811" s="214"/>
      <c r="N811" s="214"/>
      <c r="O811" s="214"/>
      <c r="P811" s="214"/>
      <c r="Q811" s="214"/>
      <c r="R811" s="214"/>
      <c r="S811" s="214"/>
      <c r="T811" s="214"/>
      <c r="U811" s="214"/>
      <c r="V811" s="214"/>
      <c r="W811" s="214"/>
      <c r="X811" s="214"/>
      <c r="Y811" s="214"/>
      <c r="Z811" s="214"/>
      <c r="AA811" s="214"/>
      <c r="AB811" s="214"/>
      <c r="AC811" s="214"/>
    </row>
    <row r="812">
      <c r="A812" s="222"/>
      <c r="D812" s="249" t="s">
        <v>159</v>
      </c>
      <c r="E812" s="249">
        <v>1.0</v>
      </c>
      <c r="F812" s="251"/>
      <c r="G812" s="251"/>
      <c r="H812" s="252" t="s">
        <v>160</v>
      </c>
      <c r="I812" s="300" t="s">
        <v>144</v>
      </c>
      <c r="J812" s="214"/>
      <c r="K812" s="214"/>
      <c r="L812" s="214"/>
      <c r="M812" s="214"/>
      <c r="N812" s="214"/>
      <c r="O812" s="214"/>
      <c r="P812" s="214"/>
      <c r="Q812" s="214"/>
      <c r="R812" s="214"/>
      <c r="S812" s="214"/>
      <c r="T812" s="214"/>
      <c r="U812" s="214"/>
      <c r="V812" s="214"/>
      <c r="W812" s="214"/>
      <c r="X812" s="214"/>
      <c r="Y812" s="214"/>
      <c r="Z812" s="214"/>
      <c r="AA812" s="214"/>
      <c r="AB812" s="214"/>
      <c r="AC812" s="214"/>
    </row>
    <row r="813">
      <c r="A813" s="222"/>
      <c r="D813" s="227" t="s">
        <v>11</v>
      </c>
      <c r="E813" s="227">
        <v>2.0</v>
      </c>
      <c r="F813" s="327"/>
      <c r="G813" s="228"/>
      <c r="H813" s="229" t="s">
        <v>294</v>
      </c>
      <c r="I813" s="230" t="s">
        <v>7</v>
      </c>
      <c r="J813" s="214"/>
      <c r="K813" s="214"/>
      <c r="L813" s="214"/>
      <c r="M813" s="214"/>
      <c r="N813" s="214"/>
      <c r="O813" s="214"/>
      <c r="P813" s="214"/>
      <c r="Q813" s="214"/>
      <c r="R813" s="214"/>
      <c r="S813" s="214"/>
      <c r="T813" s="214"/>
      <c r="U813" s="214"/>
      <c r="V813" s="214"/>
      <c r="W813" s="214"/>
      <c r="X813" s="214"/>
      <c r="Y813" s="214"/>
      <c r="Z813" s="214"/>
      <c r="AA813" s="214"/>
      <c r="AB813" s="214"/>
      <c r="AC813" s="214"/>
    </row>
    <row r="814">
      <c r="A814" s="222"/>
      <c r="D814" s="275" t="s">
        <v>97</v>
      </c>
      <c r="E814" s="275">
        <v>2.0</v>
      </c>
      <c r="F814" s="276"/>
      <c r="G814" s="276"/>
      <c r="H814" s="277" t="s">
        <v>99</v>
      </c>
      <c r="I814" s="278" t="s">
        <v>98</v>
      </c>
      <c r="J814" s="214"/>
      <c r="K814" s="214"/>
      <c r="L814" s="214"/>
      <c r="M814" s="214"/>
      <c r="N814" s="214"/>
      <c r="O814" s="214"/>
      <c r="P814" s="214"/>
      <c r="Q814" s="214"/>
      <c r="R814" s="214"/>
      <c r="S814" s="214"/>
      <c r="T814" s="214"/>
      <c r="U814" s="214"/>
      <c r="V814" s="214"/>
      <c r="W814" s="214"/>
      <c r="X814" s="214"/>
      <c r="Y814" s="214"/>
      <c r="Z814" s="214"/>
      <c r="AA814" s="214"/>
      <c r="AB814" s="214"/>
      <c r="AC814" s="214"/>
    </row>
    <row r="815">
      <c r="A815" s="236"/>
      <c r="B815" s="237"/>
      <c r="C815" s="237"/>
      <c r="D815" s="483" t="s">
        <v>55</v>
      </c>
      <c r="E815" s="483">
        <v>1.0</v>
      </c>
      <c r="F815" s="303"/>
      <c r="G815" s="303"/>
      <c r="H815" s="484" t="s">
        <v>56</v>
      </c>
      <c r="I815" s="282" t="s">
        <v>43</v>
      </c>
      <c r="J815" s="214"/>
      <c r="K815" s="214"/>
      <c r="L815" s="214"/>
      <c r="M815" s="214"/>
      <c r="N815" s="214"/>
      <c r="O815" s="214"/>
      <c r="P815" s="214"/>
      <c r="Q815" s="214"/>
      <c r="R815" s="214"/>
      <c r="S815" s="214"/>
      <c r="T815" s="214"/>
      <c r="U815" s="214"/>
      <c r="V815" s="214"/>
      <c r="W815" s="214"/>
      <c r="X815" s="214"/>
      <c r="Y815" s="214"/>
      <c r="Z815" s="214"/>
      <c r="AA815" s="214"/>
      <c r="AB815" s="214"/>
      <c r="AC815" s="214"/>
    </row>
    <row r="816">
      <c r="A816" s="601" t="s">
        <v>596</v>
      </c>
      <c r="B816" s="439" t="s">
        <v>358</v>
      </c>
      <c r="C816" s="589">
        <f>sum(E816:E820)</f>
        <v>8</v>
      </c>
      <c r="D816" s="515" t="s">
        <v>79</v>
      </c>
      <c r="E816" s="515">
        <v>2.0</v>
      </c>
      <c r="F816" s="324"/>
      <c r="G816" s="324"/>
      <c r="H816" s="294" t="s">
        <v>80</v>
      </c>
      <c r="I816" s="295" t="s">
        <v>65</v>
      </c>
      <c r="J816" s="214"/>
      <c r="K816" s="214"/>
      <c r="L816" s="214"/>
      <c r="M816" s="214"/>
      <c r="N816" s="214"/>
      <c r="O816" s="214"/>
      <c r="P816" s="214"/>
      <c r="Q816" s="214"/>
      <c r="R816" s="214"/>
      <c r="S816" s="214"/>
      <c r="T816" s="214"/>
      <c r="U816" s="214"/>
      <c r="V816" s="214"/>
      <c r="W816" s="214"/>
      <c r="X816" s="214"/>
      <c r="Y816" s="214"/>
      <c r="Z816" s="214"/>
      <c r="AA816" s="214"/>
      <c r="AB816" s="214"/>
      <c r="AC816" s="214"/>
    </row>
    <row r="817">
      <c r="A817" s="222"/>
      <c r="D817" s="333" t="s">
        <v>97</v>
      </c>
      <c r="E817" s="275">
        <v>2.0</v>
      </c>
      <c r="F817" s="276"/>
      <c r="G817" s="276"/>
      <c r="H817" s="277" t="s">
        <v>99</v>
      </c>
      <c r="I817" s="278" t="s">
        <v>98</v>
      </c>
      <c r="J817" s="214"/>
      <c r="K817" s="214"/>
      <c r="L817" s="214"/>
      <c r="M817" s="214"/>
      <c r="N817" s="214"/>
      <c r="O817" s="214"/>
      <c r="P817" s="214"/>
      <c r="Q817" s="214"/>
      <c r="R817" s="214"/>
      <c r="S817" s="214"/>
      <c r="T817" s="214"/>
      <c r="U817" s="214"/>
      <c r="V817" s="214"/>
      <c r="W817" s="214"/>
      <c r="X817" s="214"/>
      <c r="Y817" s="214"/>
      <c r="Z817" s="214"/>
      <c r="AA817" s="214"/>
      <c r="AB817" s="214"/>
      <c r="AC817" s="214"/>
    </row>
    <row r="818">
      <c r="A818" s="222"/>
      <c r="D818" s="249" t="s">
        <v>159</v>
      </c>
      <c r="E818" s="249">
        <v>1.0</v>
      </c>
      <c r="F818" s="251"/>
      <c r="G818" s="251"/>
      <c r="H818" s="252" t="s">
        <v>160</v>
      </c>
      <c r="I818" s="300" t="s">
        <v>144</v>
      </c>
      <c r="J818" s="214"/>
      <c r="K818" s="214"/>
      <c r="L818" s="214"/>
      <c r="M818" s="214"/>
      <c r="N818" s="214"/>
      <c r="O818" s="214"/>
      <c r="P818" s="214"/>
      <c r="Q818" s="214"/>
      <c r="R818" s="214"/>
      <c r="S818" s="214"/>
      <c r="T818" s="214"/>
      <c r="U818" s="214"/>
      <c r="V818" s="214"/>
      <c r="W818" s="214"/>
      <c r="X818" s="214"/>
      <c r="Y818" s="214"/>
      <c r="Z818" s="214"/>
      <c r="AA818" s="214"/>
      <c r="AB818" s="214"/>
      <c r="AC818" s="214"/>
    </row>
    <row r="819">
      <c r="A819" s="222"/>
      <c r="D819" s="402" t="s">
        <v>166</v>
      </c>
      <c r="E819" s="402">
        <v>2.0</v>
      </c>
      <c r="F819" s="272"/>
      <c r="G819" s="272"/>
      <c r="H819" s="403" t="s">
        <v>167</v>
      </c>
      <c r="I819" s="274" t="s">
        <v>163</v>
      </c>
      <c r="J819" s="214"/>
      <c r="K819" s="214"/>
      <c r="L819" s="214"/>
      <c r="M819" s="214"/>
      <c r="N819" s="214"/>
      <c r="O819" s="214"/>
      <c r="P819" s="214"/>
      <c r="Q819" s="214"/>
      <c r="R819" s="214"/>
      <c r="S819" s="214"/>
      <c r="T819" s="214"/>
      <c r="U819" s="214"/>
      <c r="V819" s="214"/>
      <c r="W819" s="214"/>
      <c r="X819" s="214"/>
      <c r="Y819" s="214"/>
      <c r="Z819" s="214"/>
      <c r="AA819" s="214"/>
      <c r="AB819" s="214"/>
      <c r="AC819" s="214"/>
    </row>
    <row r="820">
      <c r="A820" s="236"/>
      <c r="B820" s="237"/>
      <c r="C820" s="237"/>
      <c r="D820" s="287" t="s">
        <v>126</v>
      </c>
      <c r="E820" s="287">
        <v>1.0</v>
      </c>
      <c r="F820" s="288"/>
      <c r="G820" s="288"/>
      <c r="H820" s="289" t="s">
        <v>127</v>
      </c>
      <c r="I820" s="290" t="s">
        <v>105</v>
      </c>
      <c r="J820" s="214"/>
      <c r="K820" s="214"/>
      <c r="L820" s="214"/>
      <c r="M820" s="214"/>
      <c r="N820" s="214"/>
      <c r="O820" s="214"/>
      <c r="P820" s="214"/>
      <c r="Q820" s="214"/>
      <c r="R820" s="214"/>
      <c r="S820" s="214"/>
      <c r="T820" s="214"/>
      <c r="U820" s="214"/>
      <c r="V820" s="214"/>
      <c r="W820" s="214"/>
      <c r="X820" s="214"/>
      <c r="Y820" s="214"/>
      <c r="Z820" s="214"/>
      <c r="AA820" s="214"/>
      <c r="AB820" s="214"/>
      <c r="AC820" s="214"/>
    </row>
    <row r="821">
      <c r="A821" s="242" t="s">
        <v>597</v>
      </c>
      <c r="B821" s="243" t="s">
        <v>598</v>
      </c>
      <c r="C821" s="589">
        <f>sum(E821:E827)</f>
        <v>8</v>
      </c>
      <c r="D821" s="426" t="s">
        <v>26</v>
      </c>
      <c r="E821" s="426">
        <v>1.0</v>
      </c>
      <c r="F821" s="397"/>
      <c r="G821" s="397"/>
      <c r="H821" s="427" t="s">
        <v>27</v>
      </c>
      <c r="I821" s="428" t="s">
        <v>23</v>
      </c>
      <c r="J821" s="214"/>
      <c r="K821" s="214"/>
      <c r="L821" s="214"/>
      <c r="M821" s="214"/>
      <c r="N821" s="214"/>
      <c r="O821" s="214"/>
      <c r="P821" s="214"/>
      <c r="Q821" s="214"/>
      <c r="R821" s="214"/>
      <c r="S821" s="214"/>
      <c r="T821" s="214"/>
      <c r="U821" s="214"/>
      <c r="V821" s="214"/>
      <c r="W821" s="214"/>
      <c r="X821" s="214"/>
      <c r="Y821" s="214"/>
      <c r="Z821" s="214"/>
      <c r="AA821" s="214"/>
      <c r="AB821" s="214"/>
      <c r="AC821" s="214"/>
    </row>
    <row r="822" ht="18.75" customHeight="1">
      <c r="A822" s="222"/>
      <c r="D822" s="279" t="s">
        <v>55</v>
      </c>
      <c r="E822" s="279">
        <v>1.0</v>
      </c>
      <c r="F822" s="316"/>
      <c r="G822" s="280"/>
      <c r="H822" s="281" t="s">
        <v>56</v>
      </c>
      <c r="I822" s="282" t="s">
        <v>43</v>
      </c>
      <c r="J822" s="214"/>
      <c r="K822" s="214"/>
      <c r="L822" s="214"/>
      <c r="M822" s="214"/>
      <c r="N822" s="214"/>
      <c r="O822" s="214"/>
      <c r="P822" s="214"/>
      <c r="Q822" s="214"/>
      <c r="R822" s="214"/>
      <c r="S822" s="214"/>
      <c r="T822" s="214"/>
      <c r="U822" s="214"/>
      <c r="V822" s="214"/>
      <c r="W822" s="214"/>
      <c r="X822" s="214"/>
      <c r="Y822" s="214"/>
      <c r="Z822" s="214"/>
      <c r="AA822" s="214"/>
      <c r="AB822" s="214"/>
      <c r="AC822" s="214"/>
    </row>
    <row r="823">
      <c r="A823" s="222"/>
      <c r="D823" s="286" t="s">
        <v>94</v>
      </c>
      <c r="E823" s="286">
        <v>1.0</v>
      </c>
      <c r="F823" s="261"/>
      <c r="G823" s="261"/>
      <c r="H823" s="414" t="s">
        <v>95</v>
      </c>
      <c r="I823" s="319" t="s">
        <v>65</v>
      </c>
      <c r="J823" s="214"/>
      <c r="K823" s="214"/>
      <c r="L823" s="214"/>
      <c r="M823" s="214"/>
      <c r="N823" s="214"/>
      <c r="O823" s="214"/>
      <c r="P823" s="214"/>
      <c r="Q823" s="214"/>
      <c r="R823" s="214"/>
      <c r="S823" s="214"/>
      <c r="T823" s="214"/>
      <c r="U823" s="214"/>
      <c r="V823" s="214"/>
      <c r="W823" s="214"/>
      <c r="X823" s="214"/>
      <c r="Y823" s="214"/>
      <c r="Z823" s="214"/>
      <c r="AA823" s="214"/>
      <c r="AB823" s="214"/>
      <c r="AC823" s="214"/>
    </row>
    <row r="824">
      <c r="A824" s="222"/>
      <c r="D824" s="299" t="s">
        <v>156</v>
      </c>
      <c r="E824" s="299">
        <v>2.0</v>
      </c>
      <c r="F824" s="250"/>
      <c r="G824" s="251"/>
      <c r="H824" s="312" t="s">
        <v>157</v>
      </c>
      <c r="I824" s="300" t="s">
        <v>144</v>
      </c>
      <c r="J824" s="214"/>
      <c r="K824" s="214"/>
      <c r="L824" s="214"/>
      <c r="M824" s="214"/>
      <c r="N824" s="214"/>
      <c r="O824" s="214"/>
      <c r="P824" s="214"/>
      <c r="Q824" s="214"/>
      <c r="R824" s="214"/>
      <c r="S824" s="214"/>
      <c r="T824" s="214"/>
      <c r="U824" s="214"/>
      <c r="V824" s="214"/>
      <c r="W824" s="214"/>
      <c r="X824" s="214"/>
      <c r="Y824" s="214"/>
      <c r="Z824" s="214"/>
      <c r="AA824" s="214"/>
      <c r="AB824" s="214"/>
      <c r="AC824" s="214"/>
    </row>
    <row r="825">
      <c r="A825" s="222"/>
      <c r="D825" s="232" t="s">
        <v>117</v>
      </c>
      <c r="E825" s="232">
        <v>1.0</v>
      </c>
      <c r="F825" s="233"/>
      <c r="G825" s="233"/>
      <c r="H825" s="234" t="s">
        <v>238</v>
      </c>
      <c r="I825" s="235" t="s">
        <v>105</v>
      </c>
      <c r="J825" s="214"/>
      <c r="K825" s="214"/>
      <c r="L825" s="214"/>
      <c r="M825" s="214"/>
      <c r="N825" s="214"/>
      <c r="O825" s="214"/>
      <c r="P825" s="214"/>
      <c r="Q825" s="214"/>
      <c r="R825" s="214"/>
      <c r="S825" s="214"/>
      <c r="T825" s="214"/>
      <c r="U825" s="214"/>
      <c r="V825" s="214"/>
      <c r="W825" s="214"/>
      <c r="X825" s="214"/>
      <c r="Y825" s="214"/>
      <c r="Z825" s="214"/>
      <c r="AA825" s="214"/>
      <c r="AB825" s="214"/>
      <c r="AC825" s="214"/>
    </row>
    <row r="826">
      <c r="A826" s="222"/>
      <c r="D826" s="232" t="s">
        <v>126</v>
      </c>
      <c r="E826" s="232">
        <v>1.0</v>
      </c>
      <c r="F826" s="233"/>
      <c r="G826" s="233"/>
      <c r="H826" s="234" t="s">
        <v>127</v>
      </c>
      <c r="I826" s="235" t="s">
        <v>105</v>
      </c>
      <c r="J826" s="214"/>
      <c r="K826" s="214"/>
      <c r="L826" s="214"/>
      <c r="M826" s="214"/>
      <c r="N826" s="214"/>
      <c r="O826" s="214"/>
      <c r="P826" s="214"/>
      <c r="Q826" s="214"/>
      <c r="R826" s="214"/>
      <c r="S826" s="214"/>
      <c r="T826" s="214"/>
      <c r="U826" s="214"/>
      <c r="V826" s="214"/>
      <c r="W826" s="214"/>
      <c r="X826" s="214"/>
      <c r="Y826" s="214"/>
      <c r="Z826" s="214"/>
      <c r="AA826" s="214"/>
      <c r="AB826" s="214"/>
      <c r="AC826" s="214"/>
    </row>
    <row r="827">
      <c r="A827" s="236"/>
      <c r="B827" s="237"/>
      <c r="C827" s="237"/>
      <c r="D827" s="459" t="s">
        <v>137</v>
      </c>
      <c r="E827" s="459">
        <v>1.0</v>
      </c>
      <c r="F827" s="404"/>
      <c r="G827" s="288"/>
      <c r="H827" s="460" t="s">
        <v>138</v>
      </c>
      <c r="I827" s="461" t="s">
        <v>105</v>
      </c>
      <c r="J827" s="214"/>
      <c r="K827" s="214"/>
      <c r="L827" s="214"/>
      <c r="M827" s="214"/>
      <c r="N827" s="214"/>
      <c r="O827" s="214"/>
      <c r="P827" s="214"/>
      <c r="Q827" s="214"/>
      <c r="R827" s="214"/>
      <c r="S827" s="214"/>
      <c r="T827" s="214"/>
      <c r="U827" s="214"/>
      <c r="V827" s="214"/>
      <c r="W827" s="214"/>
      <c r="X827" s="214"/>
      <c r="Y827" s="214"/>
      <c r="Z827" s="214"/>
      <c r="AA827" s="214"/>
      <c r="AB827" s="214"/>
      <c r="AC827" s="214"/>
    </row>
    <row r="828">
      <c r="A828" s="215" t="s">
        <v>599</v>
      </c>
      <c r="B828" s="243" t="s">
        <v>600</v>
      </c>
      <c r="C828" s="589">
        <f>sum(E828:E832)</f>
        <v>8</v>
      </c>
      <c r="D828" s="245" t="s">
        <v>58</v>
      </c>
      <c r="E828" s="245">
        <v>1.0</v>
      </c>
      <c r="F828" s="246"/>
      <c r="G828" s="246"/>
      <c r="H828" s="247" t="s">
        <v>59</v>
      </c>
      <c r="I828" s="248" t="s">
        <v>43</v>
      </c>
      <c r="J828" s="214"/>
      <c r="K828" s="214"/>
      <c r="L828" s="214"/>
      <c r="M828" s="214"/>
      <c r="N828" s="214"/>
      <c r="O828" s="214"/>
      <c r="P828" s="214"/>
      <c r="Q828" s="214"/>
      <c r="R828" s="214"/>
      <c r="S828" s="214"/>
      <c r="T828" s="214"/>
      <c r="U828" s="214"/>
      <c r="V828" s="214"/>
      <c r="W828" s="214"/>
      <c r="X828" s="214"/>
      <c r="Y828" s="214"/>
      <c r="Z828" s="214"/>
      <c r="AA828" s="214"/>
      <c r="AB828" s="214"/>
      <c r="AC828" s="214"/>
    </row>
    <row r="829">
      <c r="A829" s="222"/>
      <c r="D829" s="232" t="s">
        <v>123</v>
      </c>
      <c r="E829" s="232">
        <v>1.0</v>
      </c>
      <c r="F829" s="233"/>
      <c r="G829" s="233"/>
      <c r="H829" s="234" t="s">
        <v>124</v>
      </c>
      <c r="I829" s="602" t="s">
        <v>105</v>
      </c>
      <c r="J829" s="326"/>
      <c r="K829" s="214"/>
      <c r="L829" s="214"/>
      <c r="M829" s="214"/>
      <c r="N829" s="214"/>
      <c r="O829" s="214"/>
      <c r="P829" s="214"/>
      <c r="Q829" s="214"/>
      <c r="R829" s="214"/>
      <c r="S829" s="214"/>
      <c r="T829" s="214"/>
      <c r="U829" s="214"/>
      <c r="V829" s="214"/>
      <c r="W829" s="214"/>
      <c r="X829" s="214"/>
      <c r="Y829" s="214"/>
      <c r="Z829" s="214"/>
      <c r="AA829" s="214"/>
      <c r="AB829" s="214"/>
      <c r="AC829" s="214"/>
    </row>
    <row r="830">
      <c r="A830" s="222"/>
      <c r="D830" s="299" t="s">
        <v>147</v>
      </c>
      <c r="E830" s="299">
        <v>3.0</v>
      </c>
      <c r="F830" s="251"/>
      <c r="G830" s="251"/>
      <c r="H830" s="312" t="s">
        <v>145</v>
      </c>
      <c r="I830" s="300" t="s">
        <v>144</v>
      </c>
      <c r="J830" s="214"/>
      <c r="K830" s="214"/>
      <c r="L830" s="214"/>
      <c r="M830" s="214"/>
      <c r="N830" s="214"/>
      <c r="O830" s="214"/>
      <c r="P830" s="214"/>
      <c r="Q830" s="214"/>
      <c r="R830" s="214"/>
      <c r="S830" s="214"/>
      <c r="T830" s="214"/>
      <c r="U830" s="214"/>
      <c r="V830" s="214"/>
      <c r="W830" s="214"/>
      <c r="X830" s="214"/>
      <c r="Y830" s="214"/>
      <c r="Z830" s="214"/>
      <c r="AA830" s="214"/>
      <c r="AB830" s="214"/>
      <c r="AC830" s="214"/>
    </row>
    <row r="831">
      <c r="A831" s="222"/>
      <c r="D831" s="271" t="s">
        <v>162</v>
      </c>
      <c r="E831" s="271">
        <v>2.0</v>
      </c>
      <c r="F831" s="272"/>
      <c r="G831" s="272"/>
      <c r="H831" s="273" t="s">
        <v>164</v>
      </c>
      <c r="I831" s="274" t="s">
        <v>163</v>
      </c>
      <c r="J831" s="214"/>
      <c r="K831" s="214"/>
      <c r="L831" s="214"/>
      <c r="M831" s="214"/>
      <c r="N831" s="214"/>
      <c r="O831" s="214"/>
      <c r="P831" s="214"/>
      <c r="Q831" s="214"/>
      <c r="R831" s="214"/>
      <c r="S831" s="214"/>
      <c r="T831" s="214"/>
      <c r="U831" s="214"/>
      <c r="V831" s="214"/>
      <c r="W831" s="214"/>
      <c r="X831" s="214"/>
      <c r="Y831" s="214"/>
      <c r="Z831" s="214"/>
      <c r="AA831" s="214"/>
      <c r="AB831" s="214"/>
      <c r="AC831" s="214"/>
    </row>
    <row r="832">
      <c r="A832" s="236"/>
      <c r="B832" s="237"/>
      <c r="C832" s="237"/>
      <c r="D832" s="256" t="s">
        <v>185</v>
      </c>
      <c r="E832" s="256">
        <v>1.0</v>
      </c>
      <c r="F832" s="301"/>
      <c r="G832" s="301"/>
      <c r="H832" s="258" t="s">
        <v>187</v>
      </c>
      <c r="I832" s="315" t="s">
        <v>186</v>
      </c>
      <c r="J832" s="214"/>
      <c r="K832" s="214"/>
      <c r="L832" s="214"/>
      <c r="M832" s="214"/>
      <c r="N832" s="214"/>
      <c r="O832" s="214"/>
      <c r="P832" s="214"/>
      <c r="Q832" s="214"/>
      <c r="R832" s="214"/>
      <c r="S832" s="214"/>
      <c r="T832" s="214"/>
      <c r="U832" s="214"/>
      <c r="V832" s="214"/>
      <c r="W832" s="214"/>
      <c r="X832" s="214"/>
      <c r="Y832" s="214"/>
      <c r="Z832" s="214"/>
      <c r="AA832" s="214"/>
      <c r="AB832" s="214"/>
      <c r="AC832" s="214"/>
    </row>
    <row r="833">
      <c r="A833" s="242" t="s">
        <v>601</v>
      </c>
      <c r="B833" s="216" t="s">
        <v>602</v>
      </c>
      <c r="C833" s="589">
        <f>sum(E833:E835)</f>
        <v>8</v>
      </c>
      <c r="D833" s="292" t="s">
        <v>64</v>
      </c>
      <c r="E833" s="292">
        <v>3.0</v>
      </c>
      <c r="F833" s="293"/>
      <c r="G833" s="324"/>
      <c r="H833" s="294" t="s">
        <v>66</v>
      </c>
      <c r="I833" s="295" t="s">
        <v>65</v>
      </c>
      <c r="J833" s="214"/>
      <c r="K833" s="214"/>
      <c r="L833" s="214"/>
      <c r="M833" s="214"/>
      <c r="N833" s="214"/>
      <c r="O833" s="214"/>
      <c r="P833" s="214"/>
      <c r="Q833" s="214"/>
      <c r="R833" s="214"/>
      <c r="S833" s="214"/>
      <c r="T833" s="214"/>
      <c r="U833" s="214"/>
      <c r="V833" s="214"/>
      <c r="W833" s="214"/>
      <c r="X833" s="214"/>
      <c r="Y833" s="214"/>
      <c r="Z833" s="214"/>
      <c r="AA833" s="214"/>
      <c r="AB833" s="214"/>
      <c r="AC833" s="214"/>
    </row>
    <row r="834">
      <c r="A834" s="222"/>
      <c r="D834" s="333" t="s">
        <v>101</v>
      </c>
      <c r="E834" s="333">
        <v>2.0</v>
      </c>
      <c r="F834" s="276"/>
      <c r="G834" s="276"/>
      <c r="H834" s="334" t="s">
        <v>102</v>
      </c>
      <c r="I834" s="278" t="s">
        <v>98</v>
      </c>
      <c r="J834" s="214"/>
      <c r="K834" s="214"/>
      <c r="L834" s="214"/>
      <c r="M834" s="214"/>
      <c r="N834" s="214"/>
      <c r="O834" s="214"/>
      <c r="P834" s="214"/>
      <c r="Q834" s="214"/>
      <c r="R834" s="214"/>
      <c r="S834" s="214"/>
      <c r="T834" s="214"/>
      <c r="U834" s="214"/>
      <c r="V834" s="214"/>
      <c r="W834" s="214"/>
      <c r="X834" s="214"/>
      <c r="Y834" s="214"/>
      <c r="Z834" s="214"/>
      <c r="AA834" s="214"/>
      <c r="AB834" s="214"/>
      <c r="AC834" s="214"/>
    </row>
    <row r="835">
      <c r="A835" s="236"/>
      <c r="B835" s="237"/>
      <c r="C835" s="237"/>
      <c r="D835" s="345" t="s">
        <v>182</v>
      </c>
      <c r="E835" s="345">
        <v>3.0</v>
      </c>
      <c r="F835" s="401"/>
      <c r="G835" s="346"/>
      <c r="H835" s="347" t="s">
        <v>183</v>
      </c>
      <c r="I835" s="348" t="s">
        <v>176</v>
      </c>
      <c r="J835" s="214"/>
      <c r="K835" s="214"/>
      <c r="L835" s="214"/>
      <c r="M835" s="214"/>
      <c r="N835" s="214"/>
      <c r="O835" s="214"/>
      <c r="P835" s="214"/>
      <c r="Q835" s="214"/>
      <c r="R835" s="214"/>
      <c r="S835" s="214"/>
      <c r="T835" s="214"/>
      <c r="U835" s="214"/>
      <c r="V835" s="214"/>
      <c r="W835" s="214"/>
      <c r="X835" s="214"/>
      <c r="Y835" s="214"/>
      <c r="Z835" s="214"/>
      <c r="AA835" s="214"/>
      <c r="AB835" s="214"/>
      <c r="AC835" s="214"/>
    </row>
    <row r="836">
      <c r="A836" s="242" t="s">
        <v>603</v>
      </c>
      <c r="B836" s="243" t="s">
        <v>604</v>
      </c>
      <c r="C836" s="589">
        <f>sum(E836:E839)</f>
        <v>8</v>
      </c>
      <c r="D836" s="292" t="s">
        <v>229</v>
      </c>
      <c r="E836" s="292">
        <v>2.0</v>
      </c>
      <c r="F836" s="324"/>
      <c r="G836" s="324"/>
      <c r="H836" s="294" t="s">
        <v>69</v>
      </c>
      <c r="I836" s="295" t="s">
        <v>65</v>
      </c>
      <c r="J836" s="214"/>
      <c r="K836" s="214"/>
      <c r="L836" s="214"/>
      <c r="M836" s="214"/>
      <c r="N836" s="214"/>
      <c r="O836" s="214"/>
      <c r="P836" s="214"/>
      <c r="Q836" s="214"/>
      <c r="R836" s="214"/>
      <c r="S836" s="214"/>
      <c r="T836" s="214"/>
      <c r="U836" s="214"/>
      <c r="V836" s="214"/>
      <c r="W836" s="214"/>
      <c r="X836" s="214"/>
      <c r="Y836" s="214"/>
      <c r="Z836" s="214"/>
      <c r="AA836" s="214"/>
      <c r="AB836" s="214"/>
      <c r="AC836" s="214"/>
    </row>
    <row r="837">
      <c r="A837" s="222"/>
      <c r="D837" s="260" t="s">
        <v>79</v>
      </c>
      <c r="E837" s="260">
        <v>2.0</v>
      </c>
      <c r="F837" s="261"/>
      <c r="G837" s="261"/>
      <c r="H837" s="262" t="s">
        <v>80</v>
      </c>
      <c r="I837" s="263" t="s">
        <v>65</v>
      </c>
      <c r="J837" s="214"/>
      <c r="K837" s="214"/>
      <c r="L837" s="214"/>
      <c r="M837" s="214"/>
      <c r="N837" s="214"/>
      <c r="O837" s="214"/>
      <c r="P837" s="214"/>
      <c r="Q837" s="214"/>
      <c r="R837" s="214"/>
      <c r="S837" s="214"/>
      <c r="T837" s="214"/>
      <c r="U837" s="214"/>
      <c r="V837" s="214"/>
      <c r="W837" s="214"/>
      <c r="X837" s="214"/>
      <c r="Y837" s="214"/>
      <c r="Z837" s="214"/>
      <c r="AA837" s="214"/>
      <c r="AB837" s="214"/>
      <c r="AC837" s="214"/>
    </row>
    <row r="838">
      <c r="A838" s="222"/>
      <c r="D838" s="275" t="s">
        <v>97</v>
      </c>
      <c r="E838" s="275">
        <v>2.0</v>
      </c>
      <c r="F838" s="296"/>
      <c r="G838" s="276"/>
      <c r="H838" s="277" t="s">
        <v>99</v>
      </c>
      <c r="I838" s="297" t="s">
        <v>98</v>
      </c>
      <c r="J838" s="214"/>
      <c r="K838" s="214"/>
      <c r="L838" s="214"/>
      <c r="M838" s="214"/>
      <c r="N838" s="214"/>
      <c r="O838" s="214"/>
      <c r="P838" s="214"/>
      <c r="Q838" s="214"/>
      <c r="R838" s="214"/>
      <c r="S838" s="214"/>
      <c r="T838" s="214"/>
      <c r="U838" s="214"/>
      <c r="V838" s="214"/>
      <c r="W838" s="214"/>
      <c r="X838" s="214"/>
      <c r="Y838" s="214"/>
      <c r="Z838" s="214"/>
      <c r="AA838" s="214"/>
      <c r="AB838" s="214"/>
      <c r="AC838" s="214"/>
    </row>
    <row r="839">
      <c r="A839" s="236"/>
      <c r="B839" s="237"/>
      <c r="C839" s="237"/>
      <c r="D839" s="264" t="s">
        <v>162</v>
      </c>
      <c r="E839" s="264">
        <v>2.0</v>
      </c>
      <c r="F839" s="265"/>
      <c r="G839" s="479"/>
      <c r="H839" s="266" t="s">
        <v>164</v>
      </c>
      <c r="I839" s="267" t="s">
        <v>163</v>
      </c>
      <c r="J839" s="214"/>
      <c r="K839" s="214"/>
      <c r="L839" s="214"/>
      <c r="M839" s="214"/>
      <c r="N839" s="214"/>
      <c r="O839" s="214"/>
      <c r="P839" s="214"/>
      <c r="Q839" s="214"/>
      <c r="R839" s="214"/>
      <c r="S839" s="214"/>
      <c r="T839" s="214"/>
      <c r="U839" s="214"/>
      <c r="V839" s="214"/>
      <c r="W839" s="214"/>
      <c r="X839" s="214"/>
      <c r="Y839" s="214"/>
      <c r="Z839" s="214"/>
      <c r="AA839" s="214"/>
      <c r="AB839" s="214"/>
      <c r="AC839" s="214"/>
    </row>
    <row r="840">
      <c r="A840" s="242" t="s">
        <v>605</v>
      </c>
      <c r="B840" s="243" t="s">
        <v>296</v>
      </c>
      <c r="C840" s="589">
        <f>sum(E840:E845)</f>
        <v>8</v>
      </c>
      <c r="D840" s="603" t="s">
        <v>22</v>
      </c>
      <c r="E840" s="426">
        <v>1.0</v>
      </c>
      <c r="F840" s="397"/>
      <c r="G840" s="397"/>
      <c r="H840" s="427" t="s">
        <v>265</v>
      </c>
      <c r="I840" s="428" t="s">
        <v>23</v>
      </c>
      <c r="J840" s="214"/>
      <c r="K840" s="214"/>
      <c r="L840" s="214"/>
      <c r="M840" s="214"/>
      <c r="N840" s="214"/>
      <c r="O840" s="214"/>
      <c r="P840" s="214"/>
      <c r="Q840" s="214"/>
      <c r="R840" s="214"/>
      <c r="S840" s="214"/>
      <c r="T840" s="214"/>
      <c r="U840" s="214"/>
      <c r="V840" s="214"/>
      <c r="W840" s="214"/>
      <c r="X840" s="214"/>
      <c r="Y840" s="214"/>
      <c r="Z840" s="214"/>
      <c r="AA840" s="214"/>
      <c r="AB840" s="214"/>
      <c r="AC840" s="214"/>
    </row>
    <row r="841">
      <c r="A841" s="222"/>
      <c r="D841" s="299" t="s">
        <v>150</v>
      </c>
      <c r="E841" s="299">
        <v>2.0</v>
      </c>
      <c r="F841" s="250"/>
      <c r="G841" s="250"/>
      <c r="H841" s="312" t="s">
        <v>151</v>
      </c>
      <c r="I841" s="604" t="s">
        <v>144</v>
      </c>
      <c r="J841" s="214"/>
      <c r="K841" s="214"/>
      <c r="L841" s="214"/>
      <c r="M841" s="214"/>
      <c r="N841" s="214"/>
      <c r="O841" s="214"/>
      <c r="P841" s="214"/>
      <c r="Q841" s="214"/>
      <c r="R841" s="214"/>
      <c r="S841" s="214"/>
      <c r="T841" s="214"/>
      <c r="U841" s="214"/>
      <c r="V841" s="214"/>
      <c r="W841" s="214"/>
      <c r="X841" s="214"/>
      <c r="Y841" s="214"/>
      <c r="Z841" s="214"/>
      <c r="AA841" s="214"/>
      <c r="AB841" s="214"/>
      <c r="AC841" s="214"/>
    </row>
    <row r="842">
      <c r="A842" s="222"/>
      <c r="D842" s="402" t="s">
        <v>606</v>
      </c>
      <c r="E842" s="402">
        <v>2.0</v>
      </c>
      <c r="F842" s="317"/>
      <c r="G842" s="272"/>
      <c r="H842" s="403" t="s">
        <v>607</v>
      </c>
      <c r="I842" s="393" t="s">
        <v>163</v>
      </c>
      <c r="J842" s="214"/>
      <c r="K842" s="214"/>
      <c r="L842" s="214"/>
      <c r="M842" s="214"/>
      <c r="N842" s="214"/>
      <c r="O842" s="214"/>
      <c r="P842" s="214"/>
      <c r="Q842" s="214"/>
      <c r="R842" s="214"/>
      <c r="S842" s="214"/>
      <c r="T842" s="214"/>
      <c r="U842" s="214"/>
      <c r="V842" s="214"/>
      <c r="W842" s="214"/>
      <c r="X842" s="214"/>
      <c r="Y842" s="214"/>
      <c r="Z842" s="214"/>
      <c r="AA842" s="214"/>
      <c r="AB842" s="214"/>
      <c r="AC842" s="214"/>
    </row>
    <row r="843">
      <c r="A843" s="222"/>
      <c r="D843" s="256" t="s">
        <v>185</v>
      </c>
      <c r="E843" s="256">
        <v>1.0</v>
      </c>
      <c r="F843" s="301"/>
      <c r="G843" s="257"/>
      <c r="H843" s="258" t="s">
        <v>187</v>
      </c>
      <c r="I843" s="259" t="s">
        <v>186</v>
      </c>
      <c r="J843" s="214"/>
      <c r="K843" s="214"/>
      <c r="L843" s="214"/>
      <c r="M843" s="214"/>
      <c r="N843" s="214"/>
      <c r="O843" s="214"/>
      <c r="P843" s="214"/>
      <c r="Q843" s="214"/>
      <c r="R843" s="214"/>
      <c r="S843" s="214"/>
      <c r="T843" s="214"/>
      <c r="U843" s="214"/>
      <c r="V843" s="214"/>
      <c r="W843" s="214"/>
      <c r="X843" s="214"/>
      <c r="Y843" s="214"/>
      <c r="Z843" s="214"/>
      <c r="AA843" s="214"/>
      <c r="AB843" s="214"/>
      <c r="AC843" s="214"/>
    </row>
    <row r="844">
      <c r="A844" s="222"/>
      <c r="D844" s="339" t="s">
        <v>123</v>
      </c>
      <c r="E844" s="339">
        <v>1.0</v>
      </c>
      <c r="F844" s="254"/>
      <c r="G844" s="233"/>
      <c r="H844" s="340" t="s">
        <v>124</v>
      </c>
      <c r="I844" s="235" t="s">
        <v>105</v>
      </c>
      <c r="J844" s="214"/>
      <c r="K844" s="214"/>
      <c r="L844" s="214"/>
      <c r="M844" s="214"/>
      <c r="N844" s="214"/>
      <c r="O844" s="214"/>
      <c r="P844" s="214"/>
      <c r="Q844" s="214"/>
      <c r="R844" s="214"/>
      <c r="S844" s="214"/>
      <c r="T844" s="214"/>
      <c r="U844" s="214"/>
      <c r="V844" s="214"/>
      <c r="W844" s="214"/>
      <c r="X844" s="214"/>
      <c r="Y844" s="214"/>
      <c r="Z844" s="214"/>
      <c r="AA844" s="214"/>
      <c r="AB844" s="214"/>
      <c r="AC844" s="214"/>
    </row>
    <row r="845">
      <c r="A845" s="236"/>
      <c r="B845" s="237"/>
      <c r="C845" s="237"/>
      <c r="D845" s="287" t="s">
        <v>126</v>
      </c>
      <c r="E845" s="287">
        <v>1.0</v>
      </c>
      <c r="F845" s="404"/>
      <c r="G845" s="288"/>
      <c r="H845" s="289" t="s">
        <v>127</v>
      </c>
      <c r="I845" s="605" t="s">
        <v>105</v>
      </c>
      <c r="J845" s="214"/>
      <c r="K845" s="214"/>
      <c r="L845" s="214"/>
      <c r="M845" s="214"/>
      <c r="N845" s="214"/>
      <c r="O845" s="214"/>
      <c r="P845" s="214"/>
      <c r="Q845" s="214"/>
      <c r="R845" s="214"/>
      <c r="S845" s="214"/>
      <c r="T845" s="214"/>
      <c r="U845" s="214"/>
      <c r="V845" s="214"/>
      <c r="W845" s="214"/>
      <c r="X845" s="214"/>
      <c r="Y845" s="214"/>
      <c r="Z845" s="214"/>
      <c r="AA845" s="214"/>
      <c r="AB845" s="214"/>
      <c r="AC845" s="214"/>
    </row>
    <row r="846">
      <c r="A846" s="408" t="s">
        <v>608</v>
      </c>
      <c r="B846" s="409" t="s">
        <v>609</v>
      </c>
      <c r="C846" s="595">
        <f>sum(E846:E849)</f>
        <v>8</v>
      </c>
      <c r="D846" s="227" t="s">
        <v>254</v>
      </c>
      <c r="E846" s="227">
        <v>2.0</v>
      </c>
      <c r="F846" s="327"/>
      <c r="G846" s="327"/>
      <c r="H846" s="229" t="s">
        <v>255</v>
      </c>
      <c r="I846" s="392" t="s">
        <v>7</v>
      </c>
      <c r="J846" s="214"/>
      <c r="K846" s="214"/>
      <c r="L846" s="214"/>
      <c r="M846" s="214"/>
      <c r="N846" s="214"/>
      <c r="O846" s="214"/>
      <c r="P846" s="214"/>
      <c r="Q846" s="214"/>
      <c r="R846" s="214"/>
      <c r="S846" s="214"/>
      <c r="T846" s="214"/>
      <c r="U846" s="214"/>
      <c r="V846" s="214"/>
      <c r="W846" s="214"/>
      <c r="X846" s="214"/>
      <c r="Y846" s="214"/>
      <c r="Z846" s="214"/>
      <c r="AA846" s="214"/>
      <c r="AB846" s="214"/>
      <c r="AC846" s="214"/>
    </row>
    <row r="847">
      <c r="A847" s="222"/>
      <c r="D847" s="387" t="s">
        <v>52</v>
      </c>
      <c r="E847" s="387">
        <v>1.0</v>
      </c>
      <c r="F847" s="316"/>
      <c r="G847" s="280"/>
      <c r="H847" s="388" t="s">
        <v>53</v>
      </c>
      <c r="I847" s="448" t="s">
        <v>43</v>
      </c>
      <c r="J847" s="214"/>
      <c r="K847" s="214"/>
      <c r="L847" s="214"/>
      <c r="M847" s="214"/>
      <c r="N847" s="214"/>
      <c r="O847" s="214"/>
      <c r="P847" s="214"/>
      <c r="Q847" s="214"/>
      <c r="R847" s="214"/>
      <c r="S847" s="214"/>
      <c r="T847" s="214"/>
      <c r="U847" s="214"/>
      <c r="V847" s="214"/>
      <c r="W847" s="214"/>
      <c r="X847" s="214"/>
      <c r="Y847" s="214"/>
      <c r="Z847" s="214"/>
      <c r="AA847" s="214"/>
      <c r="AB847" s="214"/>
      <c r="AC847" s="214"/>
    </row>
    <row r="848">
      <c r="A848" s="222"/>
      <c r="D848" s="402" t="s">
        <v>162</v>
      </c>
      <c r="E848" s="402">
        <v>2.0</v>
      </c>
      <c r="F848" s="272"/>
      <c r="G848" s="272"/>
      <c r="H848" s="403" t="s">
        <v>164</v>
      </c>
      <c r="I848" s="274" t="s">
        <v>163</v>
      </c>
      <c r="J848" s="214"/>
      <c r="K848" s="214"/>
      <c r="L848" s="214"/>
      <c r="M848" s="214"/>
      <c r="N848" s="214"/>
      <c r="O848" s="214"/>
      <c r="P848" s="214"/>
      <c r="Q848" s="214"/>
      <c r="R848" s="214"/>
      <c r="S848" s="214"/>
      <c r="T848" s="214"/>
      <c r="U848" s="214"/>
      <c r="V848" s="214"/>
      <c r="W848" s="214"/>
      <c r="X848" s="214"/>
      <c r="Y848" s="214"/>
      <c r="Z848" s="214"/>
      <c r="AA848" s="214"/>
      <c r="AB848" s="214"/>
      <c r="AC848" s="214"/>
    </row>
    <row r="849">
      <c r="A849" s="236"/>
      <c r="B849" s="237"/>
      <c r="C849" s="237"/>
      <c r="D849" s="360" t="s">
        <v>306</v>
      </c>
      <c r="E849" s="360">
        <v>3.0</v>
      </c>
      <c r="F849" s="517"/>
      <c r="G849" s="517"/>
      <c r="H849" s="362" t="s">
        <v>31</v>
      </c>
      <c r="I849" s="363" t="s">
        <v>30</v>
      </c>
      <c r="J849" s="214"/>
      <c r="K849" s="214"/>
      <c r="L849" s="214"/>
      <c r="M849" s="214"/>
      <c r="N849" s="214"/>
      <c r="O849" s="214"/>
      <c r="P849" s="214"/>
      <c r="Q849" s="214"/>
      <c r="R849" s="214"/>
      <c r="S849" s="214"/>
      <c r="T849" s="214"/>
      <c r="U849" s="214"/>
      <c r="V849" s="214"/>
      <c r="W849" s="214"/>
      <c r="X849" s="214"/>
      <c r="Y849" s="214"/>
      <c r="Z849" s="214"/>
      <c r="AA849" s="214"/>
      <c r="AB849" s="214"/>
      <c r="AC849" s="214"/>
    </row>
    <row r="850">
      <c r="A850" s="453" t="s">
        <v>610</v>
      </c>
      <c r="B850" s="422" t="s">
        <v>611</v>
      </c>
      <c r="C850" s="595">
        <f>sum(E850:E852)</f>
        <v>8</v>
      </c>
      <c r="D850" s="271" t="s">
        <v>162</v>
      </c>
      <c r="E850" s="271">
        <v>2.0</v>
      </c>
      <c r="F850" s="317"/>
      <c r="G850" s="272"/>
      <c r="H850" s="273" t="s">
        <v>164</v>
      </c>
      <c r="I850" s="274" t="s">
        <v>163</v>
      </c>
      <c r="J850" s="214"/>
      <c r="K850" s="214"/>
      <c r="L850" s="214"/>
      <c r="M850" s="214"/>
      <c r="N850" s="214"/>
      <c r="O850" s="214"/>
      <c r="P850" s="214"/>
      <c r="Q850" s="214"/>
      <c r="R850" s="214"/>
      <c r="S850" s="214"/>
      <c r="T850" s="214"/>
      <c r="U850" s="214"/>
      <c r="V850" s="214"/>
      <c r="W850" s="214"/>
      <c r="X850" s="214"/>
      <c r="Y850" s="214"/>
      <c r="Z850" s="214"/>
      <c r="AA850" s="214"/>
      <c r="AB850" s="214"/>
      <c r="AC850" s="214"/>
    </row>
    <row r="851">
      <c r="A851" s="222"/>
      <c r="D851" s="227" t="s">
        <v>254</v>
      </c>
      <c r="E851" s="227">
        <v>2.0</v>
      </c>
      <c r="F851" s="327"/>
      <c r="G851" s="327"/>
      <c r="H851" s="229" t="s">
        <v>255</v>
      </c>
      <c r="I851" s="392" t="s">
        <v>7</v>
      </c>
      <c r="J851" s="214"/>
      <c r="K851" s="214"/>
      <c r="L851" s="214"/>
      <c r="M851" s="214"/>
      <c r="N851" s="214"/>
      <c r="O851" s="214"/>
      <c r="P851" s="214"/>
      <c r="Q851" s="214"/>
      <c r="R851" s="214"/>
      <c r="S851" s="214"/>
      <c r="T851" s="214"/>
      <c r="U851" s="214"/>
      <c r="V851" s="214"/>
      <c r="W851" s="214"/>
      <c r="X851" s="214"/>
      <c r="Y851" s="214"/>
      <c r="Z851" s="214"/>
      <c r="AA851" s="214"/>
      <c r="AB851" s="214"/>
      <c r="AC851" s="214"/>
    </row>
    <row r="852">
      <c r="A852" s="236"/>
      <c r="B852" s="237"/>
      <c r="C852" s="237"/>
      <c r="D852" s="345" t="s">
        <v>175</v>
      </c>
      <c r="E852" s="400">
        <v>4.0</v>
      </c>
      <c r="F852" s="346"/>
      <c r="G852" s="346"/>
      <c r="H852" s="347" t="s">
        <v>232</v>
      </c>
      <c r="I852" s="226" t="s">
        <v>176</v>
      </c>
      <c r="J852" s="214"/>
      <c r="K852" s="214"/>
      <c r="L852" s="214"/>
      <c r="M852" s="214"/>
      <c r="N852" s="214"/>
      <c r="O852" s="214"/>
      <c r="P852" s="214"/>
      <c r="Q852" s="214"/>
      <c r="R852" s="214"/>
      <c r="S852" s="214"/>
      <c r="T852" s="214"/>
      <c r="U852" s="214"/>
      <c r="V852" s="214"/>
      <c r="W852" s="214"/>
      <c r="X852" s="214"/>
      <c r="Y852" s="214"/>
      <c r="Z852" s="214"/>
      <c r="AA852" s="214"/>
      <c r="AB852" s="214"/>
      <c r="AC852" s="214"/>
    </row>
    <row r="853">
      <c r="A853" s="242" t="s">
        <v>612</v>
      </c>
      <c r="B853" s="243" t="s">
        <v>613</v>
      </c>
      <c r="C853" s="589">
        <f>sum(E853:E858)</f>
        <v>8</v>
      </c>
      <c r="D853" s="487" t="s">
        <v>39</v>
      </c>
      <c r="E853" s="487">
        <v>1.0</v>
      </c>
      <c r="F853" s="489"/>
      <c r="G853" s="489"/>
      <c r="H853" s="490" t="s">
        <v>40</v>
      </c>
      <c r="I853" s="491" t="s">
        <v>30</v>
      </c>
      <c r="J853" s="214"/>
      <c r="K853" s="214"/>
      <c r="L853" s="214"/>
      <c r="M853" s="214"/>
      <c r="N853" s="214"/>
      <c r="O853" s="214"/>
      <c r="P853" s="214"/>
      <c r="Q853" s="214"/>
      <c r="R853" s="214"/>
      <c r="S853" s="214"/>
      <c r="T853" s="214"/>
      <c r="U853" s="214"/>
      <c r="V853" s="214"/>
      <c r="W853" s="214"/>
      <c r="X853" s="214"/>
      <c r="Y853" s="214"/>
      <c r="Z853" s="214"/>
      <c r="AA853" s="214"/>
      <c r="AB853" s="214"/>
      <c r="AC853" s="214"/>
    </row>
    <row r="854">
      <c r="A854" s="222"/>
      <c r="D854" s="279" t="s">
        <v>52</v>
      </c>
      <c r="E854" s="279">
        <v>1.0</v>
      </c>
      <c r="F854" s="280"/>
      <c r="G854" s="280"/>
      <c r="H854" s="281" t="s">
        <v>53</v>
      </c>
      <c r="I854" s="282" t="s">
        <v>43</v>
      </c>
      <c r="J854" s="214"/>
      <c r="K854" s="214"/>
      <c r="L854" s="214"/>
      <c r="M854" s="214"/>
      <c r="N854" s="214"/>
      <c r="O854" s="214"/>
      <c r="P854" s="214"/>
      <c r="Q854" s="214"/>
      <c r="R854" s="214"/>
      <c r="S854" s="214"/>
      <c r="T854" s="214"/>
      <c r="U854" s="214"/>
      <c r="V854" s="214"/>
      <c r="W854" s="214"/>
      <c r="X854" s="214"/>
      <c r="Y854" s="214"/>
      <c r="Z854" s="214"/>
      <c r="AA854" s="214"/>
      <c r="AB854" s="214"/>
      <c r="AC854" s="214"/>
    </row>
    <row r="855">
      <c r="A855" s="222"/>
      <c r="D855" s="286" t="s">
        <v>64</v>
      </c>
      <c r="E855" s="286">
        <v>3.0</v>
      </c>
      <c r="F855" s="261"/>
      <c r="G855" s="261"/>
      <c r="H855" s="262" t="s">
        <v>66</v>
      </c>
      <c r="I855" s="263" t="s">
        <v>65</v>
      </c>
      <c r="J855" s="214"/>
      <c r="K855" s="214"/>
      <c r="L855" s="214"/>
      <c r="M855" s="214"/>
      <c r="N855" s="214"/>
      <c r="O855" s="214"/>
      <c r="P855" s="214"/>
      <c r="Q855" s="214"/>
      <c r="R855" s="214"/>
      <c r="S855" s="214"/>
      <c r="T855" s="214"/>
      <c r="U855" s="214"/>
      <c r="V855" s="214"/>
      <c r="W855" s="214"/>
      <c r="X855" s="214"/>
      <c r="Y855" s="214"/>
      <c r="Z855" s="214"/>
      <c r="AA855" s="214"/>
      <c r="AB855" s="214"/>
      <c r="AC855" s="214"/>
    </row>
    <row r="856">
      <c r="A856" s="222"/>
      <c r="I856" s="368"/>
      <c r="J856" s="214"/>
      <c r="K856" s="214"/>
      <c r="L856" s="214"/>
      <c r="M856" s="214"/>
      <c r="N856" s="214"/>
      <c r="O856" s="214"/>
      <c r="P856" s="214"/>
      <c r="Q856" s="214"/>
      <c r="R856" s="214"/>
      <c r="S856" s="214"/>
      <c r="T856" s="214"/>
      <c r="U856" s="214"/>
      <c r="V856" s="214"/>
      <c r="W856" s="214"/>
      <c r="X856" s="214"/>
      <c r="Y856" s="214"/>
      <c r="Z856" s="214"/>
      <c r="AA856" s="214"/>
      <c r="AB856" s="214"/>
      <c r="AC856" s="214"/>
    </row>
    <row r="857">
      <c r="A857" s="222"/>
      <c r="D857" s="402" t="s">
        <v>166</v>
      </c>
      <c r="E857" s="402">
        <v>2.0</v>
      </c>
      <c r="F857" s="272"/>
      <c r="G857" s="272"/>
      <c r="H857" s="403" t="s">
        <v>167</v>
      </c>
      <c r="I857" s="274" t="s">
        <v>163</v>
      </c>
      <c r="J857" s="214"/>
      <c r="K857" s="214"/>
      <c r="L857" s="214"/>
      <c r="M857" s="214"/>
      <c r="N857" s="214"/>
      <c r="O857" s="214"/>
      <c r="P857" s="214"/>
      <c r="Q857" s="214"/>
      <c r="R857" s="214"/>
      <c r="S857" s="214"/>
      <c r="T857" s="214"/>
      <c r="U857" s="214"/>
      <c r="V857" s="214"/>
      <c r="W857" s="214"/>
      <c r="X857" s="214"/>
      <c r="Y857" s="214"/>
      <c r="Z857" s="214"/>
      <c r="AA857" s="214"/>
      <c r="AB857" s="214"/>
      <c r="AC857" s="214"/>
    </row>
    <row r="858">
      <c r="A858" s="236"/>
      <c r="B858" s="237"/>
      <c r="C858" s="237"/>
      <c r="D858" s="232" t="s">
        <v>111</v>
      </c>
      <c r="E858" s="232">
        <v>1.0</v>
      </c>
      <c r="F858" s="254"/>
      <c r="G858" s="254"/>
      <c r="H858" s="234" t="s">
        <v>112</v>
      </c>
      <c r="I858" s="255" t="s">
        <v>105</v>
      </c>
      <c r="J858" s="214"/>
      <c r="K858" s="214"/>
      <c r="L858" s="214"/>
      <c r="M858" s="214"/>
      <c r="N858" s="214"/>
      <c r="O858" s="214"/>
      <c r="P858" s="214"/>
      <c r="Q858" s="214"/>
      <c r="R858" s="214"/>
      <c r="S858" s="214"/>
      <c r="T858" s="214"/>
      <c r="U858" s="214"/>
      <c r="V858" s="214"/>
      <c r="W858" s="214"/>
      <c r="X858" s="214"/>
      <c r="Y858" s="214"/>
      <c r="Z858" s="214"/>
      <c r="AA858" s="214"/>
      <c r="AB858" s="214"/>
      <c r="AC858" s="214"/>
    </row>
    <row r="859">
      <c r="A859" s="242" t="s">
        <v>614</v>
      </c>
      <c r="B859" s="216" t="s">
        <v>586</v>
      </c>
      <c r="C859" s="589">
        <f>sum(E859:E863)</f>
        <v>8</v>
      </c>
      <c r="D859" s="335" t="s">
        <v>162</v>
      </c>
      <c r="E859" s="335">
        <v>2.0</v>
      </c>
      <c r="F859" s="336"/>
      <c r="G859" s="336"/>
      <c r="H859" s="337" t="s">
        <v>164</v>
      </c>
      <c r="I859" s="338" t="s">
        <v>163</v>
      </c>
      <c r="J859" s="214"/>
      <c r="K859" s="214"/>
      <c r="L859" s="214"/>
      <c r="M859" s="214"/>
      <c r="N859" s="214"/>
      <c r="O859" s="214"/>
      <c r="P859" s="214"/>
      <c r="Q859" s="214"/>
      <c r="R859" s="214"/>
      <c r="S859" s="214"/>
      <c r="T859" s="214"/>
      <c r="U859" s="214"/>
      <c r="V859" s="214"/>
      <c r="W859" s="214"/>
      <c r="X859" s="214"/>
      <c r="Y859" s="214"/>
      <c r="Z859" s="214"/>
      <c r="AA859" s="214"/>
      <c r="AB859" s="214"/>
      <c r="AC859" s="214"/>
    </row>
    <row r="860">
      <c r="A860" s="222"/>
      <c r="D860" s="279" t="s">
        <v>52</v>
      </c>
      <c r="E860" s="279">
        <v>1.0</v>
      </c>
      <c r="F860" s="316"/>
      <c r="G860" s="316"/>
      <c r="H860" s="281" t="s">
        <v>53</v>
      </c>
      <c r="I860" s="448" t="s">
        <v>43</v>
      </c>
      <c r="J860" s="214"/>
      <c r="K860" s="214"/>
      <c r="L860" s="214"/>
      <c r="M860" s="214"/>
      <c r="N860" s="214"/>
      <c r="O860" s="214"/>
      <c r="P860" s="214"/>
      <c r="Q860" s="214"/>
      <c r="R860" s="214"/>
      <c r="S860" s="214"/>
      <c r="T860" s="214"/>
      <c r="U860" s="214"/>
      <c r="V860" s="214"/>
      <c r="W860" s="214"/>
      <c r="X860" s="214"/>
      <c r="Y860" s="214"/>
      <c r="Z860" s="214"/>
      <c r="AA860" s="214"/>
      <c r="AB860" s="214"/>
      <c r="AC860" s="214"/>
    </row>
    <row r="861">
      <c r="A861" s="222"/>
      <c r="D861" s="369" t="s">
        <v>22</v>
      </c>
      <c r="E861" s="369">
        <v>2.0</v>
      </c>
      <c r="F861" s="370"/>
      <c r="G861" s="371"/>
      <c r="H861" s="372" t="s">
        <v>265</v>
      </c>
      <c r="I861" s="424" t="s">
        <v>23</v>
      </c>
      <c r="J861" s="214"/>
      <c r="K861" s="214"/>
      <c r="L861" s="214"/>
      <c r="M861" s="214"/>
      <c r="N861" s="214"/>
      <c r="O861" s="214"/>
      <c r="P861" s="214"/>
      <c r="Q861" s="214"/>
      <c r="R861" s="214"/>
      <c r="S861" s="214"/>
      <c r="T861" s="214"/>
      <c r="U861" s="214"/>
      <c r="V861" s="214"/>
      <c r="W861" s="214"/>
      <c r="X861" s="214"/>
      <c r="Y861" s="214"/>
      <c r="Z861" s="214"/>
      <c r="AA861" s="214"/>
      <c r="AB861" s="214"/>
      <c r="AC861" s="214"/>
    </row>
    <row r="862">
      <c r="A862" s="222"/>
      <c r="D862" s="232" t="s">
        <v>239</v>
      </c>
      <c r="E862" s="232">
        <v>1.0</v>
      </c>
      <c r="F862" s="254"/>
      <c r="G862" s="254"/>
      <c r="H862" s="234" t="s">
        <v>115</v>
      </c>
      <c r="I862" s="298" t="s">
        <v>105</v>
      </c>
      <c r="J862" s="214"/>
      <c r="K862" s="214"/>
      <c r="L862" s="214"/>
      <c r="M862" s="214"/>
      <c r="N862" s="214"/>
      <c r="O862" s="214"/>
      <c r="P862" s="214"/>
      <c r="Q862" s="214"/>
      <c r="R862" s="214"/>
      <c r="S862" s="214"/>
      <c r="T862" s="214"/>
      <c r="U862" s="214"/>
      <c r="V862" s="214"/>
      <c r="W862" s="214"/>
      <c r="X862" s="214"/>
      <c r="Y862" s="214"/>
      <c r="Z862" s="214"/>
      <c r="AA862" s="214"/>
      <c r="AB862" s="214"/>
      <c r="AC862" s="214"/>
    </row>
    <row r="863">
      <c r="A863" s="236"/>
      <c r="B863" s="237"/>
      <c r="C863" s="237"/>
      <c r="D863" s="351" t="s">
        <v>150</v>
      </c>
      <c r="E863" s="351">
        <v>2.0</v>
      </c>
      <c r="F863" s="321"/>
      <c r="G863" s="321"/>
      <c r="H863" s="352" t="s">
        <v>151</v>
      </c>
      <c r="I863" s="353" t="s">
        <v>144</v>
      </c>
      <c r="J863" s="214"/>
      <c r="K863" s="214"/>
      <c r="L863" s="214"/>
      <c r="M863" s="214"/>
      <c r="N863" s="214"/>
      <c r="O863" s="214"/>
      <c r="P863" s="214"/>
      <c r="Q863" s="214"/>
      <c r="R863" s="214"/>
      <c r="S863" s="214"/>
      <c r="T863" s="214"/>
      <c r="U863" s="214"/>
      <c r="V863" s="214"/>
      <c r="W863" s="214"/>
      <c r="X863" s="214"/>
      <c r="Y863" s="214"/>
      <c r="Z863" s="214"/>
      <c r="AA863" s="214"/>
      <c r="AB863" s="214"/>
      <c r="AC863" s="214"/>
    </row>
    <row r="864">
      <c r="A864" s="408" t="s">
        <v>615</v>
      </c>
      <c r="B864" s="409" t="s">
        <v>586</v>
      </c>
      <c r="C864" s="595">
        <f>sum(E864:E867)</f>
        <v>8</v>
      </c>
      <c r="D864" s="232" t="s">
        <v>137</v>
      </c>
      <c r="E864" s="232">
        <v>1.0</v>
      </c>
      <c r="F864" s="254"/>
      <c r="G864" s="233"/>
      <c r="H864" s="234" t="s">
        <v>138</v>
      </c>
      <c r="I864" s="235" t="s">
        <v>105</v>
      </c>
      <c r="J864" s="214"/>
      <c r="K864" s="214"/>
      <c r="L864" s="214"/>
      <c r="M864" s="214"/>
      <c r="N864" s="214"/>
      <c r="O864" s="214"/>
      <c r="P864" s="214"/>
      <c r="Q864" s="214"/>
      <c r="R864" s="214"/>
      <c r="S864" s="214"/>
      <c r="T864" s="214"/>
      <c r="U864" s="214"/>
      <c r="V864" s="214"/>
      <c r="W864" s="214"/>
      <c r="X864" s="214"/>
      <c r="Y864" s="214"/>
      <c r="Z864" s="214"/>
      <c r="AA864" s="214"/>
      <c r="AB864" s="214"/>
      <c r="AC864" s="214"/>
    </row>
    <row r="865">
      <c r="A865" s="222"/>
      <c r="D865" s="402" t="s">
        <v>162</v>
      </c>
      <c r="E865" s="402">
        <v>2.0</v>
      </c>
      <c r="F865" s="317"/>
      <c r="G865" s="272"/>
      <c r="H865" s="403" t="s">
        <v>164</v>
      </c>
      <c r="I865" s="393" t="s">
        <v>163</v>
      </c>
      <c r="J865" s="214"/>
      <c r="K865" s="214"/>
      <c r="L865" s="214"/>
      <c r="M865" s="214"/>
      <c r="N865" s="214"/>
      <c r="O865" s="214"/>
      <c r="P865" s="214"/>
      <c r="Q865" s="214"/>
      <c r="R865" s="214"/>
      <c r="S865" s="214"/>
      <c r="T865" s="214"/>
      <c r="U865" s="214"/>
      <c r="V865" s="214"/>
      <c r="W865" s="214"/>
      <c r="X865" s="214"/>
      <c r="Y865" s="214"/>
      <c r="Z865" s="214"/>
      <c r="AA865" s="214"/>
      <c r="AB865" s="214"/>
      <c r="AC865" s="214"/>
    </row>
    <row r="866">
      <c r="A866" s="222"/>
      <c r="D866" s="260" t="s">
        <v>64</v>
      </c>
      <c r="E866" s="260">
        <v>3.0</v>
      </c>
      <c r="F866" s="261"/>
      <c r="G866" s="261"/>
      <c r="H866" s="262" t="s">
        <v>66</v>
      </c>
      <c r="I866" s="263" t="s">
        <v>65</v>
      </c>
      <c r="J866" s="214"/>
      <c r="K866" s="214"/>
      <c r="L866" s="214"/>
      <c r="M866" s="214"/>
      <c r="N866" s="214"/>
      <c r="O866" s="214"/>
      <c r="P866" s="214"/>
      <c r="Q866" s="214"/>
      <c r="R866" s="214"/>
      <c r="S866" s="214"/>
      <c r="T866" s="214"/>
      <c r="U866" s="214"/>
      <c r="V866" s="214"/>
      <c r="W866" s="214"/>
      <c r="X866" s="214"/>
      <c r="Y866" s="214"/>
      <c r="Z866" s="214"/>
      <c r="AA866" s="214"/>
      <c r="AB866" s="214"/>
      <c r="AC866" s="214"/>
    </row>
    <row r="867">
      <c r="A867" s="236"/>
      <c r="B867" s="237"/>
      <c r="C867" s="237"/>
      <c r="D867" s="374" t="s">
        <v>6</v>
      </c>
      <c r="E867" s="374">
        <v>2.0</v>
      </c>
      <c r="F867" s="375"/>
      <c r="G867" s="375"/>
      <c r="H867" s="376" t="s">
        <v>8</v>
      </c>
      <c r="I867" s="606" t="s">
        <v>7</v>
      </c>
      <c r="J867" s="214"/>
      <c r="K867" s="214"/>
      <c r="L867" s="214"/>
      <c r="M867" s="214"/>
      <c r="N867" s="214"/>
      <c r="O867" s="214"/>
      <c r="P867" s="214"/>
      <c r="Q867" s="214"/>
      <c r="R867" s="214"/>
      <c r="S867" s="214"/>
      <c r="T867" s="214"/>
      <c r="U867" s="214"/>
      <c r="V867" s="214"/>
      <c r="W867" s="214"/>
      <c r="X867" s="214"/>
      <c r="Y867" s="214"/>
      <c r="Z867" s="214"/>
      <c r="AA867" s="214"/>
      <c r="AB867" s="214"/>
      <c r="AC867" s="214"/>
    </row>
    <row r="868">
      <c r="A868" s="215" t="s">
        <v>616</v>
      </c>
      <c r="B868" s="216" t="s">
        <v>617</v>
      </c>
      <c r="C868" s="589">
        <f>sum(E868:E872)</f>
        <v>8</v>
      </c>
      <c r="D868" s="308" t="s">
        <v>120</v>
      </c>
      <c r="E868" s="308">
        <v>1.0</v>
      </c>
      <c r="F868" s="309"/>
      <c r="G868" s="309"/>
      <c r="H868" s="310" t="s">
        <v>121</v>
      </c>
      <c r="I868" s="311" t="s">
        <v>105</v>
      </c>
      <c r="J868" s="214"/>
      <c r="K868" s="214"/>
      <c r="L868" s="214"/>
      <c r="M868" s="214"/>
      <c r="N868" s="214"/>
      <c r="O868" s="214"/>
      <c r="P868" s="214"/>
      <c r="Q868" s="214"/>
      <c r="R868" s="214"/>
      <c r="S868" s="214"/>
      <c r="T868" s="214"/>
      <c r="U868" s="214"/>
      <c r="V868" s="214"/>
      <c r="W868" s="214"/>
      <c r="X868" s="214"/>
      <c r="Y868" s="214"/>
      <c r="Z868" s="214"/>
      <c r="AA868" s="214"/>
      <c r="AB868" s="214"/>
      <c r="AC868" s="214"/>
    </row>
    <row r="869">
      <c r="A869" s="222"/>
      <c r="D869" s="506" t="s">
        <v>22</v>
      </c>
      <c r="E869" s="506">
        <v>2.0</v>
      </c>
      <c r="F869" s="370"/>
      <c r="G869" s="371"/>
      <c r="H869" s="507" t="s">
        <v>265</v>
      </c>
      <c r="I869" s="424" t="s">
        <v>23</v>
      </c>
      <c r="J869" s="214"/>
      <c r="K869" s="214"/>
      <c r="L869" s="214"/>
      <c r="M869" s="214"/>
      <c r="N869" s="214"/>
      <c r="O869" s="214"/>
      <c r="P869" s="214"/>
      <c r="Q869" s="214"/>
      <c r="R869" s="214"/>
      <c r="S869" s="214"/>
      <c r="T869" s="214"/>
      <c r="U869" s="214"/>
      <c r="V869" s="214"/>
      <c r="W869" s="214"/>
      <c r="X869" s="214"/>
      <c r="Y869" s="214"/>
      <c r="Z869" s="214"/>
      <c r="AA869" s="214"/>
      <c r="AB869" s="214"/>
      <c r="AC869" s="214"/>
    </row>
    <row r="870">
      <c r="A870" s="222"/>
      <c r="D870" s="232" t="s">
        <v>123</v>
      </c>
      <c r="E870" s="232">
        <v>1.0</v>
      </c>
      <c r="F870" s="254"/>
      <c r="G870" s="254"/>
      <c r="H870" s="234" t="s">
        <v>124</v>
      </c>
      <c r="I870" s="235" t="s">
        <v>105</v>
      </c>
      <c r="J870" s="214"/>
      <c r="K870" s="214"/>
      <c r="L870" s="214"/>
      <c r="M870" s="214"/>
      <c r="N870" s="214"/>
      <c r="O870" s="214"/>
      <c r="P870" s="214"/>
      <c r="Q870" s="214"/>
      <c r="R870" s="214"/>
      <c r="S870" s="214"/>
      <c r="T870" s="214"/>
      <c r="U870" s="214"/>
      <c r="V870" s="214"/>
      <c r="W870" s="214"/>
      <c r="X870" s="214"/>
      <c r="Y870" s="214"/>
      <c r="Z870" s="214"/>
      <c r="AA870" s="214"/>
      <c r="AB870" s="214"/>
      <c r="AC870" s="214"/>
    </row>
    <row r="871">
      <c r="A871" s="222"/>
      <c r="D871" s="271" t="s">
        <v>162</v>
      </c>
      <c r="E871" s="271">
        <v>2.0</v>
      </c>
      <c r="F871" s="317"/>
      <c r="G871" s="317"/>
      <c r="H871" s="273" t="s">
        <v>164</v>
      </c>
      <c r="I871" s="393" t="s">
        <v>163</v>
      </c>
      <c r="J871" s="214"/>
      <c r="K871" s="214"/>
      <c r="L871" s="214"/>
      <c r="M871" s="214"/>
      <c r="N871" s="214"/>
      <c r="O871" s="214"/>
      <c r="P871" s="214"/>
      <c r="Q871" s="214"/>
      <c r="R871" s="214"/>
      <c r="S871" s="214"/>
      <c r="T871" s="214"/>
      <c r="U871" s="214"/>
      <c r="V871" s="214"/>
      <c r="W871" s="214"/>
      <c r="X871" s="214"/>
      <c r="Y871" s="214"/>
      <c r="Z871" s="214"/>
      <c r="AA871" s="214"/>
      <c r="AB871" s="214"/>
      <c r="AC871" s="214"/>
    </row>
    <row r="872">
      <c r="A872" s="236"/>
      <c r="B872" s="237"/>
      <c r="C872" s="237"/>
      <c r="D872" s="238" t="s">
        <v>70</v>
      </c>
      <c r="E872" s="238">
        <v>2.0</v>
      </c>
      <c r="F872" s="477"/>
      <c r="G872" s="239"/>
      <c r="H872" s="446" t="s">
        <v>237</v>
      </c>
      <c r="I872" s="241" t="s">
        <v>65</v>
      </c>
      <c r="J872" s="214"/>
      <c r="K872" s="214"/>
      <c r="L872" s="214"/>
      <c r="M872" s="214"/>
      <c r="N872" s="214"/>
      <c r="O872" s="214"/>
      <c r="P872" s="214"/>
      <c r="Q872" s="214"/>
      <c r="R872" s="214"/>
      <c r="S872" s="214"/>
      <c r="T872" s="214"/>
      <c r="U872" s="214"/>
      <c r="V872" s="214"/>
      <c r="W872" s="214"/>
      <c r="X872" s="214"/>
      <c r="Y872" s="214"/>
      <c r="Z872" s="214"/>
      <c r="AA872" s="214"/>
      <c r="AB872" s="214"/>
      <c r="AC872" s="214"/>
    </row>
    <row r="873">
      <c r="A873" s="242" t="s">
        <v>618</v>
      </c>
      <c r="B873" s="243" t="s">
        <v>619</v>
      </c>
      <c r="C873" s="589">
        <f>sum(E873:E877)</f>
        <v>8</v>
      </c>
      <c r="D873" s="292" t="s">
        <v>88</v>
      </c>
      <c r="E873" s="292">
        <v>1.0</v>
      </c>
      <c r="F873" s="324"/>
      <c r="G873" s="324"/>
      <c r="H873" s="486" t="s">
        <v>89</v>
      </c>
      <c r="I873" s="295" t="s">
        <v>65</v>
      </c>
      <c r="J873" s="214"/>
      <c r="K873" s="214"/>
      <c r="L873" s="214"/>
      <c r="M873" s="214"/>
      <c r="N873" s="214"/>
      <c r="O873" s="214"/>
      <c r="P873" s="214"/>
      <c r="Q873" s="214"/>
      <c r="R873" s="214"/>
      <c r="S873" s="214"/>
      <c r="T873" s="214"/>
      <c r="U873" s="214"/>
      <c r="V873" s="214"/>
      <c r="W873" s="214"/>
      <c r="X873" s="214"/>
      <c r="Y873" s="214"/>
      <c r="Z873" s="214"/>
      <c r="AA873" s="214"/>
      <c r="AB873" s="214"/>
      <c r="AC873" s="214"/>
    </row>
    <row r="874">
      <c r="A874" s="222"/>
      <c r="D874" s="333" t="s">
        <v>97</v>
      </c>
      <c r="E874" s="333">
        <v>2.0</v>
      </c>
      <c r="F874" s="276"/>
      <c r="G874" s="276"/>
      <c r="H874" s="334" t="s">
        <v>99</v>
      </c>
      <c r="I874" s="278" t="s">
        <v>98</v>
      </c>
      <c r="J874" s="214"/>
      <c r="K874" s="214"/>
      <c r="L874" s="214"/>
      <c r="M874" s="214"/>
      <c r="N874" s="214"/>
      <c r="O874" s="214"/>
      <c r="P874" s="214"/>
      <c r="Q874" s="214"/>
      <c r="R874" s="214"/>
      <c r="S874" s="214"/>
      <c r="T874" s="214"/>
      <c r="U874" s="214"/>
      <c r="V874" s="214"/>
      <c r="W874" s="214"/>
      <c r="X874" s="214"/>
      <c r="Y874" s="214"/>
      <c r="Z874" s="214"/>
      <c r="AA874" s="214"/>
      <c r="AB874" s="214"/>
      <c r="AC874" s="214"/>
    </row>
    <row r="875">
      <c r="A875" s="222"/>
      <c r="D875" s="299" t="s">
        <v>159</v>
      </c>
      <c r="E875" s="299">
        <v>1.0</v>
      </c>
      <c r="F875" s="251"/>
      <c r="G875" s="251"/>
      <c r="H875" s="312" t="s">
        <v>160</v>
      </c>
      <c r="I875" s="300" t="s">
        <v>144</v>
      </c>
      <c r="J875" s="214"/>
      <c r="K875" s="214"/>
      <c r="L875" s="214"/>
      <c r="M875" s="214"/>
      <c r="N875" s="214"/>
      <c r="O875" s="214"/>
      <c r="P875" s="214"/>
      <c r="Q875" s="214"/>
      <c r="R875" s="214"/>
      <c r="S875" s="214"/>
      <c r="T875" s="214"/>
      <c r="U875" s="214"/>
      <c r="V875" s="214"/>
      <c r="W875" s="214"/>
      <c r="X875" s="214"/>
      <c r="Y875" s="214"/>
      <c r="Z875" s="214"/>
      <c r="AA875" s="214"/>
      <c r="AB875" s="214"/>
      <c r="AC875" s="214"/>
    </row>
    <row r="876">
      <c r="A876" s="222"/>
      <c r="D876" s="402" t="s">
        <v>162</v>
      </c>
      <c r="E876" s="271">
        <v>2.0</v>
      </c>
      <c r="F876" s="272"/>
      <c r="G876" s="272"/>
      <c r="H876" s="403" t="s">
        <v>164</v>
      </c>
      <c r="I876" s="274" t="s">
        <v>163</v>
      </c>
      <c r="J876" s="214"/>
      <c r="K876" s="214"/>
      <c r="L876" s="214"/>
      <c r="M876" s="214"/>
      <c r="N876" s="214"/>
      <c r="O876" s="214"/>
      <c r="P876" s="214"/>
      <c r="Q876" s="214"/>
      <c r="R876" s="214"/>
      <c r="S876" s="214"/>
      <c r="T876" s="214"/>
      <c r="U876" s="214"/>
      <c r="V876" s="214"/>
      <c r="W876" s="214"/>
      <c r="X876" s="214"/>
      <c r="Y876" s="214"/>
      <c r="Z876" s="214"/>
      <c r="AA876" s="214"/>
      <c r="AB876" s="214"/>
      <c r="AC876" s="214"/>
    </row>
    <row r="877">
      <c r="A877" s="236"/>
      <c r="B877" s="237"/>
      <c r="C877" s="237"/>
      <c r="D877" s="287" t="s">
        <v>108</v>
      </c>
      <c r="E877" s="287">
        <v>2.0</v>
      </c>
      <c r="F877" s="288"/>
      <c r="G877" s="288"/>
      <c r="H877" s="289" t="s">
        <v>109</v>
      </c>
      <c r="I877" s="605" t="s">
        <v>105</v>
      </c>
      <c r="J877" s="214"/>
      <c r="K877" s="214"/>
      <c r="L877" s="214"/>
      <c r="M877" s="214"/>
      <c r="N877" s="214"/>
      <c r="O877" s="214"/>
      <c r="P877" s="214"/>
      <c r="Q877" s="214"/>
      <c r="R877" s="214"/>
      <c r="S877" s="214"/>
      <c r="T877" s="214"/>
      <c r="U877" s="214"/>
      <c r="V877" s="214"/>
      <c r="W877" s="214"/>
      <c r="X877" s="214"/>
      <c r="Y877" s="214"/>
      <c r="Z877" s="214"/>
      <c r="AA877" s="214"/>
      <c r="AB877" s="214"/>
      <c r="AC877" s="214"/>
    </row>
    <row r="878">
      <c r="A878" s="242" t="s">
        <v>620</v>
      </c>
      <c r="B878" s="243" t="s">
        <v>377</v>
      </c>
      <c r="C878" s="589">
        <f>sum(E878:E880)</f>
        <v>8</v>
      </c>
      <c r="D878" s="487" t="s">
        <v>306</v>
      </c>
      <c r="E878" s="487">
        <v>3.0</v>
      </c>
      <c r="F878" s="489"/>
      <c r="G878" s="489"/>
      <c r="H878" s="490" t="s">
        <v>31</v>
      </c>
      <c r="I878" s="491" t="s">
        <v>30</v>
      </c>
      <c r="J878" s="214"/>
      <c r="K878" s="214"/>
      <c r="L878" s="214"/>
      <c r="M878" s="214"/>
      <c r="N878" s="214"/>
      <c r="O878" s="214"/>
      <c r="P878" s="214"/>
      <c r="Q878" s="214"/>
      <c r="R878" s="214"/>
      <c r="S878" s="214"/>
      <c r="T878" s="214"/>
      <c r="U878" s="214"/>
      <c r="V878" s="214"/>
      <c r="W878" s="214"/>
      <c r="X878" s="214"/>
      <c r="Y878" s="214"/>
      <c r="Z878" s="214"/>
      <c r="AA878" s="214"/>
      <c r="AB878" s="214"/>
      <c r="AC878" s="214"/>
    </row>
    <row r="879">
      <c r="A879" s="222"/>
      <c r="D879" s="341" t="s">
        <v>175</v>
      </c>
      <c r="E879" s="425">
        <v>4.0</v>
      </c>
      <c r="F879" s="342"/>
      <c r="G879" s="342"/>
      <c r="H879" s="343" t="s">
        <v>232</v>
      </c>
      <c r="I879" s="226" t="s">
        <v>176</v>
      </c>
      <c r="J879" s="214"/>
      <c r="K879" s="214"/>
      <c r="L879" s="214"/>
      <c r="M879" s="214"/>
      <c r="N879" s="214"/>
      <c r="O879" s="214"/>
      <c r="P879" s="214"/>
      <c r="Q879" s="214"/>
      <c r="R879" s="214"/>
      <c r="S879" s="214"/>
      <c r="T879" s="214"/>
      <c r="U879" s="214"/>
      <c r="V879" s="214"/>
      <c r="W879" s="214"/>
      <c r="X879" s="214"/>
      <c r="Y879" s="214"/>
      <c r="Z879" s="214"/>
      <c r="AA879" s="214"/>
      <c r="AB879" s="214"/>
      <c r="AC879" s="214"/>
    </row>
    <row r="880">
      <c r="A880" s="236"/>
      <c r="B880" s="237"/>
      <c r="C880" s="237"/>
      <c r="D880" s="287" t="s">
        <v>117</v>
      </c>
      <c r="E880" s="287">
        <v>1.0</v>
      </c>
      <c r="F880" s="288"/>
      <c r="G880" s="288"/>
      <c r="H880" s="289" t="s">
        <v>238</v>
      </c>
      <c r="I880" s="290" t="s">
        <v>105</v>
      </c>
      <c r="J880" s="214"/>
      <c r="K880" s="214"/>
      <c r="L880" s="214"/>
      <c r="M880" s="214"/>
      <c r="N880" s="214"/>
      <c r="O880" s="214"/>
      <c r="P880" s="214"/>
      <c r="Q880" s="214"/>
      <c r="R880" s="214"/>
      <c r="S880" s="214"/>
      <c r="T880" s="214"/>
      <c r="U880" s="214"/>
      <c r="V880" s="214"/>
      <c r="W880" s="214"/>
      <c r="X880" s="214"/>
      <c r="Y880" s="214"/>
      <c r="Z880" s="214"/>
      <c r="AA880" s="214"/>
      <c r="AB880" s="214"/>
      <c r="AC880" s="214"/>
    </row>
    <row r="881">
      <c r="A881" s="242" t="s">
        <v>621</v>
      </c>
      <c r="B881" s="243" t="s">
        <v>622</v>
      </c>
      <c r="C881" s="589">
        <f>sum(E881:E885)</f>
        <v>8</v>
      </c>
      <c r="D881" s="515" t="s">
        <v>85</v>
      </c>
      <c r="E881" s="515">
        <v>1.0</v>
      </c>
      <c r="F881" s="324"/>
      <c r="G881" s="324"/>
      <c r="H881" s="584" t="s">
        <v>86</v>
      </c>
      <c r="I881" s="585" t="s">
        <v>65</v>
      </c>
      <c r="J881" s="214"/>
      <c r="K881" s="214"/>
      <c r="L881" s="214"/>
      <c r="M881" s="214"/>
      <c r="N881" s="214"/>
      <c r="O881" s="214"/>
      <c r="P881" s="214"/>
      <c r="Q881" s="214"/>
      <c r="R881" s="214"/>
      <c r="S881" s="214"/>
      <c r="T881" s="214"/>
      <c r="U881" s="214"/>
      <c r="V881" s="214"/>
      <c r="W881" s="214"/>
      <c r="X881" s="214"/>
      <c r="Y881" s="214"/>
      <c r="Z881" s="214"/>
      <c r="AA881" s="214"/>
      <c r="AB881" s="214"/>
      <c r="AC881" s="214"/>
    </row>
    <row r="882">
      <c r="A882" s="222"/>
      <c r="D882" s="279" t="s">
        <v>42</v>
      </c>
      <c r="E882" s="279">
        <v>2.0</v>
      </c>
      <c r="F882" s="316"/>
      <c r="G882" s="280"/>
      <c r="H882" s="281" t="s">
        <v>44</v>
      </c>
      <c r="I882" s="528" t="s">
        <v>43</v>
      </c>
      <c r="J882" s="214"/>
      <c r="K882" s="214"/>
      <c r="L882" s="214"/>
      <c r="M882" s="214"/>
      <c r="N882" s="214"/>
      <c r="O882" s="214"/>
      <c r="P882" s="214"/>
      <c r="Q882" s="214"/>
      <c r="R882" s="214"/>
      <c r="S882" s="214"/>
      <c r="T882" s="214"/>
      <c r="U882" s="214"/>
      <c r="V882" s="214"/>
      <c r="W882" s="214"/>
      <c r="X882" s="214"/>
      <c r="Y882" s="214"/>
      <c r="Z882" s="214"/>
      <c r="AA882" s="214"/>
      <c r="AB882" s="214"/>
      <c r="AC882" s="214"/>
    </row>
    <row r="883">
      <c r="A883" s="222"/>
      <c r="D883" s="299" t="s">
        <v>153</v>
      </c>
      <c r="E883" s="299">
        <v>2.0</v>
      </c>
      <c r="F883" s="251"/>
      <c r="G883" s="251"/>
      <c r="H883" s="312" t="s">
        <v>154</v>
      </c>
      <c r="I883" s="300" t="s">
        <v>144</v>
      </c>
      <c r="J883" s="214"/>
      <c r="K883" s="214"/>
      <c r="L883" s="214"/>
      <c r="M883" s="214"/>
      <c r="N883" s="214"/>
      <c r="O883" s="214"/>
      <c r="P883" s="214"/>
      <c r="Q883" s="214"/>
      <c r="R883" s="214"/>
      <c r="S883" s="214"/>
      <c r="T883" s="214"/>
      <c r="U883" s="214"/>
      <c r="V883" s="214"/>
      <c r="W883" s="214"/>
      <c r="X883" s="214"/>
      <c r="Y883" s="214"/>
      <c r="Z883" s="214"/>
      <c r="AA883" s="214"/>
      <c r="AB883" s="214"/>
      <c r="AC883" s="214"/>
    </row>
    <row r="884">
      <c r="A884" s="222"/>
      <c r="D884" s="271" t="s">
        <v>169</v>
      </c>
      <c r="E884" s="271">
        <v>1.0</v>
      </c>
      <c r="F884" s="272"/>
      <c r="G884" s="272"/>
      <c r="H884" s="273" t="s">
        <v>170</v>
      </c>
      <c r="I884" s="588" t="s">
        <v>163</v>
      </c>
      <c r="J884" s="214"/>
      <c r="K884" s="214"/>
      <c r="L884" s="214"/>
      <c r="M884" s="214"/>
      <c r="N884" s="214"/>
      <c r="O884" s="214"/>
      <c r="P884" s="214"/>
      <c r="Q884" s="214"/>
      <c r="R884" s="214"/>
      <c r="S884" s="214"/>
      <c r="T884" s="214"/>
      <c r="U884" s="214"/>
      <c r="V884" s="214"/>
      <c r="W884" s="214"/>
      <c r="X884" s="214"/>
      <c r="Y884" s="214"/>
      <c r="Z884" s="214"/>
      <c r="AA884" s="214"/>
      <c r="AB884" s="214"/>
      <c r="AC884" s="214"/>
    </row>
    <row r="885">
      <c r="A885" s="236"/>
      <c r="B885" s="237"/>
      <c r="C885" s="237"/>
      <c r="D885" s="320" t="s">
        <v>150</v>
      </c>
      <c r="E885" s="320">
        <v>2.0</v>
      </c>
      <c r="F885" s="321"/>
      <c r="G885" s="321"/>
      <c r="H885" s="322" t="s">
        <v>151</v>
      </c>
      <c r="I885" s="607" t="s">
        <v>144</v>
      </c>
      <c r="J885" s="214"/>
      <c r="K885" s="214"/>
      <c r="L885" s="214"/>
      <c r="M885" s="214"/>
      <c r="N885" s="214"/>
      <c r="O885" s="214"/>
      <c r="P885" s="214"/>
      <c r="Q885" s="214"/>
      <c r="R885" s="214"/>
      <c r="S885" s="214"/>
      <c r="T885" s="214"/>
      <c r="U885" s="214"/>
      <c r="V885" s="214"/>
      <c r="W885" s="214"/>
      <c r="X885" s="214"/>
      <c r="Y885" s="214"/>
      <c r="Z885" s="214"/>
      <c r="AA885" s="214"/>
      <c r="AB885" s="214"/>
      <c r="AC885" s="214"/>
    </row>
    <row r="886">
      <c r="A886" s="242" t="s">
        <v>623</v>
      </c>
      <c r="B886" s="243" t="s">
        <v>399</v>
      </c>
      <c r="C886" s="589">
        <f>sum(E886:E891)</f>
        <v>8</v>
      </c>
      <c r="D886" s="395" t="s">
        <v>22</v>
      </c>
      <c r="E886" s="395">
        <v>2.0</v>
      </c>
      <c r="F886" s="397"/>
      <c r="G886" s="397"/>
      <c r="H886" s="398" t="s">
        <v>265</v>
      </c>
      <c r="I886" s="428" t="s">
        <v>23</v>
      </c>
      <c r="J886" s="214"/>
      <c r="K886" s="214"/>
      <c r="L886" s="214"/>
      <c r="M886" s="214"/>
      <c r="N886" s="214"/>
      <c r="O886" s="214"/>
      <c r="P886" s="214"/>
      <c r="Q886" s="214"/>
      <c r="R886" s="214"/>
      <c r="S886" s="214"/>
      <c r="T886" s="214"/>
      <c r="U886" s="214"/>
      <c r="V886" s="214"/>
      <c r="W886" s="214"/>
      <c r="X886" s="214"/>
      <c r="Y886" s="214"/>
      <c r="Z886" s="214"/>
      <c r="AA886" s="214"/>
      <c r="AB886" s="214"/>
      <c r="AC886" s="214"/>
    </row>
    <row r="887">
      <c r="A887" s="222"/>
      <c r="D887" s="434" t="s">
        <v>33</v>
      </c>
      <c r="E887" s="434">
        <v>1.0</v>
      </c>
      <c r="F887" s="384"/>
      <c r="G887" s="384"/>
      <c r="H887" s="435" t="s">
        <v>34</v>
      </c>
      <c r="I887" s="608" t="s">
        <v>30</v>
      </c>
      <c r="J887" s="214"/>
      <c r="K887" s="214"/>
      <c r="L887" s="214"/>
      <c r="M887" s="214"/>
      <c r="N887" s="214"/>
      <c r="O887" s="214"/>
      <c r="P887" s="214"/>
      <c r="Q887" s="214"/>
      <c r="R887" s="214"/>
      <c r="S887" s="214"/>
      <c r="T887" s="214"/>
      <c r="U887" s="214"/>
      <c r="V887" s="214"/>
      <c r="W887" s="214"/>
      <c r="X887" s="214"/>
      <c r="Y887" s="214"/>
      <c r="Z887" s="214"/>
      <c r="AA887" s="214"/>
      <c r="AB887" s="214"/>
      <c r="AC887" s="214"/>
    </row>
    <row r="888">
      <c r="A888" s="222"/>
      <c r="D888" s="333" t="s">
        <v>97</v>
      </c>
      <c r="E888" s="333">
        <v>2.0</v>
      </c>
      <c r="F888" s="296"/>
      <c r="G888" s="296"/>
      <c r="H888" s="334" t="s">
        <v>99</v>
      </c>
      <c r="I888" s="297" t="s">
        <v>98</v>
      </c>
      <c r="J888" s="214"/>
      <c r="K888" s="214"/>
      <c r="L888" s="214"/>
      <c r="M888" s="214"/>
      <c r="N888" s="214"/>
      <c r="O888" s="214"/>
      <c r="P888" s="214"/>
      <c r="Q888" s="214"/>
      <c r="R888" s="214"/>
      <c r="S888" s="214"/>
      <c r="T888" s="214"/>
      <c r="U888" s="214"/>
      <c r="V888" s="214"/>
      <c r="W888" s="214"/>
      <c r="X888" s="214"/>
      <c r="Y888" s="214"/>
      <c r="Z888" s="214"/>
      <c r="AA888" s="214"/>
      <c r="AB888" s="214"/>
      <c r="AC888" s="214"/>
    </row>
    <row r="889">
      <c r="A889" s="222"/>
      <c r="D889" s="339" t="s">
        <v>120</v>
      </c>
      <c r="E889" s="339">
        <v>1.0</v>
      </c>
      <c r="F889" s="233"/>
      <c r="G889" s="233"/>
      <c r="H889" s="340" t="s">
        <v>289</v>
      </c>
      <c r="I889" s="235" t="s">
        <v>105</v>
      </c>
      <c r="J889" s="214"/>
      <c r="K889" s="214"/>
      <c r="L889" s="214"/>
      <c r="M889" s="214"/>
      <c r="N889" s="214"/>
      <c r="O889" s="214"/>
      <c r="P889" s="214"/>
      <c r="Q889" s="214"/>
      <c r="R889" s="214"/>
      <c r="S889" s="214"/>
      <c r="T889" s="214"/>
      <c r="U889" s="214"/>
      <c r="V889" s="214"/>
      <c r="W889" s="214"/>
      <c r="X889" s="214"/>
      <c r="Y889" s="214"/>
      <c r="Z889" s="214"/>
      <c r="AA889" s="214"/>
      <c r="AB889" s="214"/>
      <c r="AC889" s="214"/>
    </row>
    <row r="890">
      <c r="A890" s="222"/>
      <c r="D890" s="339" t="s">
        <v>134</v>
      </c>
      <c r="E890" s="339">
        <v>1.0</v>
      </c>
      <c r="F890" s="254"/>
      <c r="G890" s="233"/>
      <c r="H890" s="340" t="s">
        <v>135</v>
      </c>
      <c r="I890" s="298" t="s">
        <v>105</v>
      </c>
      <c r="J890" s="214"/>
      <c r="K890" s="214"/>
      <c r="L890" s="214"/>
      <c r="M890" s="214"/>
      <c r="N890" s="214"/>
      <c r="O890" s="214"/>
      <c r="P890" s="214"/>
      <c r="Q890" s="214"/>
      <c r="R890" s="214"/>
      <c r="S890" s="214"/>
      <c r="T890" s="214"/>
      <c r="U890" s="214"/>
      <c r="V890" s="214"/>
      <c r="W890" s="214"/>
      <c r="X890" s="214"/>
      <c r="Y890" s="214"/>
      <c r="Z890" s="214"/>
      <c r="AA890" s="214"/>
      <c r="AB890" s="214"/>
      <c r="AC890" s="214"/>
    </row>
    <row r="891">
      <c r="A891" s="236"/>
      <c r="B891" s="237"/>
      <c r="C891" s="237"/>
      <c r="D891" s="495" t="s">
        <v>189</v>
      </c>
      <c r="E891" s="495">
        <v>1.0</v>
      </c>
      <c r="F891" s="496"/>
      <c r="G891" s="496"/>
      <c r="H891" s="497" t="s">
        <v>190</v>
      </c>
      <c r="I891" s="498" t="s">
        <v>186</v>
      </c>
      <c r="J891" s="214"/>
      <c r="K891" s="214"/>
      <c r="L891" s="214"/>
      <c r="M891" s="214"/>
      <c r="N891" s="214"/>
      <c r="O891" s="214"/>
      <c r="P891" s="214"/>
      <c r="Q891" s="214"/>
      <c r="R891" s="214"/>
      <c r="S891" s="214"/>
      <c r="T891" s="214"/>
      <c r="U891" s="214"/>
      <c r="V891" s="214"/>
      <c r="W891" s="214"/>
      <c r="X891" s="214"/>
      <c r="Y891" s="214"/>
      <c r="Z891" s="214"/>
      <c r="AA891" s="214"/>
      <c r="AB891" s="214"/>
      <c r="AC891" s="214"/>
    </row>
    <row r="892">
      <c r="A892" s="242" t="s">
        <v>624</v>
      </c>
      <c r="B892" s="243" t="s">
        <v>625</v>
      </c>
      <c r="C892" s="589">
        <f>sum(E892:E898)</f>
        <v>8</v>
      </c>
      <c r="D892" s="426" t="s">
        <v>22</v>
      </c>
      <c r="E892" s="426">
        <v>2.0</v>
      </c>
      <c r="F892" s="397"/>
      <c r="G892" s="397"/>
      <c r="H892" s="427" t="s">
        <v>265</v>
      </c>
      <c r="I892" s="428" t="s">
        <v>23</v>
      </c>
      <c r="J892" s="214"/>
      <c r="K892" s="214"/>
      <c r="L892" s="214"/>
      <c r="M892" s="214"/>
      <c r="N892" s="214"/>
      <c r="O892" s="214"/>
      <c r="P892" s="214"/>
      <c r="Q892" s="214"/>
      <c r="R892" s="214"/>
      <c r="S892" s="214"/>
      <c r="T892" s="214"/>
      <c r="U892" s="214"/>
      <c r="V892" s="214"/>
      <c r="W892" s="214"/>
      <c r="X892" s="214"/>
      <c r="Y892" s="214"/>
      <c r="Z892" s="214"/>
      <c r="AA892" s="214"/>
      <c r="AB892" s="214"/>
      <c r="AC892" s="214"/>
    </row>
    <row r="893">
      <c r="A893" s="222"/>
      <c r="D893" s="369" t="s">
        <v>26</v>
      </c>
      <c r="E893" s="369">
        <v>1.0</v>
      </c>
      <c r="F893" s="370"/>
      <c r="G893" s="370"/>
      <c r="H893" s="372" t="s">
        <v>27</v>
      </c>
      <c r="I893" s="373" t="s">
        <v>23</v>
      </c>
      <c r="J893" s="214"/>
      <c r="K893" s="214"/>
      <c r="L893" s="214"/>
      <c r="M893" s="214"/>
      <c r="N893" s="214"/>
      <c r="O893" s="214"/>
      <c r="P893" s="214"/>
      <c r="Q893" s="214"/>
      <c r="R893" s="214"/>
      <c r="S893" s="214"/>
      <c r="T893" s="214"/>
      <c r="U893" s="214"/>
      <c r="V893" s="214"/>
      <c r="W893" s="214"/>
      <c r="X893" s="214"/>
      <c r="Y893" s="214"/>
      <c r="Z893" s="214"/>
      <c r="AA893" s="214"/>
      <c r="AB893" s="214"/>
      <c r="AC893" s="214"/>
    </row>
    <row r="894">
      <c r="A894" s="222"/>
      <c r="D894" s="271" t="s">
        <v>162</v>
      </c>
      <c r="E894" s="271">
        <v>2.0</v>
      </c>
      <c r="F894" s="317"/>
      <c r="G894" s="317"/>
      <c r="H894" s="273" t="s">
        <v>164</v>
      </c>
      <c r="I894" s="393" t="s">
        <v>163</v>
      </c>
      <c r="J894" s="214"/>
      <c r="K894" s="214"/>
      <c r="L894" s="214"/>
      <c r="M894" s="214"/>
      <c r="N894" s="214"/>
      <c r="O894" s="214"/>
      <c r="P894" s="214"/>
      <c r="Q894" s="214"/>
      <c r="R894" s="214"/>
      <c r="S894" s="214"/>
      <c r="T894" s="214"/>
      <c r="U894" s="214"/>
      <c r="V894" s="214"/>
      <c r="W894" s="214"/>
      <c r="X894" s="214"/>
      <c r="Y894" s="214"/>
      <c r="Z894" s="214"/>
      <c r="AA894" s="214"/>
      <c r="AB894" s="214"/>
      <c r="AC894" s="214"/>
    </row>
    <row r="895">
      <c r="A895" s="222"/>
      <c r="D895" s="232" t="s">
        <v>140</v>
      </c>
      <c r="E895" s="232">
        <v>1.0</v>
      </c>
      <c r="F895" s="254"/>
      <c r="G895" s="254"/>
      <c r="H895" s="234" t="s">
        <v>141</v>
      </c>
      <c r="I895" s="235" t="s">
        <v>105</v>
      </c>
      <c r="J895" s="214"/>
      <c r="K895" s="214"/>
      <c r="L895" s="214"/>
      <c r="M895" s="214"/>
      <c r="N895" s="214"/>
      <c r="O895" s="214"/>
      <c r="P895" s="214"/>
      <c r="Q895" s="214"/>
      <c r="R895" s="214"/>
      <c r="S895" s="214"/>
      <c r="T895" s="214"/>
      <c r="U895" s="214"/>
      <c r="V895" s="214"/>
      <c r="W895" s="214"/>
      <c r="X895" s="214"/>
      <c r="Y895" s="214"/>
      <c r="Z895" s="214"/>
      <c r="AA895" s="214"/>
      <c r="AB895" s="214"/>
      <c r="AC895" s="214"/>
    </row>
    <row r="896">
      <c r="A896" s="222"/>
      <c r="D896" s="232" t="s">
        <v>117</v>
      </c>
      <c r="E896" s="232">
        <v>1.0</v>
      </c>
      <c r="F896" s="254"/>
      <c r="G896" s="254"/>
      <c r="H896" s="234" t="s">
        <v>238</v>
      </c>
      <c r="I896" s="298" t="s">
        <v>105</v>
      </c>
      <c r="J896" s="214"/>
      <c r="K896" s="214"/>
      <c r="L896" s="214"/>
      <c r="M896" s="214"/>
      <c r="N896" s="214"/>
      <c r="O896" s="214"/>
      <c r="P896" s="214"/>
      <c r="Q896" s="214"/>
      <c r="R896" s="214"/>
      <c r="S896" s="214"/>
      <c r="T896" s="214"/>
      <c r="U896" s="214"/>
      <c r="V896" s="214"/>
      <c r="W896" s="214"/>
      <c r="X896" s="214"/>
      <c r="Y896" s="214"/>
      <c r="Z896" s="214"/>
      <c r="AA896" s="214"/>
      <c r="AB896" s="214"/>
      <c r="AC896" s="214"/>
    </row>
    <row r="897">
      <c r="A897" s="222"/>
      <c r="D897" s="339" t="s">
        <v>120</v>
      </c>
      <c r="E897" s="339">
        <v>1.0</v>
      </c>
      <c r="F897" s="254"/>
      <c r="G897" s="233"/>
      <c r="H897" s="340" t="s">
        <v>289</v>
      </c>
      <c r="I897" s="298" t="s">
        <v>105</v>
      </c>
      <c r="J897" s="214"/>
      <c r="K897" s="214"/>
      <c r="L897" s="214"/>
      <c r="M897" s="214"/>
      <c r="N897" s="214"/>
      <c r="O897" s="214"/>
      <c r="P897" s="214"/>
      <c r="Q897" s="214"/>
      <c r="R897" s="214"/>
      <c r="S897" s="214"/>
      <c r="T897" s="214"/>
      <c r="U897" s="214"/>
      <c r="V897" s="214"/>
      <c r="W897" s="214"/>
      <c r="X897" s="214"/>
      <c r="Y897" s="214"/>
      <c r="Z897" s="214"/>
      <c r="AA897" s="214"/>
      <c r="AB897" s="214"/>
      <c r="AC897" s="214"/>
    </row>
    <row r="898">
      <c r="A898" s="236"/>
      <c r="B898" s="237"/>
      <c r="C898" s="237"/>
      <c r="D898" s="238" t="s">
        <v>94</v>
      </c>
      <c r="E898" s="238">
        <v>0.0</v>
      </c>
      <c r="F898" s="239"/>
      <c r="G898" s="239"/>
      <c r="H898" s="240" t="s">
        <v>95</v>
      </c>
      <c r="I898" s="241" t="s">
        <v>65</v>
      </c>
      <c r="J898" s="214"/>
      <c r="K898" s="214"/>
      <c r="L898" s="214"/>
      <c r="M898" s="214"/>
      <c r="N898" s="214"/>
      <c r="O898" s="214"/>
      <c r="P898" s="214"/>
      <c r="Q898" s="214"/>
      <c r="R898" s="214"/>
      <c r="S898" s="214"/>
      <c r="T898" s="214"/>
      <c r="U898" s="214"/>
      <c r="V898" s="214"/>
      <c r="W898" s="214"/>
      <c r="X898" s="214"/>
      <c r="Y898" s="214"/>
      <c r="Z898" s="214"/>
      <c r="AA898" s="214"/>
      <c r="AB898" s="214"/>
      <c r="AC898" s="214"/>
    </row>
    <row r="899">
      <c r="A899" s="453" t="s">
        <v>626</v>
      </c>
      <c r="B899" s="422" t="s">
        <v>627</v>
      </c>
      <c r="C899" s="595">
        <f>sum(E899:E902)</f>
        <v>8</v>
      </c>
      <c r="D899" s="333" t="s">
        <v>97</v>
      </c>
      <c r="E899" s="333">
        <v>2.0</v>
      </c>
      <c r="F899" s="276"/>
      <c r="G899" s="276"/>
      <c r="H899" s="334" t="s">
        <v>99</v>
      </c>
      <c r="I899" s="297" t="s">
        <v>98</v>
      </c>
      <c r="J899" s="214"/>
      <c r="K899" s="214"/>
      <c r="L899" s="214"/>
      <c r="M899" s="214"/>
      <c r="N899" s="214"/>
      <c r="O899" s="214"/>
      <c r="P899" s="214"/>
      <c r="Q899" s="214"/>
      <c r="R899" s="214"/>
      <c r="S899" s="214"/>
      <c r="T899" s="214"/>
      <c r="U899" s="214"/>
      <c r="V899" s="214"/>
      <c r="W899" s="214"/>
      <c r="X899" s="214"/>
      <c r="Y899" s="214"/>
      <c r="Z899" s="214"/>
      <c r="AA899" s="214"/>
      <c r="AB899" s="214"/>
      <c r="AC899" s="214"/>
    </row>
    <row r="900">
      <c r="A900" s="222"/>
      <c r="D900" s="271" t="s">
        <v>162</v>
      </c>
      <c r="E900" s="271">
        <v>2.0</v>
      </c>
      <c r="F900" s="317"/>
      <c r="G900" s="317"/>
      <c r="H900" s="273" t="s">
        <v>164</v>
      </c>
      <c r="I900" s="274" t="s">
        <v>163</v>
      </c>
      <c r="J900" s="214"/>
      <c r="K900" s="214"/>
      <c r="L900" s="214"/>
      <c r="M900" s="214"/>
      <c r="N900" s="214"/>
      <c r="O900" s="214"/>
      <c r="P900" s="214"/>
      <c r="Q900" s="214"/>
      <c r="R900" s="214"/>
      <c r="S900" s="214"/>
      <c r="T900" s="214"/>
      <c r="U900" s="214"/>
      <c r="V900" s="214"/>
      <c r="W900" s="214"/>
      <c r="X900" s="214"/>
      <c r="Y900" s="214"/>
      <c r="Z900" s="214"/>
      <c r="AA900" s="214"/>
      <c r="AB900" s="214"/>
      <c r="AC900" s="214"/>
    </row>
    <row r="901">
      <c r="A901" s="222"/>
      <c r="D901" s="279" t="s">
        <v>49</v>
      </c>
      <c r="E901" s="279">
        <v>2.0</v>
      </c>
      <c r="F901" s="316"/>
      <c r="G901" s="316"/>
      <c r="H901" s="281" t="s">
        <v>50</v>
      </c>
      <c r="I901" s="282" t="s">
        <v>43</v>
      </c>
      <c r="J901" s="214"/>
      <c r="K901" s="214"/>
      <c r="L901" s="214"/>
      <c r="M901" s="214"/>
      <c r="N901" s="214"/>
      <c r="O901" s="214"/>
      <c r="P901" s="214"/>
      <c r="Q901" s="214"/>
      <c r="R901" s="214"/>
      <c r="S901" s="214"/>
      <c r="T901" s="214"/>
      <c r="U901" s="214"/>
      <c r="V901" s="214"/>
      <c r="W901" s="214"/>
      <c r="X901" s="214"/>
      <c r="Y901" s="214"/>
      <c r="Z901" s="214"/>
      <c r="AA901" s="214"/>
      <c r="AB901" s="214"/>
      <c r="AC901" s="214"/>
    </row>
    <row r="902">
      <c r="A902" s="236"/>
      <c r="B902" s="237"/>
      <c r="C902" s="237"/>
      <c r="D902" s="374" t="s">
        <v>19</v>
      </c>
      <c r="E902" s="374">
        <v>2.0</v>
      </c>
      <c r="F902" s="375"/>
      <c r="G902" s="375"/>
      <c r="H902" s="376" t="s">
        <v>20</v>
      </c>
      <c r="I902" s="377" t="s">
        <v>7</v>
      </c>
      <c r="J902" s="214"/>
      <c r="K902" s="214"/>
      <c r="L902" s="214"/>
      <c r="M902" s="214"/>
      <c r="N902" s="214"/>
      <c r="O902" s="214"/>
      <c r="P902" s="214"/>
      <c r="Q902" s="214"/>
      <c r="R902" s="214"/>
      <c r="S902" s="214"/>
      <c r="T902" s="214"/>
      <c r="U902" s="214"/>
      <c r="V902" s="214"/>
      <c r="W902" s="214"/>
      <c r="X902" s="214"/>
      <c r="Y902" s="214"/>
      <c r="Z902" s="214"/>
      <c r="AA902" s="214"/>
      <c r="AB902" s="214"/>
      <c r="AC902" s="214"/>
    </row>
    <row r="903">
      <c r="A903" s="242" t="s">
        <v>628</v>
      </c>
      <c r="B903" s="243" t="s">
        <v>629</v>
      </c>
      <c r="C903" s="589">
        <f>sum(E903:E906)</f>
        <v>8</v>
      </c>
      <c r="D903" s="521" t="s">
        <v>147</v>
      </c>
      <c r="E903" s="521">
        <v>3.0</v>
      </c>
      <c r="F903" s="525"/>
      <c r="G903" s="522"/>
      <c r="H903" s="523" t="s">
        <v>145</v>
      </c>
      <c r="I903" s="538" t="s">
        <v>144</v>
      </c>
      <c r="J903" s="214"/>
      <c r="K903" s="214"/>
      <c r="L903" s="214"/>
      <c r="M903" s="214"/>
      <c r="N903" s="214"/>
      <c r="O903" s="214"/>
      <c r="P903" s="214"/>
      <c r="Q903" s="214"/>
      <c r="R903" s="214"/>
      <c r="S903" s="214"/>
      <c r="T903" s="214"/>
      <c r="U903" s="214"/>
      <c r="V903" s="214"/>
      <c r="W903" s="214"/>
      <c r="X903" s="214"/>
      <c r="Y903" s="214"/>
      <c r="Z903" s="214"/>
      <c r="AA903" s="214"/>
      <c r="AB903" s="214"/>
      <c r="AC903" s="214"/>
    </row>
    <row r="904">
      <c r="A904" s="222"/>
      <c r="D904" s="299" t="s">
        <v>150</v>
      </c>
      <c r="E904" s="299">
        <v>2.0</v>
      </c>
      <c r="F904" s="251"/>
      <c r="G904" s="251"/>
      <c r="H904" s="312" t="s">
        <v>151</v>
      </c>
      <c r="I904" s="415" t="s">
        <v>144</v>
      </c>
      <c r="J904" s="214"/>
      <c r="K904" s="214"/>
      <c r="L904" s="214"/>
      <c r="M904" s="214"/>
      <c r="N904" s="214"/>
      <c r="O904" s="214"/>
      <c r="P904" s="214"/>
      <c r="Q904" s="214"/>
      <c r="R904" s="214"/>
      <c r="S904" s="214"/>
      <c r="T904" s="214"/>
      <c r="U904" s="214"/>
      <c r="V904" s="214"/>
      <c r="W904" s="214"/>
      <c r="X904" s="214"/>
      <c r="Y904" s="214"/>
      <c r="Z904" s="214"/>
      <c r="AA904" s="214"/>
      <c r="AB904" s="214"/>
      <c r="AC904" s="214"/>
    </row>
    <row r="905">
      <c r="A905" s="222"/>
      <c r="D905" s="232" t="s">
        <v>104</v>
      </c>
      <c r="E905" s="232">
        <v>2.0</v>
      </c>
      <c r="F905" s="233"/>
      <c r="G905" s="233"/>
      <c r="H905" s="234" t="s">
        <v>106</v>
      </c>
      <c r="I905" s="235" t="s">
        <v>105</v>
      </c>
      <c r="J905" s="214"/>
      <c r="K905" s="214"/>
      <c r="L905" s="214"/>
      <c r="M905" s="214"/>
      <c r="N905" s="214"/>
      <c r="O905" s="214"/>
      <c r="P905" s="214"/>
      <c r="Q905" s="214"/>
      <c r="R905" s="214"/>
      <c r="S905" s="214"/>
      <c r="T905" s="214"/>
      <c r="U905" s="214"/>
      <c r="V905" s="214"/>
      <c r="W905" s="214"/>
      <c r="X905" s="214"/>
      <c r="Y905" s="214"/>
      <c r="Z905" s="214"/>
      <c r="AA905" s="214"/>
      <c r="AB905" s="214"/>
      <c r="AC905" s="214"/>
    </row>
    <row r="906">
      <c r="A906" s="236"/>
      <c r="B906" s="237"/>
      <c r="C906" s="237"/>
      <c r="D906" s="287" t="s">
        <v>129</v>
      </c>
      <c r="E906" s="287">
        <v>1.0</v>
      </c>
      <c r="F906" s="288"/>
      <c r="G906" s="288"/>
      <c r="H906" s="289" t="s">
        <v>130</v>
      </c>
      <c r="I906" s="290" t="s">
        <v>105</v>
      </c>
      <c r="J906" s="214"/>
      <c r="K906" s="214"/>
      <c r="L906" s="214"/>
      <c r="M906" s="214"/>
      <c r="N906" s="214"/>
      <c r="O906" s="214"/>
      <c r="P906" s="214"/>
      <c r="Q906" s="214"/>
      <c r="R906" s="214"/>
      <c r="S906" s="214"/>
      <c r="T906" s="214"/>
      <c r="U906" s="214"/>
      <c r="V906" s="214"/>
      <c r="W906" s="214"/>
      <c r="X906" s="214"/>
      <c r="Y906" s="214"/>
      <c r="Z906" s="214"/>
      <c r="AA906" s="214"/>
      <c r="AB906" s="214"/>
      <c r="AC906" s="214"/>
    </row>
    <row r="907">
      <c r="A907" s="242" t="s">
        <v>630</v>
      </c>
      <c r="B907" s="243" t="s">
        <v>631</v>
      </c>
      <c r="C907" s="589">
        <f>sum(E907:E911)</f>
        <v>8</v>
      </c>
      <c r="D907" s="475" t="s">
        <v>97</v>
      </c>
      <c r="E907" s="475">
        <v>2.0</v>
      </c>
      <c r="F907" s="379"/>
      <c r="G907" s="379"/>
      <c r="H907" s="476" t="s">
        <v>99</v>
      </c>
      <c r="I907" s="381" t="s">
        <v>98</v>
      </c>
      <c r="J907" s="214"/>
      <c r="K907" s="214"/>
      <c r="L907" s="214"/>
      <c r="M907" s="214"/>
      <c r="N907" s="214"/>
      <c r="O907" s="214"/>
      <c r="P907" s="214"/>
      <c r="Q907" s="214"/>
      <c r="R907" s="214"/>
      <c r="S907" s="214"/>
      <c r="T907" s="214"/>
      <c r="U907" s="214"/>
      <c r="V907" s="214"/>
      <c r="W907" s="214"/>
      <c r="X907" s="214"/>
      <c r="Y907" s="214"/>
      <c r="Z907" s="214"/>
      <c r="AA907" s="214"/>
      <c r="AB907" s="214"/>
      <c r="AC907" s="214"/>
    </row>
    <row r="908">
      <c r="A908" s="222"/>
      <c r="D908" s="434" t="s">
        <v>39</v>
      </c>
      <c r="E908" s="434">
        <v>1.0</v>
      </c>
      <c r="F908" s="384"/>
      <c r="G908" s="384"/>
      <c r="H908" s="435" t="s">
        <v>40</v>
      </c>
      <c r="I908" s="386" t="s">
        <v>30</v>
      </c>
      <c r="J908" s="214"/>
      <c r="K908" s="214"/>
      <c r="L908" s="214"/>
      <c r="M908" s="214"/>
      <c r="N908" s="214"/>
      <c r="O908" s="214"/>
      <c r="P908" s="214"/>
      <c r="Q908" s="214"/>
      <c r="R908" s="214"/>
      <c r="S908" s="214"/>
      <c r="T908" s="214"/>
      <c r="U908" s="214"/>
      <c r="V908" s="214"/>
      <c r="W908" s="214"/>
      <c r="X908" s="214"/>
      <c r="Y908" s="214"/>
      <c r="Z908" s="214"/>
      <c r="AA908" s="214"/>
      <c r="AB908" s="214"/>
      <c r="AC908" s="214"/>
    </row>
    <row r="909">
      <c r="A909" s="222"/>
      <c r="D909" s="286" t="s">
        <v>76</v>
      </c>
      <c r="E909" s="286">
        <v>2.0</v>
      </c>
      <c r="F909" s="318"/>
      <c r="G909" s="261"/>
      <c r="H909" s="262" t="s">
        <v>77</v>
      </c>
      <c r="I909" s="526" t="s">
        <v>65</v>
      </c>
      <c r="J909" s="214"/>
      <c r="K909" s="214"/>
      <c r="L909" s="214"/>
      <c r="M909" s="214"/>
      <c r="N909" s="214"/>
      <c r="O909" s="214"/>
      <c r="P909" s="214"/>
      <c r="Q909" s="214"/>
      <c r="R909" s="214"/>
      <c r="S909" s="214"/>
      <c r="T909" s="214"/>
      <c r="U909" s="214"/>
      <c r="V909" s="214"/>
      <c r="W909" s="214"/>
      <c r="X909" s="214"/>
      <c r="Y909" s="214"/>
      <c r="Z909" s="214"/>
      <c r="AA909" s="214"/>
      <c r="AB909" s="214"/>
      <c r="AC909" s="214"/>
    </row>
    <row r="910">
      <c r="A910" s="222"/>
      <c r="D910" s="227" t="s">
        <v>11</v>
      </c>
      <c r="E910" s="227">
        <v>2.0</v>
      </c>
      <c r="F910" s="228"/>
      <c r="G910" s="228"/>
      <c r="H910" s="229" t="s">
        <v>294</v>
      </c>
      <c r="I910" s="230" t="s">
        <v>7</v>
      </c>
      <c r="J910" s="214"/>
      <c r="K910" s="214"/>
      <c r="L910" s="214"/>
      <c r="M910" s="214"/>
      <c r="N910" s="214"/>
      <c r="O910" s="214"/>
      <c r="P910" s="214"/>
      <c r="Q910" s="214"/>
      <c r="R910" s="214"/>
      <c r="S910" s="214"/>
      <c r="T910" s="214"/>
      <c r="U910" s="214"/>
      <c r="V910" s="214"/>
      <c r="W910" s="214"/>
      <c r="X910" s="214"/>
      <c r="Y910" s="214"/>
      <c r="Z910" s="214"/>
      <c r="AA910" s="214"/>
      <c r="AB910" s="214"/>
      <c r="AC910" s="214"/>
    </row>
    <row r="911">
      <c r="A911" s="236"/>
      <c r="B911" s="237"/>
      <c r="C911" s="237"/>
      <c r="D911" s="302" t="s">
        <v>55</v>
      </c>
      <c r="E911" s="302">
        <v>1.0</v>
      </c>
      <c r="F911" s="303"/>
      <c r="G911" s="303"/>
      <c r="H911" s="304" t="s">
        <v>56</v>
      </c>
      <c r="I911" s="485" t="s">
        <v>43</v>
      </c>
      <c r="J911" s="214"/>
      <c r="K911" s="214"/>
      <c r="L911" s="214"/>
      <c r="M911" s="214"/>
      <c r="N911" s="214"/>
      <c r="O911" s="214"/>
      <c r="P911" s="214"/>
      <c r="Q911" s="214"/>
      <c r="R911" s="214"/>
      <c r="S911" s="214"/>
      <c r="T911" s="214"/>
      <c r="U911" s="214"/>
      <c r="V911" s="214"/>
      <c r="W911" s="214"/>
      <c r="X911" s="214"/>
      <c r="Y911" s="214"/>
      <c r="Z911" s="214"/>
      <c r="AA911" s="214"/>
      <c r="AB911" s="214"/>
      <c r="AC911" s="214"/>
    </row>
    <row r="912">
      <c r="A912" s="242" t="s">
        <v>427</v>
      </c>
      <c r="B912" s="243" t="s">
        <v>535</v>
      </c>
      <c r="C912" s="589">
        <f>sum(E912:E916)</f>
        <v>8</v>
      </c>
      <c r="D912" s="356" t="s">
        <v>6</v>
      </c>
      <c r="E912" s="356">
        <v>2.0</v>
      </c>
      <c r="F912" s="499"/>
      <c r="G912" s="357"/>
      <c r="H912" s="447" t="s">
        <v>8</v>
      </c>
      <c r="I912" s="519" t="s">
        <v>7</v>
      </c>
      <c r="J912" s="214"/>
      <c r="K912" s="214"/>
      <c r="L912" s="214"/>
      <c r="M912" s="214"/>
      <c r="N912" s="214"/>
      <c r="O912" s="214"/>
      <c r="P912" s="214"/>
      <c r="Q912" s="214"/>
      <c r="R912" s="214"/>
      <c r="S912" s="214"/>
      <c r="T912" s="214"/>
      <c r="U912" s="214"/>
      <c r="V912" s="214"/>
      <c r="W912" s="214"/>
      <c r="X912" s="214"/>
      <c r="Y912" s="214"/>
      <c r="Z912" s="214"/>
      <c r="AA912" s="214"/>
      <c r="AB912" s="214"/>
      <c r="AC912" s="214"/>
    </row>
    <row r="913">
      <c r="A913" s="222"/>
      <c r="D913" s="279" t="s">
        <v>55</v>
      </c>
      <c r="E913" s="279">
        <v>1.0</v>
      </c>
      <c r="F913" s="316"/>
      <c r="G913" s="316"/>
      <c r="H913" s="281" t="s">
        <v>56</v>
      </c>
      <c r="I913" s="448" t="s">
        <v>43</v>
      </c>
      <c r="J913" s="214"/>
      <c r="K913" s="214"/>
      <c r="L913" s="214"/>
      <c r="M913" s="214"/>
      <c r="N913" s="214"/>
      <c r="O913" s="214"/>
      <c r="P913" s="214"/>
      <c r="Q913" s="214"/>
      <c r="R913" s="214"/>
      <c r="S913" s="214"/>
      <c r="T913" s="214"/>
      <c r="U913" s="214"/>
      <c r="V913" s="214"/>
      <c r="W913" s="214"/>
      <c r="X913" s="214"/>
      <c r="Y913" s="214"/>
      <c r="Z913" s="214"/>
      <c r="AA913" s="214"/>
      <c r="AB913" s="214"/>
      <c r="AC913" s="214"/>
    </row>
    <row r="914">
      <c r="A914" s="222"/>
      <c r="D914" s="286" t="s">
        <v>70</v>
      </c>
      <c r="E914" s="286">
        <v>2.0</v>
      </c>
      <c r="F914" s="261"/>
      <c r="G914" s="261"/>
      <c r="H914" s="262" t="s">
        <v>237</v>
      </c>
      <c r="I914" s="263" t="s">
        <v>65</v>
      </c>
      <c r="J914" s="214"/>
      <c r="K914" s="214"/>
      <c r="L914" s="214"/>
      <c r="M914" s="214"/>
      <c r="N914" s="214"/>
      <c r="O914" s="214"/>
      <c r="P914" s="214"/>
      <c r="Q914" s="214"/>
      <c r="R914" s="214"/>
      <c r="S914" s="214"/>
      <c r="T914" s="214"/>
      <c r="U914" s="214"/>
      <c r="V914" s="214"/>
      <c r="W914" s="214"/>
      <c r="X914" s="214"/>
      <c r="Y914" s="214"/>
      <c r="Z914" s="214"/>
      <c r="AA914" s="214"/>
      <c r="AB914" s="214"/>
      <c r="AC914" s="214"/>
    </row>
    <row r="915">
      <c r="A915" s="222"/>
      <c r="D915" s="256" t="s">
        <v>189</v>
      </c>
      <c r="E915" s="256">
        <v>1.0</v>
      </c>
      <c r="F915" s="301"/>
      <c r="G915" s="257"/>
      <c r="H915" s="258" t="s">
        <v>190</v>
      </c>
      <c r="I915" s="259" t="s">
        <v>186</v>
      </c>
      <c r="J915" s="214"/>
      <c r="K915" s="214"/>
      <c r="L915" s="214"/>
      <c r="M915" s="214"/>
      <c r="N915" s="214"/>
      <c r="O915" s="214"/>
      <c r="P915" s="214"/>
      <c r="Q915" s="214"/>
      <c r="R915" s="214"/>
      <c r="S915" s="214"/>
      <c r="T915" s="214"/>
      <c r="U915" s="214"/>
      <c r="V915" s="214"/>
      <c r="W915" s="214"/>
      <c r="X915" s="214"/>
      <c r="Y915" s="214"/>
      <c r="Z915" s="214"/>
      <c r="AA915" s="214"/>
      <c r="AB915" s="214"/>
      <c r="AC915" s="214"/>
    </row>
    <row r="916">
      <c r="A916" s="236"/>
      <c r="B916" s="237"/>
      <c r="C916" s="237"/>
      <c r="D916" s="287" t="s">
        <v>104</v>
      </c>
      <c r="E916" s="287">
        <v>2.0</v>
      </c>
      <c r="F916" s="288"/>
      <c r="G916" s="288"/>
      <c r="H916" s="289" t="s">
        <v>106</v>
      </c>
      <c r="I916" s="290" t="s">
        <v>105</v>
      </c>
      <c r="J916" s="214"/>
      <c r="K916" s="214"/>
      <c r="L916" s="214"/>
      <c r="M916" s="214"/>
      <c r="N916" s="214"/>
      <c r="O916" s="214"/>
      <c r="P916" s="214"/>
      <c r="Q916" s="214"/>
      <c r="R916" s="214"/>
      <c r="S916" s="214"/>
      <c r="T916" s="214"/>
      <c r="U916" s="214"/>
      <c r="V916" s="214"/>
      <c r="W916" s="214"/>
      <c r="X916" s="214"/>
      <c r="Y916" s="214"/>
      <c r="Z916" s="214"/>
      <c r="AA916" s="214"/>
      <c r="AB916" s="214"/>
      <c r="AC916" s="214"/>
    </row>
    <row r="917">
      <c r="A917" s="609" t="s">
        <v>632</v>
      </c>
      <c r="B917" s="610" t="s">
        <v>633</v>
      </c>
      <c r="C917" s="611">
        <f>sum(E917)</f>
        <v>8</v>
      </c>
      <c r="D917" s="612" t="s">
        <v>634</v>
      </c>
      <c r="E917" s="612">
        <v>8.0</v>
      </c>
      <c r="F917" s="613"/>
      <c r="G917" s="613"/>
      <c r="H917" s="614" t="s">
        <v>635</v>
      </c>
      <c r="I917" s="615" t="s">
        <v>105</v>
      </c>
      <c r="J917" s="214"/>
      <c r="K917" s="214"/>
      <c r="L917" s="214"/>
      <c r="M917" s="214"/>
      <c r="N917" s="214"/>
      <c r="O917" s="214"/>
      <c r="P917" s="214"/>
      <c r="Q917" s="214"/>
      <c r="R917" s="214"/>
      <c r="S917" s="214"/>
      <c r="T917" s="214"/>
      <c r="U917" s="214"/>
      <c r="V917" s="214"/>
      <c r="W917" s="214"/>
      <c r="X917" s="214"/>
      <c r="Y917" s="214"/>
      <c r="Z917" s="214"/>
      <c r="AA917" s="214"/>
      <c r="AB917" s="214"/>
      <c r="AC917" s="214"/>
    </row>
    <row r="918">
      <c r="A918" s="242" t="s">
        <v>636</v>
      </c>
      <c r="B918" s="243" t="s">
        <v>381</v>
      </c>
      <c r="C918" s="589">
        <f>sum(E918:E920)</f>
        <v>8</v>
      </c>
      <c r="D918" s="521" t="s">
        <v>143</v>
      </c>
      <c r="E918" s="521">
        <v>5.0</v>
      </c>
      <c r="F918" s="522"/>
      <c r="G918" s="522"/>
      <c r="H918" s="523" t="s">
        <v>145</v>
      </c>
      <c r="I918" s="538" t="s">
        <v>144</v>
      </c>
      <c r="J918" s="214"/>
      <c r="K918" s="214"/>
      <c r="L918" s="214"/>
      <c r="M918" s="214"/>
      <c r="N918" s="214"/>
      <c r="O918" s="214"/>
      <c r="P918" s="214"/>
      <c r="Q918" s="214"/>
      <c r="R918" s="214"/>
      <c r="S918" s="214"/>
      <c r="T918" s="214"/>
      <c r="U918" s="214"/>
      <c r="V918" s="214"/>
      <c r="W918" s="214"/>
      <c r="X918" s="214"/>
      <c r="Y918" s="214"/>
      <c r="Z918" s="214"/>
      <c r="AA918" s="214"/>
      <c r="AB918" s="214"/>
      <c r="AC918" s="214"/>
    </row>
    <row r="919">
      <c r="A919" s="222"/>
      <c r="D919" s="271" t="s">
        <v>162</v>
      </c>
      <c r="E919" s="271">
        <v>2.0</v>
      </c>
      <c r="F919" s="272"/>
      <c r="G919" s="272"/>
      <c r="H919" s="273" t="s">
        <v>164</v>
      </c>
      <c r="I919" s="274" t="s">
        <v>163</v>
      </c>
      <c r="J919" s="214"/>
      <c r="K919" s="214"/>
      <c r="L919" s="214"/>
      <c r="M919" s="214"/>
      <c r="N919" s="214"/>
      <c r="O919" s="214"/>
      <c r="P919" s="214"/>
      <c r="Q919" s="214"/>
      <c r="R919" s="214"/>
      <c r="S919" s="214"/>
      <c r="T919" s="214"/>
      <c r="U919" s="214"/>
      <c r="V919" s="214"/>
      <c r="W919" s="214"/>
      <c r="X919" s="214"/>
      <c r="Y919" s="214"/>
      <c r="Z919" s="214"/>
      <c r="AA919" s="214"/>
      <c r="AB919" s="214"/>
      <c r="AC919" s="214"/>
    </row>
    <row r="920">
      <c r="A920" s="236"/>
      <c r="B920" s="237"/>
      <c r="C920" s="237"/>
      <c r="D920" s="287" t="s">
        <v>239</v>
      </c>
      <c r="E920" s="287">
        <v>1.0</v>
      </c>
      <c r="F920" s="288"/>
      <c r="G920" s="288"/>
      <c r="H920" s="289" t="s">
        <v>115</v>
      </c>
      <c r="I920" s="461" t="s">
        <v>105</v>
      </c>
      <c r="J920" s="214"/>
      <c r="K920" s="214"/>
      <c r="L920" s="214"/>
      <c r="M920" s="214"/>
      <c r="N920" s="214"/>
      <c r="O920" s="214"/>
      <c r="P920" s="214"/>
      <c r="Q920" s="214"/>
      <c r="R920" s="214"/>
      <c r="S920" s="214"/>
      <c r="T920" s="214"/>
      <c r="U920" s="214"/>
      <c r="V920" s="214"/>
      <c r="W920" s="214"/>
      <c r="X920" s="214"/>
      <c r="Y920" s="214"/>
      <c r="Z920" s="214"/>
      <c r="AA920" s="214"/>
      <c r="AB920" s="214"/>
      <c r="AC920" s="214"/>
    </row>
    <row r="921">
      <c r="A921" s="215" t="s">
        <v>637</v>
      </c>
      <c r="B921" s="243" t="s">
        <v>638</v>
      </c>
      <c r="C921" s="589">
        <f>sum(E921:E925)</f>
        <v>8</v>
      </c>
      <c r="D921" s="356" t="s">
        <v>254</v>
      </c>
      <c r="E921" s="356">
        <v>2.0</v>
      </c>
      <c r="F921" s="357"/>
      <c r="G921" s="357"/>
      <c r="H921" s="447" t="s">
        <v>255</v>
      </c>
      <c r="I921" s="482" t="s">
        <v>7</v>
      </c>
      <c r="J921" s="527"/>
      <c r="K921" s="527"/>
      <c r="L921" s="527"/>
      <c r="M921" s="527"/>
      <c r="N921" s="527"/>
      <c r="O921" s="527"/>
      <c r="P921" s="527"/>
      <c r="Q921" s="527"/>
      <c r="R921" s="527"/>
      <c r="S921" s="527"/>
      <c r="T921" s="527"/>
      <c r="U921" s="527"/>
      <c r="V921" s="527"/>
      <c r="W921" s="527"/>
      <c r="X921" s="527"/>
      <c r="Y921" s="527"/>
      <c r="Z921" s="527"/>
      <c r="AA921" s="527"/>
      <c r="AB921" s="527"/>
      <c r="AC921" s="527"/>
    </row>
    <row r="922">
      <c r="A922" s="222"/>
      <c r="D922" s="506" t="s">
        <v>22</v>
      </c>
      <c r="E922" s="506">
        <v>2.0</v>
      </c>
      <c r="F922" s="370"/>
      <c r="G922" s="371"/>
      <c r="H922" s="507" t="s">
        <v>265</v>
      </c>
      <c r="I922" s="424" t="s">
        <v>23</v>
      </c>
      <c r="J922" s="527"/>
      <c r="K922" s="527"/>
      <c r="L922" s="527"/>
      <c r="M922" s="527"/>
      <c r="N922" s="527"/>
      <c r="O922" s="527"/>
      <c r="P922" s="527"/>
      <c r="Q922" s="527"/>
      <c r="R922" s="527"/>
      <c r="S922" s="527"/>
      <c r="T922" s="527"/>
      <c r="U922" s="527"/>
      <c r="V922" s="527"/>
      <c r="W922" s="527"/>
      <c r="X922" s="527"/>
      <c r="Y922" s="527"/>
      <c r="Z922" s="527"/>
      <c r="AA922" s="527"/>
      <c r="AB922" s="527"/>
      <c r="AC922" s="527"/>
    </row>
    <row r="923">
      <c r="A923" s="222"/>
      <c r="D923" s="286" t="s">
        <v>85</v>
      </c>
      <c r="E923" s="286">
        <v>1.0</v>
      </c>
      <c r="F923" s="261"/>
      <c r="G923" s="261"/>
      <c r="H923" s="414" t="s">
        <v>86</v>
      </c>
      <c r="I923" s="526" t="s">
        <v>65</v>
      </c>
      <c r="J923" s="527"/>
      <c r="K923" s="527"/>
      <c r="L923" s="527"/>
      <c r="M923" s="527"/>
      <c r="N923" s="527"/>
      <c r="O923" s="527"/>
      <c r="P923" s="527"/>
      <c r="Q923" s="527"/>
      <c r="R923" s="527"/>
      <c r="S923" s="527"/>
      <c r="T923" s="527"/>
      <c r="U923" s="527"/>
      <c r="V923" s="527"/>
      <c r="W923" s="527"/>
      <c r="X923" s="527"/>
      <c r="Y923" s="527"/>
      <c r="Z923" s="527"/>
      <c r="AA923" s="527"/>
      <c r="AB923" s="527"/>
      <c r="AC923" s="527"/>
    </row>
    <row r="924">
      <c r="A924" s="222"/>
      <c r="D924" s="339" t="s">
        <v>239</v>
      </c>
      <c r="E924" s="339">
        <v>1.0</v>
      </c>
      <c r="F924" s="254"/>
      <c r="G924" s="233"/>
      <c r="H924" s="340" t="s">
        <v>115</v>
      </c>
      <c r="I924" s="298" t="s">
        <v>105</v>
      </c>
      <c r="J924" s="527"/>
      <c r="K924" s="527"/>
      <c r="L924" s="527"/>
      <c r="M924" s="527"/>
      <c r="N924" s="527"/>
      <c r="O924" s="527"/>
      <c r="P924" s="527"/>
      <c r="Q924" s="527"/>
      <c r="R924" s="527"/>
      <c r="S924" s="527"/>
      <c r="T924" s="527"/>
      <c r="U924" s="527"/>
      <c r="V924" s="527"/>
      <c r="W924" s="527"/>
      <c r="X924" s="527"/>
      <c r="Y924" s="527"/>
      <c r="Z924" s="527"/>
      <c r="AA924" s="527"/>
      <c r="AB924" s="527"/>
      <c r="AC924" s="527"/>
    </row>
    <row r="925">
      <c r="A925" s="236"/>
      <c r="B925" s="237"/>
      <c r="C925" s="237"/>
      <c r="D925" s="264" t="s">
        <v>162</v>
      </c>
      <c r="E925" s="264">
        <v>2.0</v>
      </c>
      <c r="F925" s="265"/>
      <c r="G925" s="479"/>
      <c r="H925" s="266" t="s">
        <v>164</v>
      </c>
      <c r="I925" s="480" t="s">
        <v>163</v>
      </c>
      <c r="J925" s="527"/>
      <c r="K925" s="527"/>
      <c r="L925" s="527"/>
      <c r="M925" s="527"/>
      <c r="N925" s="527"/>
      <c r="O925" s="527"/>
      <c r="P925" s="527"/>
      <c r="Q925" s="527"/>
      <c r="R925" s="527"/>
      <c r="S925" s="527"/>
      <c r="T925" s="527"/>
      <c r="U925" s="527"/>
      <c r="V925" s="527"/>
      <c r="W925" s="527"/>
      <c r="X925" s="527"/>
      <c r="Y925" s="527"/>
      <c r="Z925" s="527"/>
      <c r="AA925" s="527"/>
      <c r="AB925" s="527"/>
      <c r="AC925" s="527"/>
    </row>
    <row r="926">
      <c r="A926" s="242" t="s">
        <v>639</v>
      </c>
      <c r="B926" s="243" t="s">
        <v>640</v>
      </c>
      <c r="C926" s="589">
        <f>sum(E926:E931)</f>
        <v>8</v>
      </c>
      <c r="D926" s="292" t="s">
        <v>229</v>
      </c>
      <c r="E926" s="292">
        <v>2.0</v>
      </c>
      <c r="F926" s="324"/>
      <c r="G926" s="324"/>
      <c r="H926" s="294" t="s">
        <v>69</v>
      </c>
      <c r="I926" s="295" t="s">
        <v>65</v>
      </c>
      <c r="J926" s="527"/>
      <c r="K926" s="527"/>
      <c r="L926" s="527"/>
      <c r="M926" s="527"/>
      <c r="N926" s="527"/>
      <c r="O926" s="527"/>
      <c r="P926" s="527"/>
      <c r="Q926" s="527"/>
      <c r="R926" s="527"/>
      <c r="S926" s="527"/>
      <c r="T926" s="527"/>
      <c r="U926" s="527"/>
      <c r="V926" s="527"/>
      <c r="W926" s="527"/>
      <c r="X926" s="527"/>
      <c r="Y926" s="527"/>
      <c r="Z926" s="527"/>
      <c r="AA926" s="527"/>
      <c r="AB926" s="527"/>
      <c r="AC926" s="527"/>
    </row>
    <row r="927">
      <c r="A927" s="222"/>
      <c r="D927" s="271" t="s">
        <v>162</v>
      </c>
      <c r="E927" s="271">
        <v>2.0</v>
      </c>
      <c r="F927" s="317"/>
      <c r="G927" s="317"/>
      <c r="H927" s="273" t="s">
        <v>164</v>
      </c>
      <c r="I927" s="393" t="s">
        <v>163</v>
      </c>
      <c r="J927" s="527"/>
      <c r="K927" s="527"/>
      <c r="L927" s="527"/>
      <c r="M927" s="527"/>
      <c r="N927" s="527"/>
      <c r="O927" s="527"/>
      <c r="P927" s="527"/>
      <c r="Q927" s="527"/>
      <c r="R927" s="527"/>
      <c r="S927" s="527"/>
      <c r="T927" s="527"/>
      <c r="U927" s="527"/>
      <c r="V927" s="527"/>
      <c r="W927" s="527"/>
      <c r="X927" s="527"/>
      <c r="Y927" s="527"/>
      <c r="Z927" s="527"/>
      <c r="AA927" s="527"/>
      <c r="AB927" s="527"/>
      <c r="AC927" s="527"/>
    </row>
    <row r="928">
      <c r="A928" s="222"/>
      <c r="D928" s="256" t="s">
        <v>189</v>
      </c>
      <c r="E928" s="256">
        <v>1.0</v>
      </c>
      <c r="F928" s="257"/>
      <c r="G928" s="257"/>
      <c r="H928" s="258" t="s">
        <v>190</v>
      </c>
      <c r="I928" s="259" t="s">
        <v>186</v>
      </c>
      <c r="J928" s="527"/>
      <c r="K928" s="527"/>
      <c r="L928" s="527"/>
      <c r="M928" s="527"/>
      <c r="N928" s="527"/>
      <c r="O928" s="527"/>
      <c r="P928" s="527"/>
      <c r="Q928" s="527"/>
      <c r="R928" s="527"/>
      <c r="S928" s="527"/>
      <c r="T928" s="527"/>
      <c r="U928" s="527"/>
      <c r="V928" s="527"/>
      <c r="W928" s="527"/>
      <c r="X928" s="527"/>
      <c r="Y928" s="527"/>
      <c r="Z928" s="527"/>
      <c r="AA928" s="527"/>
      <c r="AB928" s="527"/>
      <c r="AC928" s="527"/>
    </row>
    <row r="929">
      <c r="A929" s="222"/>
      <c r="D929" s="339" t="s">
        <v>140</v>
      </c>
      <c r="E929" s="339">
        <v>1.0</v>
      </c>
      <c r="F929" s="254"/>
      <c r="G929" s="233"/>
      <c r="H929" s="340" t="s">
        <v>141</v>
      </c>
      <c r="I929" s="298" t="s">
        <v>105</v>
      </c>
      <c r="J929" s="527"/>
      <c r="K929" s="527"/>
      <c r="L929" s="527"/>
      <c r="M929" s="527"/>
      <c r="N929" s="527"/>
      <c r="O929" s="527"/>
      <c r="P929" s="527"/>
      <c r="Q929" s="527"/>
      <c r="R929" s="527"/>
      <c r="S929" s="527"/>
      <c r="T929" s="527"/>
      <c r="U929" s="527"/>
      <c r="V929" s="527"/>
      <c r="W929" s="527"/>
      <c r="X929" s="527"/>
      <c r="Y929" s="527"/>
      <c r="Z929" s="527"/>
      <c r="AA929" s="527"/>
      <c r="AB929" s="527"/>
      <c r="AC929" s="527"/>
    </row>
    <row r="930">
      <c r="A930" s="222"/>
      <c r="D930" s="232" t="s">
        <v>134</v>
      </c>
      <c r="E930" s="232">
        <v>1.0</v>
      </c>
      <c r="F930" s="233"/>
      <c r="G930" s="233"/>
      <c r="H930" s="234" t="s">
        <v>135</v>
      </c>
      <c r="I930" s="235" t="s">
        <v>105</v>
      </c>
      <c r="J930" s="527"/>
      <c r="K930" s="527"/>
      <c r="L930" s="527"/>
      <c r="M930" s="527"/>
      <c r="N930" s="527"/>
      <c r="O930" s="527"/>
      <c r="P930" s="527"/>
      <c r="Q930" s="527"/>
      <c r="R930" s="527"/>
      <c r="S930" s="527"/>
      <c r="T930" s="527"/>
      <c r="U930" s="527"/>
      <c r="V930" s="527"/>
      <c r="W930" s="527"/>
      <c r="X930" s="527"/>
      <c r="Y930" s="527"/>
      <c r="Z930" s="527"/>
      <c r="AA930" s="527"/>
      <c r="AB930" s="527"/>
      <c r="AC930" s="527"/>
    </row>
    <row r="931">
      <c r="A931" s="236"/>
      <c r="B931" s="237"/>
      <c r="C931" s="237"/>
      <c r="D931" s="459" t="s">
        <v>117</v>
      </c>
      <c r="E931" s="459">
        <v>1.0</v>
      </c>
      <c r="F931" s="288"/>
      <c r="G931" s="288"/>
      <c r="H931" s="460" t="s">
        <v>238</v>
      </c>
      <c r="I931" s="461" t="s">
        <v>105</v>
      </c>
      <c r="J931" s="527"/>
      <c r="K931" s="527"/>
      <c r="L931" s="527"/>
      <c r="M931" s="527"/>
      <c r="N931" s="527"/>
      <c r="O931" s="527"/>
      <c r="P931" s="527"/>
      <c r="Q931" s="527"/>
      <c r="R931" s="527"/>
      <c r="S931" s="527"/>
      <c r="T931" s="527"/>
      <c r="U931" s="527"/>
      <c r="V931" s="527"/>
      <c r="W931" s="527"/>
      <c r="X931" s="527"/>
      <c r="Y931" s="527"/>
      <c r="Z931" s="527"/>
      <c r="AA931" s="527"/>
      <c r="AB931" s="527"/>
      <c r="AC931" s="527"/>
    </row>
    <row r="932">
      <c r="A932" s="215" t="s">
        <v>641</v>
      </c>
      <c r="B932" s="243" t="s">
        <v>642</v>
      </c>
      <c r="C932" s="416">
        <f>sum(E932:E937)</f>
        <v>8</v>
      </c>
      <c r="D932" s="292" t="s">
        <v>64</v>
      </c>
      <c r="E932" s="292">
        <v>3.0</v>
      </c>
      <c r="F932" s="324"/>
      <c r="G932" s="324"/>
      <c r="H932" s="262" t="s">
        <v>66</v>
      </c>
      <c r="I932" s="295" t="s">
        <v>65</v>
      </c>
      <c r="J932" s="214"/>
      <c r="K932" s="214"/>
      <c r="L932" s="214"/>
      <c r="M932" s="214"/>
      <c r="N932" s="214"/>
      <c r="O932" s="214"/>
      <c r="P932" s="214"/>
      <c r="Q932" s="214"/>
      <c r="R932" s="214"/>
      <c r="S932" s="214"/>
      <c r="T932" s="214"/>
      <c r="U932" s="214"/>
      <c r="V932" s="214"/>
      <c r="W932" s="214"/>
      <c r="X932" s="214"/>
      <c r="Y932" s="214"/>
      <c r="Z932" s="214"/>
      <c r="AA932" s="214"/>
      <c r="AB932" s="214"/>
      <c r="AC932" s="214"/>
    </row>
    <row r="933">
      <c r="A933" s="222"/>
      <c r="I933" s="368"/>
      <c r="J933" s="214"/>
      <c r="K933" s="214"/>
      <c r="L933" s="214"/>
      <c r="M933" s="214"/>
      <c r="N933" s="214"/>
      <c r="O933" s="214"/>
      <c r="P933" s="214"/>
      <c r="Q933" s="214"/>
      <c r="R933" s="214"/>
      <c r="S933" s="214"/>
      <c r="T933" s="214"/>
      <c r="U933" s="214"/>
      <c r="V933" s="214"/>
      <c r="W933" s="214"/>
      <c r="X933" s="214"/>
      <c r="Y933" s="214"/>
      <c r="Z933" s="214"/>
      <c r="AA933" s="214"/>
      <c r="AB933" s="214"/>
      <c r="AC933" s="214"/>
    </row>
    <row r="934">
      <c r="A934" s="222"/>
      <c r="D934" s="271" t="s">
        <v>162</v>
      </c>
      <c r="E934" s="271">
        <v>2.0</v>
      </c>
      <c r="F934" s="317"/>
      <c r="G934" s="317"/>
      <c r="H934" s="273" t="s">
        <v>164</v>
      </c>
      <c r="I934" s="393" t="s">
        <v>163</v>
      </c>
      <c r="J934" s="214"/>
      <c r="K934" s="214"/>
      <c r="L934" s="214"/>
      <c r="M934" s="214"/>
      <c r="N934" s="214"/>
      <c r="O934" s="214"/>
      <c r="P934" s="214"/>
      <c r="Q934" s="214"/>
      <c r="R934" s="214"/>
      <c r="S934" s="214"/>
      <c r="T934" s="214"/>
      <c r="U934" s="214"/>
      <c r="V934" s="214"/>
      <c r="W934" s="214"/>
      <c r="X934" s="214"/>
      <c r="Y934" s="214"/>
      <c r="Z934" s="214"/>
      <c r="AA934" s="214"/>
      <c r="AB934" s="214"/>
      <c r="AC934" s="214"/>
    </row>
    <row r="935">
      <c r="A935" s="222"/>
      <c r="D935" s="387" t="s">
        <v>58</v>
      </c>
      <c r="E935" s="387">
        <v>1.0</v>
      </c>
      <c r="F935" s="280"/>
      <c r="G935" s="280"/>
      <c r="H935" s="388" t="s">
        <v>59</v>
      </c>
      <c r="I935" s="282" t="s">
        <v>43</v>
      </c>
      <c r="J935" s="214"/>
      <c r="K935" s="214"/>
      <c r="L935" s="214"/>
      <c r="M935" s="214"/>
      <c r="N935" s="214"/>
      <c r="O935" s="214"/>
      <c r="P935" s="214"/>
      <c r="Q935" s="214"/>
      <c r="R935" s="214"/>
      <c r="S935" s="214"/>
      <c r="T935" s="214"/>
      <c r="U935" s="214"/>
      <c r="V935" s="214"/>
      <c r="W935" s="214"/>
      <c r="X935" s="214"/>
      <c r="Y935" s="214"/>
      <c r="Z935" s="214"/>
      <c r="AA935" s="214"/>
      <c r="AB935" s="214"/>
      <c r="AC935" s="214"/>
    </row>
    <row r="936">
      <c r="A936" s="222"/>
      <c r="D936" s="369" t="s">
        <v>26</v>
      </c>
      <c r="E936" s="369">
        <v>1.0</v>
      </c>
      <c r="F936" s="370"/>
      <c r="G936" s="370"/>
      <c r="H936" s="372" t="s">
        <v>27</v>
      </c>
      <c r="I936" s="424" t="s">
        <v>23</v>
      </c>
      <c r="J936" s="214"/>
      <c r="K936" s="214"/>
      <c r="L936" s="214"/>
      <c r="M936" s="214"/>
      <c r="N936" s="214"/>
      <c r="O936" s="214"/>
      <c r="P936" s="214"/>
      <c r="Q936" s="214"/>
      <c r="R936" s="214"/>
      <c r="S936" s="214"/>
      <c r="T936" s="214"/>
      <c r="U936" s="214"/>
      <c r="V936" s="214"/>
      <c r="W936" s="214"/>
      <c r="X936" s="214"/>
      <c r="Y936" s="214"/>
      <c r="Z936" s="214"/>
      <c r="AA936" s="214"/>
      <c r="AB936" s="214"/>
      <c r="AC936" s="214"/>
    </row>
    <row r="937">
      <c r="A937" s="236"/>
      <c r="B937" s="237"/>
      <c r="C937" s="237"/>
      <c r="D937" s="434" t="s">
        <v>33</v>
      </c>
      <c r="E937" s="434">
        <v>1.0</v>
      </c>
      <c r="F937" s="383"/>
      <c r="G937" s="383"/>
      <c r="H937" s="435" t="s">
        <v>34</v>
      </c>
      <c r="I937" s="616" t="s">
        <v>30</v>
      </c>
      <c r="J937" s="214"/>
      <c r="K937" s="214"/>
      <c r="L937" s="214"/>
      <c r="M937" s="214"/>
      <c r="N937" s="214"/>
      <c r="O937" s="214"/>
      <c r="P937" s="214"/>
      <c r="Q937" s="214"/>
      <c r="R937" s="214"/>
      <c r="S937" s="214"/>
      <c r="T937" s="214"/>
      <c r="U937" s="214"/>
      <c r="V937" s="214"/>
      <c r="W937" s="214"/>
      <c r="X937" s="214"/>
      <c r="Y937" s="214"/>
      <c r="Z937" s="214"/>
      <c r="AA937" s="214"/>
      <c r="AB937" s="214"/>
      <c r="AC937" s="214"/>
    </row>
    <row r="938">
      <c r="A938" s="349" t="s">
        <v>643</v>
      </c>
      <c r="B938" s="529" t="s">
        <v>644</v>
      </c>
      <c r="C938" s="416">
        <f>sum(E938:E942)</f>
        <v>8</v>
      </c>
      <c r="D938" s="472" t="s">
        <v>137</v>
      </c>
      <c r="E938" s="472">
        <v>1.0</v>
      </c>
      <c r="F938" s="473"/>
      <c r="G938" s="309"/>
      <c r="H938" s="474" t="s">
        <v>138</v>
      </c>
      <c r="I938" s="438" t="s">
        <v>105</v>
      </c>
    </row>
    <row r="939">
      <c r="A939" s="222"/>
      <c r="D939" s="223" t="s">
        <v>182</v>
      </c>
      <c r="E939" s="223">
        <v>3.0</v>
      </c>
      <c r="F939" s="224"/>
      <c r="G939" s="224"/>
      <c r="H939" s="225" t="s">
        <v>183</v>
      </c>
      <c r="I939" s="226" t="s">
        <v>176</v>
      </c>
    </row>
    <row r="940">
      <c r="A940" s="222"/>
      <c r="D940" s="286" t="s">
        <v>94</v>
      </c>
      <c r="E940" s="286">
        <v>1.0</v>
      </c>
      <c r="F940" s="318"/>
      <c r="G940" s="318"/>
      <c r="H940" s="414" t="s">
        <v>95</v>
      </c>
      <c r="I940" s="319" t="s">
        <v>65</v>
      </c>
    </row>
    <row r="941">
      <c r="A941" s="222"/>
      <c r="D941" s="279" t="s">
        <v>61</v>
      </c>
      <c r="E941" s="279">
        <v>2.0</v>
      </c>
      <c r="F941" s="280"/>
      <c r="G941" s="280"/>
      <c r="H941" s="281" t="s">
        <v>62</v>
      </c>
      <c r="I941" s="528" t="s">
        <v>43</v>
      </c>
    </row>
    <row r="942">
      <c r="A942" s="236"/>
      <c r="B942" s="237"/>
      <c r="C942" s="237"/>
      <c r="D942" s="287" t="s">
        <v>131</v>
      </c>
      <c r="E942" s="287">
        <v>1.0</v>
      </c>
      <c r="F942" s="288"/>
      <c r="G942" s="288"/>
      <c r="H942" s="289" t="s">
        <v>132</v>
      </c>
      <c r="I942" s="290" t="s">
        <v>105</v>
      </c>
    </row>
    <row r="943">
      <c r="A943" s="409" t="s">
        <v>645</v>
      </c>
      <c r="B943" s="409" t="s">
        <v>646</v>
      </c>
      <c r="C943" s="532">
        <f>sum(E943:E945)</f>
        <v>8</v>
      </c>
      <c r="D943" s="299" t="s">
        <v>156</v>
      </c>
      <c r="E943" s="299">
        <v>2.0</v>
      </c>
      <c r="F943" s="251"/>
      <c r="G943" s="251"/>
      <c r="H943" s="312" t="s">
        <v>157</v>
      </c>
      <c r="I943" s="300" t="s">
        <v>144</v>
      </c>
      <c r="J943" s="214"/>
      <c r="K943" s="214"/>
      <c r="L943" s="214"/>
      <c r="M943" s="214"/>
      <c r="N943" s="214"/>
      <c r="O943" s="214"/>
      <c r="P943" s="214"/>
      <c r="Q943" s="214"/>
      <c r="R943" s="214"/>
      <c r="S943" s="214"/>
      <c r="T943" s="214"/>
      <c r="U943" s="214"/>
      <c r="V943" s="214"/>
      <c r="W943" s="214"/>
      <c r="X943" s="214"/>
      <c r="Y943" s="214"/>
      <c r="Z943" s="214"/>
      <c r="AA943" s="214"/>
      <c r="AB943" s="214"/>
      <c r="AC943" s="214"/>
    </row>
    <row r="944">
      <c r="D944" s="617" t="s">
        <v>647</v>
      </c>
      <c r="E944" s="618">
        <v>3.0</v>
      </c>
      <c r="F944" s="384"/>
      <c r="G944" s="384"/>
      <c r="H944" s="435"/>
      <c r="I944" s="298" t="s">
        <v>105</v>
      </c>
      <c r="J944" s="214"/>
      <c r="K944" s="214"/>
      <c r="L944" s="214"/>
      <c r="M944" s="214"/>
      <c r="N944" s="214"/>
      <c r="O944" s="214"/>
      <c r="P944" s="214"/>
      <c r="Q944" s="214"/>
      <c r="R944" s="214"/>
      <c r="S944" s="214"/>
      <c r="T944" s="214"/>
      <c r="U944" s="214"/>
      <c r="V944" s="214"/>
      <c r="W944" s="214"/>
      <c r="X944" s="214"/>
      <c r="Y944" s="214"/>
      <c r="Z944" s="214"/>
      <c r="AA944" s="214"/>
      <c r="AB944" s="214"/>
      <c r="AC944" s="214"/>
    </row>
    <row r="945">
      <c r="D945" s="434" t="s">
        <v>306</v>
      </c>
      <c r="E945" s="434">
        <v>3.0</v>
      </c>
      <c r="F945" s="384"/>
      <c r="G945" s="384"/>
      <c r="H945" s="435" t="s">
        <v>31</v>
      </c>
      <c r="I945" s="386" t="s">
        <v>30</v>
      </c>
      <c r="J945" s="214"/>
      <c r="K945" s="214"/>
      <c r="L945" s="214"/>
      <c r="M945" s="214"/>
      <c r="N945" s="214"/>
      <c r="O945" s="214"/>
      <c r="P945" s="214"/>
      <c r="Q945" s="214"/>
      <c r="R945" s="214"/>
      <c r="S945" s="214"/>
      <c r="T945" s="214"/>
      <c r="U945" s="214"/>
      <c r="V945" s="214"/>
      <c r="W945" s="214"/>
      <c r="X945" s="214"/>
      <c r="Y945" s="214"/>
      <c r="Z945" s="214"/>
      <c r="AA945" s="214"/>
      <c r="AB945" s="214"/>
      <c r="AC945" s="214"/>
    </row>
    <row r="946">
      <c r="A946" s="306" t="s">
        <v>648</v>
      </c>
      <c r="B946" s="243" t="s">
        <v>649</v>
      </c>
      <c r="C946" s="550">
        <f>sum(E946:E948)</f>
        <v>7</v>
      </c>
      <c r="D946" s="521" t="s">
        <v>143</v>
      </c>
      <c r="E946" s="521">
        <v>5.0</v>
      </c>
      <c r="F946" s="522"/>
      <c r="G946" s="522"/>
      <c r="H946" s="523" t="s">
        <v>145</v>
      </c>
      <c r="I946" s="538" t="s">
        <v>144</v>
      </c>
      <c r="J946" s="214"/>
      <c r="K946" s="214"/>
      <c r="L946" s="214"/>
      <c r="M946" s="214"/>
      <c r="N946" s="214"/>
      <c r="O946" s="214"/>
      <c r="P946" s="214"/>
      <c r="Q946" s="214"/>
      <c r="R946" s="214"/>
      <c r="S946" s="214"/>
      <c r="T946" s="214"/>
      <c r="U946" s="214"/>
      <c r="V946" s="214"/>
      <c r="W946" s="214"/>
      <c r="X946" s="214"/>
      <c r="Y946" s="214"/>
      <c r="Z946" s="214"/>
      <c r="AA946" s="214"/>
      <c r="AB946" s="214"/>
      <c r="AC946" s="214"/>
    </row>
    <row r="947">
      <c r="A947" s="222"/>
      <c r="D947" s="232" t="s">
        <v>239</v>
      </c>
      <c r="E947" s="232">
        <v>1.0</v>
      </c>
      <c r="F947" s="233"/>
      <c r="G947" s="233"/>
      <c r="H947" s="234" t="s">
        <v>115</v>
      </c>
      <c r="I947" s="298" t="s">
        <v>105</v>
      </c>
      <c r="J947" s="214"/>
      <c r="K947" s="214"/>
      <c r="L947" s="214"/>
      <c r="M947" s="214"/>
      <c r="N947" s="214"/>
      <c r="O947" s="214"/>
      <c r="P947" s="214"/>
      <c r="Q947" s="214"/>
      <c r="R947" s="214"/>
      <c r="S947" s="214"/>
      <c r="T947" s="214"/>
      <c r="U947" s="214"/>
      <c r="V947" s="214"/>
      <c r="W947" s="214"/>
      <c r="X947" s="214"/>
      <c r="Y947" s="214"/>
      <c r="Z947" s="214"/>
      <c r="AA947" s="214"/>
      <c r="AB947" s="214"/>
      <c r="AC947" s="214"/>
    </row>
    <row r="948">
      <c r="A948" s="236"/>
      <c r="B948" s="237"/>
      <c r="C948" s="237"/>
      <c r="D948" s="287" t="s">
        <v>117</v>
      </c>
      <c r="E948" s="287">
        <v>1.0</v>
      </c>
      <c r="F948" s="404"/>
      <c r="G948" s="288"/>
      <c r="H948" s="289" t="s">
        <v>238</v>
      </c>
      <c r="I948" s="290" t="s">
        <v>105</v>
      </c>
      <c r="J948" s="214"/>
      <c r="K948" s="214"/>
      <c r="L948" s="214"/>
      <c r="M948" s="214"/>
      <c r="N948" s="214"/>
      <c r="O948" s="214"/>
      <c r="P948" s="214"/>
      <c r="Q948" s="214"/>
      <c r="R948" s="214"/>
      <c r="S948" s="214"/>
      <c r="T948" s="214"/>
      <c r="U948" s="214"/>
      <c r="V948" s="214"/>
      <c r="W948" s="214"/>
      <c r="X948" s="214"/>
      <c r="Y948" s="214"/>
      <c r="Z948" s="214"/>
      <c r="AA948" s="214"/>
      <c r="AB948" s="214"/>
      <c r="AC948" s="214"/>
    </row>
    <row r="949">
      <c r="A949" s="408" t="s">
        <v>650</v>
      </c>
      <c r="B949" s="409" t="s">
        <v>651</v>
      </c>
      <c r="C949" s="619">
        <f>sum(E949:E951)</f>
        <v>7</v>
      </c>
      <c r="D949" s="299" t="s">
        <v>143</v>
      </c>
      <c r="E949" s="299">
        <v>5.0</v>
      </c>
      <c r="F949" s="251"/>
      <c r="G949" s="251"/>
      <c r="H949" s="312" t="s">
        <v>145</v>
      </c>
      <c r="I949" s="300" t="s">
        <v>144</v>
      </c>
      <c r="J949" s="214"/>
      <c r="K949" s="214"/>
      <c r="L949" s="214"/>
      <c r="M949" s="214"/>
      <c r="N949" s="214"/>
      <c r="O949" s="214"/>
      <c r="P949" s="214"/>
      <c r="Q949" s="214"/>
      <c r="R949" s="214"/>
      <c r="S949" s="214"/>
      <c r="T949" s="214"/>
      <c r="U949" s="214"/>
      <c r="V949" s="214"/>
      <c r="W949" s="214"/>
      <c r="X949" s="214"/>
      <c r="Y949" s="214"/>
      <c r="Z949" s="214"/>
      <c r="AA949" s="214"/>
      <c r="AB949" s="214"/>
      <c r="AC949" s="214"/>
    </row>
    <row r="950">
      <c r="A950" s="222"/>
      <c r="D950" s="232" t="s">
        <v>120</v>
      </c>
      <c r="E950" s="232">
        <v>1.0</v>
      </c>
      <c r="F950" s="254"/>
      <c r="G950" s="233"/>
      <c r="H950" s="234" t="s">
        <v>121</v>
      </c>
      <c r="I950" s="235" t="s">
        <v>105</v>
      </c>
      <c r="J950" s="214"/>
      <c r="K950" s="214"/>
      <c r="L950" s="214"/>
      <c r="M950" s="214"/>
      <c r="N950" s="214"/>
      <c r="O950" s="214"/>
      <c r="P950" s="214"/>
      <c r="Q950" s="214"/>
      <c r="R950" s="214"/>
      <c r="S950" s="214"/>
      <c r="T950" s="214"/>
      <c r="U950" s="214"/>
      <c r="V950" s="214"/>
      <c r="W950" s="214"/>
      <c r="X950" s="214"/>
      <c r="Y950" s="214"/>
      <c r="Z950" s="214"/>
      <c r="AA950" s="214"/>
      <c r="AB950" s="214"/>
      <c r="AC950" s="214"/>
    </row>
    <row r="951">
      <c r="A951" s="236"/>
      <c r="B951" s="237"/>
      <c r="C951" s="237"/>
      <c r="D951" s="287" t="s">
        <v>239</v>
      </c>
      <c r="E951" s="287">
        <v>1.0</v>
      </c>
      <c r="F951" s="288"/>
      <c r="G951" s="288"/>
      <c r="H951" s="289" t="s">
        <v>115</v>
      </c>
      <c r="I951" s="290" t="s">
        <v>105</v>
      </c>
      <c r="J951" s="214"/>
      <c r="K951" s="214"/>
      <c r="L951" s="214"/>
      <c r="M951" s="214"/>
      <c r="N951" s="214"/>
      <c r="O951" s="214"/>
      <c r="P951" s="214"/>
      <c r="Q951" s="214"/>
      <c r="R951" s="214"/>
      <c r="S951" s="214"/>
      <c r="T951" s="214"/>
      <c r="U951" s="214"/>
      <c r="V951" s="214"/>
      <c r="W951" s="214"/>
      <c r="X951" s="214"/>
      <c r="Y951" s="214"/>
      <c r="Z951" s="214"/>
      <c r="AA951" s="214"/>
      <c r="AB951" s="214"/>
      <c r="AC951" s="214"/>
    </row>
    <row r="952">
      <c r="A952" s="306" t="s">
        <v>652</v>
      </c>
      <c r="B952" s="307" t="s">
        <v>653</v>
      </c>
      <c r="C952" s="550">
        <f>sum(E952:E954)</f>
        <v>7</v>
      </c>
      <c r="D952" s="521" t="s">
        <v>143</v>
      </c>
      <c r="E952" s="521">
        <v>5.0</v>
      </c>
      <c r="F952" s="525"/>
      <c r="G952" s="522"/>
      <c r="H952" s="523" t="s">
        <v>145</v>
      </c>
      <c r="I952" s="538" t="s">
        <v>144</v>
      </c>
      <c r="J952" s="214"/>
      <c r="K952" s="214"/>
      <c r="L952" s="214"/>
      <c r="M952" s="214"/>
      <c r="N952" s="214"/>
      <c r="O952" s="214"/>
      <c r="P952" s="214"/>
      <c r="Q952" s="214"/>
      <c r="R952" s="214"/>
      <c r="S952" s="214"/>
      <c r="T952" s="214"/>
      <c r="U952" s="214"/>
      <c r="V952" s="214"/>
      <c r="W952" s="214"/>
      <c r="X952" s="214"/>
      <c r="Y952" s="214"/>
      <c r="Z952" s="214"/>
      <c r="AA952" s="214"/>
      <c r="AB952" s="214"/>
      <c r="AC952" s="214"/>
    </row>
    <row r="953">
      <c r="A953" s="222"/>
      <c r="D953" s="232" t="s">
        <v>239</v>
      </c>
      <c r="E953" s="232">
        <v>1.0</v>
      </c>
      <c r="F953" s="233"/>
      <c r="G953" s="254"/>
      <c r="H953" s="234" t="s">
        <v>115</v>
      </c>
      <c r="I953" s="235" t="s">
        <v>105</v>
      </c>
      <c r="J953" s="214"/>
      <c r="K953" s="214"/>
      <c r="L953" s="214"/>
      <c r="M953" s="214"/>
      <c r="N953" s="214"/>
      <c r="O953" s="214"/>
      <c r="P953" s="214"/>
      <c r="Q953" s="214"/>
      <c r="R953" s="214"/>
      <c r="S953" s="214"/>
      <c r="T953" s="214"/>
      <c r="U953" s="214"/>
      <c r="V953" s="214"/>
      <c r="W953" s="214"/>
      <c r="X953" s="214"/>
      <c r="Y953" s="214"/>
      <c r="Z953" s="214"/>
      <c r="AA953" s="214"/>
      <c r="AB953" s="214"/>
      <c r="AC953" s="214"/>
    </row>
    <row r="954">
      <c r="A954" s="236"/>
      <c r="B954" s="237"/>
      <c r="C954" s="237"/>
      <c r="D954" s="287" t="s">
        <v>134</v>
      </c>
      <c r="E954" s="287">
        <v>1.0</v>
      </c>
      <c r="F954" s="288"/>
      <c r="G954" s="288"/>
      <c r="H954" s="289" t="s">
        <v>135</v>
      </c>
      <c r="I954" s="461" t="s">
        <v>105</v>
      </c>
      <c r="J954" s="214"/>
      <c r="K954" s="214"/>
      <c r="L954" s="214"/>
      <c r="M954" s="214"/>
      <c r="N954" s="214"/>
      <c r="O954" s="214"/>
      <c r="P954" s="214"/>
      <c r="Q954" s="214"/>
      <c r="R954" s="214"/>
      <c r="S954" s="214"/>
      <c r="T954" s="214"/>
      <c r="U954" s="214"/>
      <c r="V954" s="214"/>
      <c r="W954" s="214"/>
      <c r="X954" s="214"/>
      <c r="Y954" s="214"/>
      <c r="Z954" s="214"/>
      <c r="AA954" s="214"/>
      <c r="AB954" s="214"/>
      <c r="AC954" s="214"/>
    </row>
    <row r="955">
      <c r="A955" s="242" t="s">
        <v>654</v>
      </c>
      <c r="B955" s="243" t="s">
        <v>655</v>
      </c>
      <c r="C955" s="550">
        <f>sum(E955:E958)</f>
        <v>7</v>
      </c>
      <c r="D955" s="515" t="s">
        <v>79</v>
      </c>
      <c r="E955" s="515">
        <v>2.0</v>
      </c>
      <c r="F955" s="620" t="s">
        <v>656</v>
      </c>
      <c r="G955" s="570"/>
      <c r="H955" s="294" t="s">
        <v>80</v>
      </c>
      <c r="I955" s="319" t="s">
        <v>65</v>
      </c>
      <c r="J955" s="214"/>
      <c r="K955" s="214"/>
      <c r="L955" s="214"/>
      <c r="M955" s="214"/>
      <c r="N955" s="214"/>
      <c r="O955" s="214"/>
      <c r="P955" s="214"/>
      <c r="Q955" s="214"/>
      <c r="R955" s="214"/>
      <c r="S955" s="214"/>
      <c r="T955" s="214"/>
      <c r="U955" s="214"/>
      <c r="V955" s="214"/>
      <c r="W955" s="214"/>
      <c r="X955" s="214"/>
      <c r="Y955" s="214"/>
      <c r="Z955" s="214"/>
      <c r="AA955" s="214"/>
      <c r="AB955" s="214"/>
      <c r="AC955" s="214"/>
    </row>
    <row r="956">
      <c r="A956" s="222"/>
      <c r="D956" s="387" t="s">
        <v>49</v>
      </c>
      <c r="E956" s="387">
        <v>2.0</v>
      </c>
      <c r="H956" s="388" t="s">
        <v>50</v>
      </c>
      <c r="I956" s="448" t="s">
        <v>43</v>
      </c>
      <c r="J956" s="214"/>
      <c r="K956" s="214"/>
      <c r="L956" s="214"/>
      <c r="M956" s="214"/>
      <c r="N956" s="214"/>
      <c r="O956" s="214"/>
      <c r="P956" s="214"/>
      <c r="Q956" s="214"/>
      <c r="R956" s="214"/>
      <c r="S956" s="214"/>
      <c r="T956" s="214"/>
      <c r="U956" s="214"/>
      <c r="V956" s="214"/>
      <c r="W956" s="214"/>
      <c r="X956" s="214"/>
      <c r="Y956" s="214"/>
      <c r="Z956" s="214"/>
      <c r="AA956" s="214"/>
      <c r="AB956" s="214"/>
      <c r="AC956" s="214"/>
    </row>
    <row r="957">
      <c r="A957" s="222"/>
      <c r="D957" s="402" t="s">
        <v>166</v>
      </c>
      <c r="E957" s="402">
        <v>2.0</v>
      </c>
      <c r="H957" s="273" t="s">
        <v>167</v>
      </c>
      <c r="I957" s="393" t="s">
        <v>163</v>
      </c>
      <c r="J957" s="214"/>
      <c r="K957" s="214"/>
      <c r="L957" s="214"/>
      <c r="M957" s="214"/>
      <c r="N957" s="214"/>
      <c r="O957" s="214"/>
      <c r="P957" s="214"/>
      <c r="Q957" s="214"/>
      <c r="R957" s="214"/>
      <c r="S957" s="214"/>
      <c r="T957" s="214"/>
      <c r="U957" s="214"/>
      <c r="V957" s="214"/>
      <c r="W957" s="214"/>
      <c r="X957" s="214"/>
      <c r="Y957" s="214"/>
      <c r="Z957" s="214"/>
      <c r="AA957" s="214"/>
      <c r="AB957" s="214"/>
      <c r="AC957" s="214"/>
    </row>
    <row r="958">
      <c r="A958" s="222"/>
      <c r="C958" s="237"/>
      <c r="D958" s="621" t="s">
        <v>172</v>
      </c>
      <c r="E958" s="621">
        <v>1.0</v>
      </c>
      <c r="F958" s="237"/>
      <c r="G958" s="237"/>
      <c r="H958" s="622" t="s">
        <v>389</v>
      </c>
      <c r="I958" s="480" t="s">
        <v>163</v>
      </c>
      <c r="J958" s="214"/>
      <c r="K958" s="214"/>
      <c r="L958" s="214"/>
      <c r="M958" s="214"/>
      <c r="N958" s="214"/>
      <c r="O958" s="214"/>
      <c r="P958" s="214"/>
      <c r="Q958" s="214"/>
      <c r="R958" s="214"/>
      <c r="S958" s="214"/>
      <c r="T958" s="214"/>
      <c r="U958" s="214"/>
      <c r="V958" s="214"/>
      <c r="W958" s="214"/>
      <c r="X958" s="214"/>
      <c r="Y958" s="214"/>
      <c r="Z958" s="214"/>
      <c r="AA958" s="214"/>
      <c r="AB958" s="214"/>
      <c r="AC958" s="214"/>
    </row>
    <row r="959">
      <c r="A959" s="222"/>
      <c r="C959" s="532">
        <f>sum(E959:E961)</f>
        <v>4</v>
      </c>
      <c r="D959" s="308" t="s">
        <v>134</v>
      </c>
      <c r="E959" s="308">
        <v>1.0</v>
      </c>
      <c r="F959" s="623" t="s">
        <v>657</v>
      </c>
      <c r="G959" s="570"/>
      <c r="H959" s="310" t="s">
        <v>135</v>
      </c>
      <c r="I959" s="438" t="s">
        <v>105</v>
      </c>
      <c r="J959" s="214"/>
      <c r="K959" s="214"/>
      <c r="L959" s="214"/>
      <c r="M959" s="214"/>
      <c r="N959" s="214"/>
      <c r="O959" s="214"/>
      <c r="P959" s="214"/>
      <c r="Q959" s="214"/>
      <c r="R959" s="214"/>
      <c r="S959" s="214"/>
      <c r="T959" s="214"/>
      <c r="U959" s="214"/>
      <c r="V959" s="214"/>
      <c r="W959" s="214"/>
      <c r="X959" s="214"/>
      <c r="Y959" s="214"/>
      <c r="Z959" s="214"/>
      <c r="AA959" s="214"/>
      <c r="AB959" s="214"/>
      <c r="AC959" s="214"/>
    </row>
    <row r="960">
      <c r="A960" s="222"/>
      <c r="D960" s="506" t="s">
        <v>22</v>
      </c>
      <c r="E960" s="506">
        <v>2.0</v>
      </c>
      <c r="H960" s="507" t="s">
        <v>265</v>
      </c>
      <c r="I960" s="424" t="s">
        <v>23</v>
      </c>
      <c r="J960" s="214"/>
      <c r="K960" s="214"/>
      <c r="L960" s="214"/>
      <c r="M960" s="214"/>
      <c r="N960" s="214"/>
      <c r="O960" s="214"/>
      <c r="P960" s="214"/>
      <c r="Q960" s="214"/>
      <c r="R960" s="214"/>
      <c r="S960" s="214"/>
      <c r="T960" s="214"/>
      <c r="U960" s="214"/>
      <c r="V960" s="214"/>
      <c r="W960" s="214"/>
      <c r="X960" s="214"/>
      <c r="Y960" s="214"/>
      <c r="Z960" s="214"/>
      <c r="AA960" s="214"/>
      <c r="AB960" s="214"/>
      <c r="AC960" s="214"/>
    </row>
    <row r="961">
      <c r="A961" s="236"/>
      <c r="B961" s="237"/>
      <c r="C961" s="237"/>
      <c r="D961" s="459" t="s">
        <v>117</v>
      </c>
      <c r="E961" s="459">
        <v>1.0</v>
      </c>
      <c r="F961" s="237"/>
      <c r="G961" s="237"/>
      <c r="H961" s="460" t="s">
        <v>238</v>
      </c>
      <c r="I961" s="290" t="s">
        <v>105</v>
      </c>
      <c r="J961" s="214"/>
      <c r="K961" s="214"/>
      <c r="L961" s="214"/>
      <c r="M961" s="214"/>
      <c r="N961" s="214"/>
      <c r="O961" s="214"/>
      <c r="P961" s="214"/>
      <c r="Q961" s="214"/>
      <c r="R961" s="214"/>
      <c r="S961" s="214"/>
      <c r="T961" s="214"/>
      <c r="U961" s="214"/>
      <c r="V961" s="214"/>
      <c r="W961" s="214"/>
      <c r="X961" s="214"/>
      <c r="Y961" s="214"/>
      <c r="Z961" s="214"/>
      <c r="AA961" s="214"/>
      <c r="AB961" s="214"/>
      <c r="AC961" s="214"/>
    </row>
    <row r="962">
      <c r="A962" s="242" t="s">
        <v>658</v>
      </c>
      <c r="B962" s="243" t="s">
        <v>659</v>
      </c>
      <c r="C962" s="550">
        <f>sum(E962:E964)</f>
        <v>7</v>
      </c>
      <c r="D962" s="535" t="s">
        <v>143</v>
      </c>
      <c r="E962" s="535">
        <v>5.0</v>
      </c>
      <c r="F962" s="525"/>
      <c r="G962" s="522"/>
      <c r="H962" s="536" t="s">
        <v>145</v>
      </c>
      <c r="I962" s="524" t="s">
        <v>144</v>
      </c>
      <c r="J962" s="214"/>
      <c r="K962" s="214"/>
      <c r="L962" s="214"/>
      <c r="M962" s="214"/>
      <c r="N962" s="214"/>
      <c r="O962" s="214"/>
      <c r="P962" s="214"/>
      <c r="Q962" s="214"/>
      <c r="R962" s="214"/>
      <c r="S962" s="214"/>
      <c r="T962" s="214"/>
      <c r="U962" s="214"/>
      <c r="V962" s="214"/>
      <c r="W962" s="214"/>
      <c r="X962" s="214"/>
      <c r="Y962" s="214"/>
      <c r="Z962" s="214"/>
      <c r="AA962" s="214"/>
      <c r="AB962" s="214"/>
      <c r="AC962" s="214"/>
    </row>
    <row r="963">
      <c r="A963" s="222"/>
      <c r="D963" s="232" t="s">
        <v>137</v>
      </c>
      <c r="E963" s="232">
        <v>1.0</v>
      </c>
      <c r="F963" s="233"/>
      <c r="G963" s="233"/>
      <c r="H963" s="234" t="s">
        <v>138</v>
      </c>
      <c r="I963" s="298" t="s">
        <v>105</v>
      </c>
      <c r="J963" s="214"/>
      <c r="K963" s="214"/>
      <c r="L963" s="214"/>
      <c r="M963" s="214"/>
      <c r="N963" s="214"/>
      <c r="O963" s="214"/>
      <c r="P963" s="214"/>
      <c r="Q963" s="214"/>
      <c r="R963" s="214"/>
      <c r="S963" s="214"/>
      <c r="T963" s="214"/>
      <c r="U963" s="214"/>
      <c r="V963" s="214"/>
      <c r="W963" s="214"/>
      <c r="X963" s="214"/>
      <c r="Y963" s="214"/>
      <c r="Z963" s="214"/>
      <c r="AA963" s="214"/>
      <c r="AB963" s="214"/>
      <c r="AC963" s="214"/>
    </row>
    <row r="964">
      <c r="A964" s="236"/>
      <c r="B964" s="237"/>
      <c r="C964" s="237"/>
      <c r="D964" s="287" t="s">
        <v>239</v>
      </c>
      <c r="E964" s="287">
        <v>1.0</v>
      </c>
      <c r="F964" s="288"/>
      <c r="G964" s="288"/>
      <c r="H964" s="289" t="s">
        <v>115</v>
      </c>
      <c r="I964" s="290" t="s">
        <v>105</v>
      </c>
      <c r="J964" s="214"/>
      <c r="K964" s="214"/>
      <c r="L964" s="214"/>
      <c r="M964" s="214"/>
      <c r="N964" s="214"/>
      <c r="O964" s="214"/>
      <c r="P964" s="214"/>
      <c r="Q964" s="214"/>
      <c r="R964" s="214"/>
      <c r="S964" s="214"/>
      <c r="T964" s="214"/>
      <c r="U964" s="214"/>
      <c r="V964" s="214"/>
      <c r="W964" s="214"/>
      <c r="X964" s="214"/>
      <c r="Y964" s="214"/>
      <c r="Z964" s="214"/>
      <c r="AA964" s="214"/>
      <c r="AB964" s="214"/>
      <c r="AC964" s="214"/>
    </row>
    <row r="965">
      <c r="A965" s="242" t="s">
        <v>660</v>
      </c>
      <c r="B965" s="243" t="s">
        <v>535</v>
      </c>
      <c r="C965" s="550">
        <f>sum(E965:E970)</f>
        <v>7</v>
      </c>
      <c r="D965" s="292" t="s">
        <v>91</v>
      </c>
      <c r="E965" s="292">
        <v>1.0</v>
      </c>
      <c r="F965" s="324"/>
      <c r="G965" s="324"/>
      <c r="H965" s="486" t="s">
        <v>92</v>
      </c>
      <c r="I965" s="295" t="s">
        <v>65</v>
      </c>
      <c r="J965" s="214"/>
      <c r="K965" s="214"/>
      <c r="L965" s="214"/>
      <c r="M965" s="214"/>
      <c r="N965" s="214"/>
      <c r="O965" s="214"/>
      <c r="P965" s="214"/>
      <c r="Q965" s="214"/>
      <c r="R965" s="214"/>
      <c r="S965" s="214"/>
      <c r="T965" s="214"/>
      <c r="U965" s="214"/>
      <c r="V965" s="214"/>
      <c r="W965" s="214"/>
      <c r="X965" s="214"/>
      <c r="Y965" s="214"/>
      <c r="Z965" s="214"/>
      <c r="AA965" s="214"/>
      <c r="AB965" s="214"/>
      <c r="AC965" s="214"/>
    </row>
    <row r="966">
      <c r="A966" s="222"/>
      <c r="D966" s="299" t="s">
        <v>153</v>
      </c>
      <c r="E966" s="299">
        <v>2.0</v>
      </c>
      <c r="F966" s="250"/>
      <c r="G966" s="251"/>
      <c r="H966" s="312" t="s">
        <v>154</v>
      </c>
      <c r="I966" s="300" t="s">
        <v>144</v>
      </c>
      <c r="J966" s="214"/>
      <c r="K966" s="214"/>
      <c r="L966" s="214"/>
      <c r="M966" s="214"/>
      <c r="N966" s="214"/>
      <c r="O966" s="214"/>
      <c r="P966" s="214"/>
      <c r="Q966" s="214"/>
      <c r="R966" s="214"/>
      <c r="S966" s="214"/>
      <c r="T966" s="214"/>
      <c r="U966" s="214"/>
      <c r="V966" s="214"/>
      <c r="W966" s="214"/>
      <c r="X966" s="214"/>
      <c r="Y966" s="214"/>
      <c r="Z966" s="214"/>
      <c r="AA966" s="214"/>
      <c r="AB966" s="214"/>
      <c r="AC966" s="214"/>
    </row>
    <row r="967">
      <c r="A967" s="222"/>
      <c r="D967" s="271" t="s">
        <v>172</v>
      </c>
      <c r="E967" s="271">
        <v>1.0</v>
      </c>
      <c r="F967" s="272"/>
      <c r="G967" s="272"/>
      <c r="H967" s="273" t="s">
        <v>389</v>
      </c>
      <c r="I967" s="274" t="s">
        <v>163</v>
      </c>
      <c r="J967" s="214"/>
      <c r="K967" s="214"/>
      <c r="L967" s="214"/>
      <c r="M967" s="214"/>
      <c r="N967" s="214"/>
      <c r="O967" s="214"/>
      <c r="P967" s="214"/>
      <c r="Q967" s="214"/>
      <c r="R967" s="214"/>
      <c r="S967" s="214"/>
      <c r="T967" s="214"/>
      <c r="U967" s="214"/>
      <c r="V967" s="214"/>
      <c r="W967" s="214"/>
      <c r="X967" s="214"/>
      <c r="Y967" s="214"/>
      <c r="Z967" s="214"/>
      <c r="AA967" s="214"/>
      <c r="AB967" s="214"/>
      <c r="AC967" s="214"/>
    </row>
    <row r="968">
      <c r="A968" s="222"/>
      <c r="D968" s="232" t="s">
        <v>129</v>
      </c>
      <c r="E968" s="232">
        <v>1.0</v>
      </c>
      <c r="F968" s="254"/>
      <c r="G968" s="254"/>
      <c r="H968" s="234" t="s">
        <v>130</v>
      </c>
      <c r="I968" s="235" t="s">
        <v>105</v>
      </c>
      <c r="J968" s="214"/>
      <c r="K968" s="214"/>
      <c r="L968" s="214"/>
      <c r="M968" s="214"/>
      <c r="N968" s="214"/>
      <c r="O968" s="214"/>
      <c r="P968" s="214"/>
      <c r="Q968" s="214"/>
      <c r="R968" s="214"/>
      <c r="S968" s="214"/>
      <c r="T968" s="214"/>
      <c r="U968" s="214"/>
      <c r="V968" s="214"/>
      <c r="W968" s="214"/>
      <c r="X968" s="214"/>
      <c r="Y968" s="214"/>
      <c r="Z968" s="214"/>
      <c r="AA968" s="214"/>
      <c r="AB968" s="214"/>
      <c r="AC968" s="214"/>
    </row>
    <row r="969">
      <c r="A969" s="222"/>
      <c r="D969" s="232" t="s">
        <v>239</v>
      </c>
      <c r="E969" s="232">
        <v>1.0</v>
      </c>
      <c r="F969" s="254"/>
      <c r="G969" s="254"/>
      <c r="H969" s="234" t="s">
        <v>115</v>
      </c>
      <c r="I969" s="298" t="s">
        <v>105</v>
      </c>
      <c r="J969" s="214"/>
      <c r="K969" s="214"/>
      <c r="L969" s="214"/>
      <c r="M969" s="214"/>
      <c r="N969" s="214"/>
      <c r="O969" s="214"/>
      <c r="P969" s="214"/>
      <c r="Q969" s="214"/>
      <c r="R969" s="214"/>
      <c r="S969" s="214"/>
      <c r="T969" s="214"/>
      <c r="U969" s="214"/>
      <c r="V969" s="214"/>
      <c r="W969" s="214"/>
      <c r="X969" s="214"/>
      <c r="Y969" s="214"/>
      <c r="Z969" s="214"/>
      <c r="AA969" s="214"/>
      <c r="AB969" s="214"/>
      <c r="AC969" s="214"/>
    </row>
    <row r="970">
      <c r="A970" s="236"/>
      <c r="B970" s="237"/>
      <c r="C970" s="237"/>
      <c r="D970" s="287" t="s">
        <v>120</v>
      </c>
      <c r="E970" s="287">
        <v>1.0</v>
      </c>
      <c r="F970" s="288"/>
      <c r="G970" s="288"/>
      <c r="H970" s="289" t="s">
        <v>121</v>
      </c>
      <c r="I970" s="290" t="s">
        <v>105</v>
      </c>
      <c r="J970" s="214"/>
      <c r="K970" s="214"/>
      <c r="L970" s="214"/>
      <c r="M970" s="214"/>
      <c r="N970" s="214"/>
      <c r="O970" s="214"/>
      <c r="P970" s="214"/>
      <c r="Q970" s="214"/>
      <c r="R970" s="214"/>
      <c r="S970" s="214"/>
      <c r="T970" s="214"/>
      <c r="U970" s="214"/>
      <c r="V970" s="214"/>
      <c r="W970" s="214"/>
      <c r="X970" s="214"/>
      <c r="Y970" s="214"/>
      <c r="Z970" s="214"/>
      <c r="AA970" s="214"/>
      <c r="AB970" s="214"/>
      <c r="AC970" s="214"/>
    </row>
    <row r="971">
      <c r="A971" s="453" t="s">
        <v>661</v>
      </c>
      <c r="B971" s="409" t="s">
        <v>662</v>
      </c>
      <c r="C971" s="619">
        <f>sum(E971:E973)</f>
        <v>7</v>
      </c>
      <c r="D971" s="227" t="s">
        <v>254</v>
      </c>
      <c r="E971" s="227">
        <v>2.0</v>
      </c>
      <c r="F971" s="228"/>
      <c r="G971" s="228"/>
      <c r="H971" s="229" t="s">
        <v>255</v>
      </c>
      <c r="I971" s="359" t="s">
        <v>7</v>
      </c>
      <c r="J971" s="214"/>
      <c r="K971" s="214"/>
      <c r="L971" s="214"/>
      <c r="M971" s="214"/>
      <c r="N971" s="214"/>
      <c r="O971" s="214"/>
      <c r="P971" s="214"/>
      <c r="Q971" s="214"/>
      <c r="R971" s="214"/>
      <c r="S971" s="214"/>
      <c r="T971" s="214"/>
      <c r="U971" s="214"/>
      <c r="V971" s="214"/>
      <c r="W971" s="214"/>
      <c r="X971" s="214"/>
      <c r="Y971" s="214"/>
      <c r="Z971" s="214"/>
      <c r="AA971" s="214"/>
      <c r="AB971" s="214"/>
      <c r="AC971" s="214"/>
    </row>
    <row r="972">
      <c r="A972" s="222"/>
      <c r="D972" s="299" t="s">
        <v>156</v>
      </c>
      <c r="E972" s="299">
        <v>2.0</v>
      </c>
      <c r="F972" s="250"/>
      <c r="G972" s="250"/>
      <c r="H972" s="312" t="s">
        <v>157</v>
      </c>
      <c r="I972" s="300" t="s">
        <v>144</v>
      </c>
      <c r="J972" s="214"/>
      <c r="K972" s="214"/>
      <c r="L972" s="214"/>
      <c r="M972" s="214"/>
      <c r="N972" s="214"/>
      <c r="O972" s="214"/>
      <c r="P972" s="214"/>
      <c r="Q972" s="214"/>
      <c r="R972" s="214"/>
      <c r="S972" s="214"/>
      <c r="T972" s="214"/>
      <c r="U972" s="214"/>
      <c r="V972" s="214"/>
      <c r="W972" s="214"/>
      <c r="X972" s="214"/>
      <c r="Y972" s="214"/>
      <c r="Z972" s="214"/>
      <c r="AA972" s="214"/>
      <c r="AB972" s="214"/>
      <c r="AC972" s="214"/>
    </row>
    <row r="973">
      <c r="A973" s="236"/>
      <c r="B973" s="237"/>
      <c r="C973" s="237"/>
      <c r="D973" s="238" t="s">
        <v>64</v>
      </c>
      <c r="E973" s="238">
        <v>3.0</v>
      </c>
      <c r="F973" s="239"/>
      <c r="G973" s="239"/>
      <c r="H973" s="446" t="s">
        <v>66</v>
      </c>
      <c r="I973" s="241" t="s">
        <v>65</v>
      </c>
      <c r="J973" s="214"/>
      <c r="K973" s="214"/>
      <c r="L973" s="214"/>
      <c r="M973" s="214"/>
      <c r="N973" s="214"/>
      <c r="O973" s="214"/>
      <c r="P973" s="214"/>
      <c r="Q973" s="214"/>
      <c r="R973" s="214"/>
      <c r="S973" s="214"/>
      <c r="T973" s="214"/>
      <c r="U973" s="214"/>
      <c r="V973" s="214"/>
      <c r="W973" s="214"/>
      <c r="X973" s="214"/>
      <c r="Y973" s="214"/>
      <c r="Z973" s="214"/>
      <c r="AA973" s="214"/>
      <c r="AB973" s="214"/>
      <c r="AC973" s="214"/>
    </row>
    <row r="974">
      <c r="A974" s="408" t="s">
        <v>663</v>
      </c>
      <c r="B974" s="409" t="s">
        <v>664</v>
      </c>
      <c r="C974" s="619">
        <f>sum(E974:E976)</f>
        <v>7</v>
      </c>
      <c r="D974" s="249" t="s">
        <v>147</v>
      </c>
      <c r="E974" s="249">
        <v>3.0</v>
      </c>
      <c r="F974" s="251"/>
      <c r="G974" s="251"/>
      <c r="H974" s="252" t="s">
        <v>145</v>
      </c>
      <c r="I974" s="524" t="s">
        <v>144</v>
      </c>
      <c r="J974" s="214"/>
      <c r="K974" s="214"/>
      <c r="L974" s="214"/>
      <c r="M974" s="214"/>
      <c r="N974" s="214"/>
      <c r="O974" s="214"/>
      <c r="P974" s="214"/>
      <c r="Q974" s="214"/>
      <c r="R974" s="214"/>
      <c r="S974" s="214"/>
      <c r="T974" s="214"/>
      <c r="U974" s="214"/>
      <c r="V974" s="214"/>
      <c r="W974" s="214"/>
      <c r="X974" s="214"/>
      <c r="Y974" s="214"/>
      <c r="Z974" s="214"/>
      <c r="AA974" s="214"/>
      <c r="AB974" s="214"/>
      <c r="AC974" s="214"/>
    </row>
    <row r="975">
      <c r="A975" s="222"/>
      <c r="D975" s="271" t="s">
        <v>162</v>
      </c>
      <c r="E975" s="271">
        <v>2.0</v>
      </c>
      <c r="F975" s="272"/>
      <c r="G975" s="272"/>
      <c r="H975" s="273" t="s">
        <v>164</v>
      </c>
      <c r="I975" s="274" t="s">
        <v>163</v>
      </c>
      <c r="J975" s="214"/>
      <c r="K975" s="214"/>
      <c r="L975" s="214"/>
      <c r="M975" s="214"/>
      <c r="N975" s="214"/>
      <c r="O975" s="214"/>
      <c r="P975" s="214"/>
      <c r="Q975" s="214"/>
      <c r="R975" s="214"/>
      <c r="S975" s="214"/>
      <c r="T975" s="214"/>
      <c r="U975" s="214"/>
      <c r="V975" s="214"/>
      <c r="W975" s="214"/>
      <c r="X975" s="214"/>
      <c r="Y975" s="214"/>
      <c r="Z975" s="214"/>
      <c r="AA975" s="214"/>
      <c r="AB975" s="214"/>
      <c r="AC975" s="214"/>
    </row>
    <row r="976">
      <c r="A976" s="236"/>
      <c r="B976" s="237"/>
      <c r="C976" s="237"/>
      <c r="D976" s="374" t="s">
        <v>19</v>
      </c>
      <c r="E976" s="374">
        <v>2.0</v>
      </c>
      <c r="F976" s="504"/>
      <c r="G976" s="504"/>
      <c r="H976" s="376" t="s">
        <v>20</v>
      </c>
      <c r="I976" s="230" t="s">
        <v>7</v>
      </c>
      <c r="J976" s="214"/>
      <c r="K976" s="214"/>
      <c r="L976" s="214"/>
      <c r="M976" s="214"/>
      <c r="N976" s="214"/>
      <c r="O976" s="214"/>
      <c r="P976" s="214"/>
      <c r="Q976" s="214"/>
      <c r="R976" s="214"/>
      <c r="S976" s="214"/>
      <c r="T976" s="214"/>
      <c r="U976" s="214"/>
      <c r="V976" s="214"/>
      <c r="W976" s="214"/>
      <c r="X976" s="214"/>
      <c r="Y976" s="214"/>
      <c r="Z976" s="214"/>
      <c r="AA976" s="214"/>
      <c r="AB976" s="214"/>
      <c r="AC976" s="214"/>
    </row>
    <row r="977">
      <c r="A977" s="624" t="s">
        <v>665</v>
      </c>
      <c r="B977" s="625" t="s">
        <v>666</v>
      </c>
      <c r="C977" s="619">
        <f>sum(E977:E979)</f>
        <v>7</v>
      </c>
      <c r="D977" s="271" t="s">
        <v>162</v>
      </c>
      <c r="E977" s="271">
        <v>2.0</v>
      </c>
      <c r="F977" s="272"/>
      <c r="G977" s="272"/>
      <c r="H977" s="273" t="s">
        <v>164</v>
      </c>
      <c r="I977" s="274" t="s">
        <v>163</v>
      </c>
      <c r="J977" s="214"/>
      <c r="K977" s="214"/>
      <c r="L977" s="214"/>
      <c r="M977" s="214"/>
      <c r="N977" s="214"/>
      <c r="O977" s="214"/>
      <c r="P977" s="214"/>
      <c r="Q977" s="214"/>
      <c r="R977" s="214"/>
      <c r="S977" s="214"/>
      <c r="T977" s="214"/>
      <c r="U977" s="214"/>
      <c r="V977" s="214"/>
      <c r="W977" s="214"/>
      <c r="X977" s="214"/>
      <c r="Y977" s="214"/>
      <c r="Z977" s="214"/>
      <c r="AA977" s="214"/>
      <c r="AB977" s="214"/>
      <c r="AC977" s="214"/>
    </row>
    <row r="978">
      <c r="A978" s="222"/>
      <c r="D978" s="271" t="s">
        <v>166</v>
      </c>
      <c r="E978" s="271">
        <v>2.0</v>
      </c>
      <c r="F978" s="272"/>
      <c r="G978" s="272"/>
      <c r="H978" s="273" t="s">
        <v>167</v>
      </c>
      <c r="I978" s="274" t="s">
        <v>163</v>
      </c>
      <c r="J978" s="214"/>
      <c r="K978" s="214"/>
      <c r="L978" s="214"/>
      <c r="M978" s="214"/>
      <c r="N978" s="214"/>
      <c r="O978" s="214"/>
      <c r="P978" s="214"/>
      <c r="Q978" s="214"/>
      <c r="R978" s="214"/>
      <c r="S978" s="214"/>
      <c r="T978" s="214"/>
      <c r="U978" s="214"/>
      <c r="V978" s="214"/>
      <c r="W978" s="214"/>
      <c r="X978" s="214"/>
      <c r="Y978" s="214"/>
      <c r="Z978" s="214"/>
      <c r="AA978" s="214"/>
      <c r="AB978" s="214"/>
      <c r="AC978" s="214"/>
    </row>
    <row r="979">
      <c r="A979" s="236"/>
      <c r="B979" s="237"/>
      <c r="C979" s="237"/>
      <c r="D979" s="494" t="s">
        <v>64</v>
      </c>
      <c r="E979" s="494">
        <v>3.0</v>
      </c>
      <c r="F979" s="238" t="s">
        <v>340</v>
      </c>
      <c r="G979" s="239"/>
      <c r="H979" s="446" t="s">
        <v>66</v>
      </c>
      <c r="I979" s="626" t="s">
        <v>65</v>
      </c>
      <c r="J979" s="214"/>
      <c r="K979" s="214"/>
      <c r="L979" s="214"/>
      <c r="M979" s="214"/>
      <c r="N979" s="214"/>
      <c r="O979" s="214"/>
      <c r="P979" s="214"/>
      <c r="Q979" s="214"/>
      <c r="R979" s="214"/>
      <c r="S979" s="214"/>
      <c r="T979" s="214"/>
      <c r="U979" s="214"/>
      <c r="V979" s="214"/>
      <c r="W979" s="214"/>
      <c r="X979" s="214"/>
      <c r="Y979" s="214"/>
      <c r="Z979" s="214"/>
      <c r="AA979" s="214"/>
      <c r="AB979" s="214"/>
      <c r="AC979" s="214"/>
    </row>
    <row r="980">
      <c r="A980" s="408" t="s">
        <v>667</v>
      </c>
      <c r="B980" s="409" t="s">
        <v>668</v>
      </c>
      <c r="C980" s="619">
        <f>sum(E980:E983)</f>
        <v>7</v>
      </c>
      <c r="D980" s="227" t="s">
        <v>14</v>
      </c>
      <c r="E980" s="227">
        <v>2.0</v>
      </c>
      <c r="F980" s="327"/>
      <c r="G980" s="228"/>
      <c r="H980" s="229" t="s">
        <v>16</v>
      </c>
      <c r="I980" s="359" t="s">
        <v>7</v>
      </c>
      <c r="J980" s="214"/>
      <c r="K980" s="214"/>
      <c r="L980" s="214"/>
      <c r="M980" s="214"/>
      <c r="N980" s="214"/>
      <c r="O980" s="214"/>
      <c r="P980" s="214"/>
      <c r="Q980" s="214"/>
      <c r="R980" s="214"/>
      <c r="S980" s="214"/>
      <c r="T980" s="214"/>
      <c r="U980" s="214"/>
      <c r="V980" s="214"/>
      <c r="W980" s="214"/>
      <c r="X980" s="214"/>
      <c r="Y980" s="214"/>
      <c r="Z980" s="214"/>
      <c r="AA980" s="214"/>
      <c r="AB980" s="214"/>
      <c r="AC980" s="214"/>
    </row>
    <row r="981">
      <c r="A981" s="222"/>
      <c r="D981" s="299" t="s">
        <v>159</v>
      </c>
      <c r="E981" s="299">
        <v>1.0</v>
      </c>
      <c r="F981" s="251"/>
      <c r="G981" s="251"/>
      <c r="H981" s="312" t="s">
        <v>160</v>
      </c>
      <c r="I981" s="253" t="s">
        <v>144</v>
      </c>
      <c r="J981" s="214"/>
      <c r="K981" s="214"/>
      <c r="L981" s="214"/>
      <c r="M981" s="214"/>
      <c r="N981" s="214"/>
      <c r="O981" s="214"/>
      <c r="P981" s="214"/>
      <c r="Q981" s="214"/>
      <c r="R981" s="214"/>
      <c r="S981" s="214"/>
      <c r="T981" s="214"/>
      <c r="U981" s="214"/>
      <c r="V981" s="214"/>
      <c r="W981" s="214"/>
      <c r="X981" s="214"/>
      <c r="Y981" s="214"/>
      <c r="Z981" s="214"/>
      <c r="AA981" s="214"/>
      <c r="AB981" s="214"/>
      <c r="AC981" s="214"/>
    </row>
    <row r="982">
      <c r="A982" s="222"/>
      <c r="D982" s="286" t="s">
        <v>64</v>
      </c>
      <c r="E982" s="286">
        <v>3.0</v>
      </c>
      <c r="F982" s="261"/>
      <c r="G982" s="261"/>
      <c r="H982" s="262" t="s">
        <v>66</v>
      </c>
      <c r="I982" s="263" t="s">
        <v>65</v>
      </c>
      <c r="J982" s="214"/>
      <c r="K982" s="214"/>
      <c r="L982" s="214"/>
      <c r="M982" s="214"/>
      <c r="N982" s="214"/>
      <c r="O982" s="214"/>
      <c r="P982" s="214"/>
      <c r="Q982" s="214"/>
      <c r="R982" s="214"/>
      <c r="S982" s="214"/>
      <c r="T982" s="214"/>
      <c r="U982" s="214"/>
      <c r="V982" s="214"/>
      <c r="W982" s="214"/>
      <c r="X982" s="214"/>
      <c r="Y982" s="214"/>
      <c r="Z982" s="214"/>
      <c r="AA982" s="214"/>
      <c r="AB982" s="214"/>
      <c r="AC982" s="214"/>
    </row>
    <row r="983">
      <c r="A983" s="236"/>
      <c r="B983" s="237"/>
      <c r="C983" s="237"/>
      <c r="D983" s="287" t="s">
        <v>117</v>
      </c>
      <c r="E983" s="287">
        <v>1.0</v>
      </c>
      <c r="F983" s="288"/>
      <c r="G983" s="288"/>
      <c r="H983" s="289" t="s">
        <v>238</v>
      </c>
      <c r="I983" s="290" t="s">
        <v>105</v>
      </c>
      <c r="J983" s="214"/>
      <c r="K983" s="214"/>
      <c r="L983" s="214"/>
      <c r="M983" s="214"/>
      <c r="N983" s="214"/>
      <c r="O983" s="214"/>
      <c r="P983" s="214"/>
      <c r="Q983" s="214"/>
      <c r="R983" s="214"/>
      <c r="S983" s="214"/>
      <c r="T983" s="214"/>
      <c r="U983" s="214"/>
      <c r="V983" s="214"/>
      <c r="W983" s="214"/>
      <c r="X983" s="214"/>
      <c r="Y983" s="214"/>
      <c r="Z983" s="214"/>
      <c r="AA983" s="214"/>
      <c r="AB983" s="214"/>
      <c r="AC983" s="214"/>
    </row>
    <row r="984">
      <c r="A984" s="242" t="s">
        <v>669</v>
      </c>
      <c r="B984" s="243" t="s">
        <v>670</v>
      </c>
      <c r="C984" s="550">
        <f>sum(E984:E989)</f>
        <v>7</v>
      </c>
      <c r="D984" s="440" t="s">
        <v>185</v>
      </c>
      <c r="E984" s="440">
        <v>1.0</v>
      </c>
      <c r="F984" s="627"/>
      <c r="G984" s="441"/>
      <c r="H984" s="442" t="s">
        <v>187</v>
      </c>
      <c r="I984" s="628" t="s">
        <v>186</v>
      </c>
      <c r="J984" s="214"/>
      <c r="K984" s="214"/>
      <c r="L984" s="214"/>
      <c r="M984" s="214"/>
      <c r="N984" s="214"/>
      <c r="O984" s="214"/>
      <c r="P984" s="214"/>
      <c r="Q984" s="214"/>
      <c r="R984" s="214"/>
      <c r="S984" s="214"/>
      <c r="T984" s="214"/>
      <c r="U984" s="214"/>
      <c r="V984" s="214"/>
      <c r="W984" s="214"/>
      <c r="X984" s="214"/>
      <c r="Y984" s="214"/>
      <c r="Z984" s="214"/>
      <c r="AA984" s="214"/>
      <c r="AB984" s="214"/>
      <c r="AC984" s="214"/>
    </row>
    <row r="985">
      <c r="A985" s="222"/>
      <c r="D985" s="286" t="s">
        <v>88</v>
      </c>
      <c r="E985" s="286">
        <v>1.0</v>
      </c>
      <c r="F985" s="261"/>
      <c r="G985" s="261"/>
      <c r="H985" s="414" t="s">
        <v>89</v>
      </c>
      <c r="I985" s="263" t="s">
        <v>65</v>
      </c>
      <c r="J985" s="214"/>
      <c r="K985" s="214"/>
      <c r="L985" s="214"/>
      <c r="M985" s="214"/>
      <c r="N985" s="214"/>
      <c r="O985" s="214"/>
      <c r="P985" s="214"/>
      <c r="Q985" s="214"/>
      <c r="R985" s="214"/>
      <c r="S985" s="214"/>
      <c r="T985" s="214"/>
      <c r="U985" s="214"/>
      <c r="V985" s="214"/>
      <c r="W985" s="214"/>
      <c r="X985" s="214"/>
      <c r="Y985" s="214"/>
      <c r="Z985" s="214"/>
      <c r="AA985" s="214"/>
      <c r="AB985" s="214"/>
      <c r="AC985" s="214"/>
    </row>
    <row r="986">
      <c r="A986" s="222"/>
      <c r="D986" s="232" t="s">
        <v>120</v>
      </c>
      <c r="E986" s="232">
        <v>1.0</v>
      </c>
      <c r="F986" s="233"/>
      <c r="G986" s="233"/>
      <c r="H986" s="234" t="s">
        <v>121</v>
      </c>
      <c r="I986" s="235" t="s">
        <v>105</v>
      </c>
      <c r="J986" s="214"/>
      <c r="K986" s="214"/>
      <c r="L986" s="214"/>
      <c r="M986" s="214"/>
      <c r="N986" s="214"/>
      <c r="O986" s="214"/>
      <c r="P986" s="214"/>
      <c r="Q986" s="214"/>
      <c r="R986" s="214"/>
      <c r="S986" s="214"/>
      <c r="T986" s="214"/>
      <c r="U986" s="214"/>
      <c r="V986" s="214"/>
      <c r="W986" s="214"/>
      <c r="X986" s="214"/>
      <c r="Y986" s="214"/>
      <c r="Z986" s="214"/>
      <c r="AA986" s="214"/>
      <c r="AB986" s="214"/>
      <c r="AC986" s="214"/>
    </row>
    <row r="987">
      <c r="A987" s="222"/>
      <c r="D987" s="232" t="s">
        <v>117</v>
      </c>
      <c r="E987" s="232">
        <v>1.0</v>
      </c>
      <c r="F987" s="233"/>
      <c r="G987" s="233"/>
      <c r="H987" s="234" t="s">
        <v>118</v>
      </c>
      <c r="I987" s="235" t="s">
        <v>105</v>
      </c>
      <c r="J987" s="214"/>
      <c r="K987" s="214"/>
      <c r="L987" s="214"/>
      <c r="M987" s="214"/>
      <c r="N987" s="214"/>
      <c r="O987" s="214"/>
      <c r="P987" s="214"/>
      <c r="Q987" s="214"/>
      <c r="R987" s="214"/>
      <c r="S987" s="214"/>
      <c r="T987" s="214"/>
      <c r="U987" s="214"/>
      <c r="V987" s="214"/>
      <c r="W987" s="214"/>
      <c r="X987" s="214"/>
      <c r="Y987" s="214"/>
      <c r="Z987" s="214"/>
      <c r="AA987" s="214"/>
      <c r="AB987" s="214"/>
      <c r="AC987" s="214"/>
    </row>
    <row r="988">
      <c r="A988" s="222"/>
      <c r="D988" s="232" t="s">
        <v>140</v>
      </c>
      <c r="E988" s="232">
        <v>1.0</v>
      </c>
      <c r="F988" s="254"/>
      <c r="G988" s="254"/>
      <c r="H988" s="234" t="s">
        <v>141</v>
      </c>
      <c r="I988" s="298" t="s">
        <v>105</v>
      </c>
      <c r="J988" s="214"/>
      <c r="K988" s="214"/>
      <c r="L988" s="214"/>
      <c r="M988" s="214"/>
      <c r="N988" s="214"/>
      <c r="O988" s="214"/>
      <c r="P988" s="214"/>
      <c r="Q988" s="214"/>
      <c r="R988" s="214"/>
      <c r="S988" s="214"/>
      <c r="T988" s="214"/>
      <c r="U988" s="214"/>
      <c r="V988" s="214"/>
      <c r="W988" s="214"/>
      <c r="X988" s="214"/>
      <c r="Y988" s="214"/>
      <c r="Z988" s="214"/>
      <c r="AA988" s="214"/>
      <c r="AB988" s="214"/>
      <c r="AC988" s="214"/>
    </row>
    <row r="989">
      <c r="A989" s="236"/>
      <c r="B989" s="237"/>
      <c r="C989" s="237"/>
      <c r="D989" s="264" t="s">
        <v>162</v>
      </c>
      <c r="E989" s="264">
        <v>2.0</v>
      </c>
      <c r="F989" s="265"/>
      <c r="G989" s="479"/>
      <c r="H989" s="266" t="s">
        <v>164</v>
      </c>
      <c r="I989" s="267" t="s">
        <v>163</v>
      </c>
      <c r="J989" s="214"/>
      <c r="K989" s="214"/>
      <c r="L989" s="214"/>
      <c r="M989" s="214"/>
      <c r="N989" s="214"/>
      <c r="O989" s="214"/>
      <c r="P989" s="214"/>
      <c r="Q989" s="214"/>
      <c r="R989" s="214"/>
      <c r="S989" s="214"/>
      <c r="T989" s="214"/>
      <c r="U989" s="214"/>
      <c r="V989" s="214"/>
      <c r="W989" s="214"/>
      <c r="X989" s="214"/>
      <c r="Y989" s="214"/>
      <c r="Z989" s="214"/>
      <c r="AA989" s="214"/>
      <c r="AB989" s="214"/>
      <c r="AC989" s="214"/>
    </row>
    <row r="990">
      <c r="A990" s="242" t="s">
        <v>671</v>
      </c>
      <c r="B990" s="243" t="s">
        <v>672</v>
      </c>
      <c r="C990" s="550">
        <f>sum(E990:E993)</f>
        <v>7</v>
      </c>
      <c r="D990" s="472" t="s">
        <v>137</v>
      </c>
      <c r="E990" s="472">
        <v>1.0</v>
      </c>
      <c r="F990" s="309"/>
      <c r="G990" s="309"/>
      <c r="H990" s="474" t="s">
        <v>138</v>
      </c>
      <c r="I990" s="311" t="s">
        <v>105</v>
      </c>
      <c r="J990" s="214"/>
      <c r="K990" s="214"/>
      <c r="L990" s="214"/>
      <c r="M990" s="214"/>
      <c r="N990" s="214"/>
      <c r="O990" s="214"/>
      <c r="P990" s="214"/>
      <c r="Q990" s="214"/>
      <c r="R990" s="214"/>
      <c r="S990" s="214"/>
      <c r="T990" s="214"/>
      <c r="U990" s="214"/>
      <c r="V990" s="214"/>
      <c r="W990" s="214"/>
      <c r="X990" s="214"/>
      <c r="Y990" s="214"/>
      <c r="Z990" s="214"/>
      <c r="AA990" s="214"/>
      <c r="AB990" s="214"/>
      <c r="AC990" s="214"/>
    </row>
    <row r="991">
      <c r="A991" s="222"/>
      <c r="D991" s="333" t="s">
        <v>97</v>
      </c>
      <c r="E991" s="333">
        <v>2.0</v>
      </c>
      <c r="F991" s="276"/>
      <c r="G991" s="276"/>
      <c r="H991" s="334" t="s">
        <v>99</v>
      </c>
      <c r="I991" s="278" t="s">
        <v>98</v>
      </c>
      <c r="J991" s="214"/>
      <c r="K991" s="214"/>
      <c r="L991" s="214"/>
      <c r="M991" s="214"/>
      <c r="N991" s="214"/>
      <c r="O991" s="214"/>
      <c r="P991" s="214"/>
      <c r="Q991" s="214"/>
      <c r="R991" s="214"/>
      <c r="S991" s="214"/>
      <c r="T991" s="214"/>
      <c r="U991" s="214"/>
      <c r="V991" s="214"/>
      <c r="W991" s="214"/>
      <c r="X991" s="214"/>
      <c r="Y991" s="214"/>
      <c r="Z991" s="214"/>
      <c r="AA991" s="214"/>
      <c r="AB991" s="214"/>
      <c r="AC991" s="214"/>
    </row>
    <row r="992">
      <c r="A992" s="222"/>
      <c r="D992" s="232" t="s">
        <v>126</v>
      </c>
      <c r="E992" s="232">
        <v>1.0</v>
      </c>
      <c r="F992" s="233"/>
      <c r="G992" s="233"/>
      <c r="H992" s="234" t="s">
        <v>127</v>
      </c>
      <c r="I992" s="235" t="s">
        <v>105</v>
      </c>
      <c r="J992" s="214"/>
      <c r="K992" s="214"/>
      <c r="L992" s="214"/>
      <c r="M992" s="214"/>
      <c r="N992" s="214"/>
      <c r="O992" s="214"/>
      <c r="P992" s="214"/>
      <c r="Q992" s="214"/>
      <c r="R992" s="214"/>
      <c r="S992" s="214"/>
      <c r="T992" s="214"/>
      <c r="U992" s="214"/>
      <c r="V992" s="214"/>
      <c r="W992" s="214"/>
      <c r="X992" s="214"/>
      <c r="Y992" s="214"/>
      <c r="Z992" s="214"/>
      <c r="AA992" s="214"/>
      <c r="AB992" s="214"/>
      <c r="AC992" s="214"/>
    </row>
    <row r="993">
      <c r="A993" s="236"/>
      <c r="B993" s="237"/>
      <c r="C993" s="237"/>
      <c r="D993" s="287" t="s">
        <v>673</v>
      </c>
      <c r="E993" s="287">
        <v>3.0</v>
      </c>
      <c r="F993" s="288"/>
      <c r="G993" s="288"/>
      <c r="H993" s="289" t="s">
        <v>674</v>
      </c>
      <c r="I993" s="461" t="s">
        <v>105</v>
      </c>
      <c r="J993" s="214"/>
      <c r="K993" s="214"/>
      <c r="L993" s="214"/>
      <c r="M993" s="214"/>
      <c r="N993" s="214"/>
      <c r="O993" s="214"/>
      <c r="P993" s="214"/>
      <c r="Q993" s="214"/>
      <c r="R993" s="214"/>
      <c r="S993" s="214"/>
      <c r="T993" s="214"/>
      <c r="U993" s="214"/>
      <c r="V993" s="214"/>
      <c r="W993" s="214"/>
      <c r="X993" s="214"/>
      <c r="Y993" s="214"/>
      <c r="Z993" s="214"/>
      <c r="AA993" s="214"/>
      <c r="AB993" s="214"/>
      <c r="AC993" s="214"/>
    </row>
    <row r="994">
      <c r="A994" s="242" t="s">
        <v>675</v>
      </c>
      <c r="B994" s="243" t="s">
        <v>350</v>
      </c>
      <c r="C994" s="550">
        <f>sum(E994:E997)</f>
        <v>7</v>
      </c>
      <c r="D994" s="308" t="s">
        <v>120</v>
      </c>
      <c r="E994" s="308">
        <v>1.0</v>
      </c>
      <c r="F994" s="473"/>
      <c r="G994" s="309"/>
      <c r="H994" s="310" t="s">
        <v>289</v>
      </c>
      <c r="I994" s="311" t="s">
        <v>105</v>
      </c>
      <c r="J994" s="214"/>
      <c r="K994" s="214"/>
      <c r="L994" s="214"/>
      <c r="M994" s="214"/>
      <c r="N994" s="214"/>
      <c r="O994" s="214"/>
      <c r="P994" s="214"/>
      <c r="Q994" s="214"/>
      <c r="R994" s="214"/>
      <c r="S994" s="214"/>
      <c r="T994" s="214"/>
      <c r="U994" s="214"/>
      <c r="V994" s="214"/>
      <c r="W994" s="214"/>
      <c r="X994" s="214"/>
      <c r="Y994" s="214"/>
      <c r="Z994" s="214"/>
      <c r="AA994" s="214"/>
      <c r="AB994" s="214"/>
      <c r="AC994" s="214"/>
    </row>
    <row r="995">
      <c r="A995" s="222"/>
      <c r="D995" s="232" t="s">
        <v>117</v>
      </c>
      <c r="E995" s="232">
        <v>1.0</v>
      </c>
      <c r="F995" s="233"/>
      <c r="G995" s="233"/>
      <c r="H995" s="234" t="s">
        <v>238</v>
      </c>
      <c r="I995" s="235" t="s">
        <v>105</v>
      </c>
      <c r="J995" s="214"/>
      <c r="K995" s="214"/>
      <c r="L995" s="214"/>
      <c r="M995" s="214"/>
      <c r="N995" s="214"/>
      <c r="O995" s="214"/>
      <c r="P995" s="214"/>
      <c r="Q995" s="214"/>
      <c r="R995" s="214"/>
      <c r="S995" s="214"/>
      <c r="T995" s="214"/>
      <c r="U995" s="214"/>
      <c r="V995" s="214"/>
      <c r="W995" s="214"/>
      <c r="X995" s="214"/>
      <c r="Y995" s="214"/>
      <c r="Z995" s="214"/>
      <c r="AA995" s="214"/>
      <c r="AB995" s="214"/>
      <c r="AC995" s="214"/>
    </row>
    <row r="996">
      <c r="A996" s="222"/>
      <c r="D996" s="402" t="s">
        <v>162</v>
      </c>
      <c r="E996" s="402">
        <v>2.0</v>
      </c>
      <c r="F996" s="272"/>
      <c r="G996" s="272"/>
      <c r="H996" s="403" t="s">
        <v>164</v>
      </c>
      <c r="I996" s="274" t="s">
        <v>163</v>
      </c>
      <c r="J996" s="214"/>
      <c r="K996" s="214"/>
      <c r="L996" s="214"/>
      <c r="M996" s="214"/>
      <c r="N996" s="214"/>
      <c r="O996" s="214"/>
      <c r="P996" s="214"/>
      <c r="Q996" s="214"/>
      <c r="R996" s="214"/>
      <c r="S996" s="214"/>
      <c r="T996" s="214"/>
      <c r="U996" s="214"/>
      <c r="V996" s="214"/>
      <c r="W996" s="214"/>
      <c r="X996" s="214"/>
      <c r="Y996" s="214"/>
      <c r="Z996" s="214"/>
      <c r="AA996" s="214"/>
      <c r="AB996" s="214"/>
      <c r="AC996" s="214"/>
    </row>
    <row r="997">
      <c r="A997" s="236"/>
      <c r="B997" s="237"/>
      <c r="C997" s="237"/>
      <c r="D997" s="238" t="s">
        <v>64</v>
      </c>
      <c r="E997" s="238">
        <v>3.0</v>
      </c>
      <c r="F997" s="239"/>
      <c r="G997" s="239"/>
      <c r="H997" s="262" t="s">
        <v>66</v>
      </c>
      <c r="I997" s="241" t="s">
        <v>65</v>
      </c>
      <c r="J997" s="214"/>
      <c r="K997" s="214"/>
      <c r="L997" s="214"/>
      <c r="M997" s="214"/>
      <c r="N997" s="214"/>
      <c r="O997" s="214"/>
      <c r="P997" s="214"/>
      <c r="Q997" s="214"/>
      <c r="R997" s="214"/>
      <c r="S997" s="214"/>
      <c r="T997" s="214"/>
      <c r="U997" s="214"/>
      <c r="V997" s="214"/>
      <c r="W997" s="214"/>
      <c r="X997" s="214"/>
      <c r="Y997" s="214"/>
      <c r="Z997" s="214"/>
      <c r="AA997" s="214"/>
      <c r="AB997" s="214"/>
      <c r="AC997" s="214"/>
    </row>
    <row r="998">
      <c r="A998" s="455" t="s">
        <v>676</v>
      </c>
      <c r="B998" s="492" t="s">
        <v>677</v>
      </c>
      <c r="C998" s="550">
        <f>sum(E998:E1000)</f>
        <v>7</v>
      </c>
      <c r="D998" s="245" t="s">
        <v>61</v>
      </c>
      <c r="E998" s="245">
        <v>2.0</v>
      </c>
      <c r="F998" s="246"/>
      <c r="G998" s="246"/>
      <c r="H998" s="247" t="s">
        <v>62</v>
      </c>
      <c r="I998" s="629" t="s">
        <v>43</v>
      </c>
      <c r="J998" s="326"/>
      <c r="K998" s="214"/>
      <c r="L998" s="214"/>
      <c r="M998" s="214"/>
      <c r="N998" s="214"/>
      <c r="O998" s="214"/>
      <c r="P998" s="214"/>
      <c r="Q998" s="214"/>
      <c r="R998" s="214"/>
      <c r="S998" s="214"/>
      <c r="T998" s="214"/>
      <c r="U998" s="214"/>
      <c r="V998" s="214"/>
      <c r="W998" s="214"/>
      <c r="X998" s="214"/>
      <c r="Y998" s="214"/>
      <c r="Z998" s="214"/>
      <c r="AA998" s="214"/>
      <c r="AB998" s="214"/>
      <c r="AC998" s="214"/>
    </row>
    <row r="999">
      <c r="A999" s="222"/>
      <c r="D999" s="223" t="s">
        <v>179</v>
      </c>
      <c r="E999" s="223">
        <v>2.0</v>
      </c>
      <c r="F999" s="342"/>
      <c r="G999" s="342"/>
      <c r="H999" s="225" t="s">
        <v>180</v>
      </c>
      <c r="I999" s="630" t="s">
        <v>176</v>
      </c>
      <c r="J999" s="326"/>
      <c r="K999" s="214"/>
      <c r="L999" s="214"/>
      <c r="M999" s="214"/>
      <c r="N999" s="214"/>
      <c r="O999" s="214"/>
      <c r="P999" s="214"/>
      <c r="Q999" s="214"/>
      <c r="R999" s="214"/>
      <c r="S999" s="214"/>
      <c r="T999" s="214"/>
      <c r="U999" s="214"/>
      <c r="V999" s="214"/>
      <c r="W999" s="214"/>
      <c r="X999" s="214"/>
      <c r="Y999" s="214"/>
      <c r="Z999" s="214"/>
      <c r="AA999" s="214"/>
      <c r="AB999" s="214"/>
      <c r="AC999" s="214"/>
    </row>
    <row r="1000">
      <c r="A1000" s="236"/>
      <c r="B1000" s="237"/>
      <c r="C1000" s="237"/>
      <c r="D1000" s="238" t="s">
        <v>64</v>
      </c>
      <c r="E1000" s="238">
        <v>3.0</v>
      </c>
      <c r="F1000" s="477"/>
      <c r="G1000" s="477"/>
      <c r="H1000" s="262" t="s">
        <v>66</v>
      </c>
      <c r="I1000" s="626" t="s">
        <v>65</v>
      </c>
      <c r="J1000" s="214"/>
      <c r="K1000" s="214"/>
      <c r="L1000" s="214"/>
      <c r="M1000" s="214"/>
      <c r="N1000" s="214"/>
      <c r="O1000" s="214"/>
      <c r="P1000" s="214"/>
      <c r="Q1000" s="214"/>
      <c r="R1000" s="214"/>
      <c r="S1000" s="214"/>
      <c r="T1000" s="214"/>
      <c r="U1000" s="214"/>
      <c r="V1000" s="214"/>
      <c r="W1000" s="214"/>
      <c r="X1000" s="214"/>
      <c r="Y1000" s="214"/>
      <c r="Z1000" s="214"/>
      <c r="AA1000" s="214"/>
      <c r="AB1000" s="214"/>
      <c r="AC1000" s="214"/>
    </row>
    <row r="1001">
      <c r="A1001" s="306" t="s">
        <v>678</v>
      </c>
      <c r="B1001" s="243" t="s">
        <v>679</v>
      </c>
      <c r="C1001" s="550">
        <f>sum(E1001:E1004)</f>
        <v>7</v>
      </c>
      <c r="D1001" s="356" t="s">
        <v>11</v>
      </c>
      <c r="E1001" s="356">
        <v>2.0</v>
      </c>
      <c r="F1001" s="357"/>
      <c r="G1001" s="357"/>
      <c r="H1001" s="447" t="s">
        <v>294</v>
      </c>
      <c r="I1001" s="359" t="s">
        <v>7</v>
      </c>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row>
    <row r="1002">
      <c r="A1002" s="222"/>
      <c r="D1002" s="369" t="s">
        <v>22</v>
      </c>
      <c r="E1002" s="369">
        <v>2.0</v>
      </c>
      <c r="F1002" s="371"/>
      <c r="G1002" s="371"/>
      <c r="H1002" s="372" t="s">
        <v>265</v>
      </c>
      <c r="I1002" s="373" t="s">
        <v>23</v>
      </c>
      <c r="J1002" s="214"/>
      <c r="K1002" s="214"/>
      <c r="L1002" s="214"/>
      <c r="M1002" s="214"/>
      <c r="N1002" s="214"/>
      <c r="O1002" s="214"/>
      <c r="P1002" s="214"/>
      <c r="Q1002" s="214"/>
      <c r="R1002" s="214"/>
      <c r="S1002" s="214"/>
      <c r="T1002" s="214"/>
      <c r="U1002" s="214"/>
      <c r="V1002" s="214"/>
      <c r="W1002" s="214"/>
      <c r="X1002" s="214"/>
      <c r="Y1002" s="214"/>
      <c r="Z1002" s="214"/>
      <c r="AA1002" s="214"/>
      <c r="AB1002" s="214"/>
      <c r="AC1002" s="214"/>
    </row>
    <row r="1003">
      <c r="A1003" s="222"/>
      <c r="D1003" s="232" t="s">
        <v>120</v>
      </c>
      <c r="E1003" s="232">
        <v>1.0</v>
      </c>
      <c r="F1003" s="254"/>
      <c r="G1003" s="233"/>
      <c r="H1003" s="234" t="s">
        <v>289</v>
      </c>
      <c r="I1003" s="235" t="s">
        <v>105</v>
      </c>
      <c r="J1003" s="214"/>
      <c r="K1003" s="214"/>
      <c r="L1003" s="214"/>
      <c r="M1003" s="214"/>
      <c r="N1003" s="214"/>
      <c r="O1003" s="214"/>
      <c r="P1003" s="214"/>
      <c r="Q1003" s="214"/>
      <c r="R1003" s="214"/>
      <c r="S1003" s="214"/>
      <c r="T1003" s="214"/>
      <c r="U1003" s="214"/>
      <c r="V1003" s="214"/>
      <c r="W1003" s="214"/>
      <c r="X1003" s="214"/>
      <c r="Y1003" s="214"/>
      <c r="Z1003" s="214"/>
      <c r="AA1003" s="214"/>
      <c r="AB1003" s="214"/>
      <c r="AC1003" s="214"/>
    </row>
    <row r="1004">
      <c r="A1004" s="236"/>
      <c r="B1004" s="237"/>
      <c r="C1004" s="237"/>
      <c r="D1004" s="320" t="s">
        <v>156</v>
      </c>
      <c r="E1004" s="320">
        <v>2.0</v>
      </c>
      <c r="F1004" s="321"/>
      <c r="G1004" s="321"/>
      <c r="H1004" s="322" t="s">
        <v>157</v>
      </c>
      <c r="I1004" s="437" t="s">
        <v>144</v>
      </c>
      <c r="J1004" s="214"/>
      <c r="K1004" s="214"/>
      <c r="L1004" s="214"/>
      <c r="M1004" s="214"/>
      <c r="N1004" s="214"/>
      <c r="O1004" s="214"/>
      <c r="P1004" s="214"/>
      <c r="Q1004" s="214"/>
      <c r="R1004" s="214"/>
      <c r="S1004" s="214"/>
      <c r="T1004" s="214"/>
      <c r="U1004" s="214"/>
      <c r="V1004" s="214"/>
      <c r="W1004" s="214"/>
      <c r="X1004" s="214"/>
      <c r="Y1004" s="214"/>
      <c r="Z1004" s="214"/>
      <c r="AA1004" s="214"/>
      <c r="AB1004" s="214"/>
      <c r="AC1004" s="214"/>
    </row>
    <row r="1005">
      <c r="A1005" s="242" t="s">
        <v>680</v>
      </c>
      <c r="B1005" s="243" t="s">
        <v>681</v>
      </c>
      <c r="C1005" s="550">
        <f>sum(E1005:E1010)</f>
        <v>7</v>
      </c>
      <c r="D1005" s="308" t="s">
        <v>140</v>
      </c>
      <c r="E1005" s="308">
        <v>1.0</v>
      </c>
      <c r="F1005" s="473"/>
      <c r="G1005" s="473"/>
      <c r="H1005" s="310" t="s">
        <v>141</v>
      </c>
      <c r="I1005" s="438" t="s">
        <v>105</v>
      </c>
      <c r="J1005" s="214"/>
      <c r="K1005" s="214"/>
      <c r="L1005" s="214"/>
      <c r="M1005" s="214"/>
      <c r="N1005" s="214"/>
      <c r="O1005" s="214"/>
      <c r="P1005" s="214"/>
      <c r="Q1005" s="214"/>
      <c r="R1005" s="214"/>
      <c r="S1005" s="214"/>
      <c r="T1005" s="214"/>
      <c r="U1005" s="214"/>
      <c r="V1005" s="214"/>
      <c r="W1005" s="214"/>
      <c r="X1005" s="214"/>
      <c r="Y1005" s="214"/>
      <c r="Z1005" s="214"/>
      <c r="AA1005" s="214"/>
      <c r="AB1005" s="214"/>
      <c r="AC1005" s="214"/>
    </row>
    <row r="1006">
      <c r="A1006" s="222"/>
      <c r="D1006" s="232" t="s">
        <v>126</v>
      </c>
      <c r="E1006" s="232">
        <v>1.0</v>
      </c>
      <c r="F1006" s="254"/>
      <c r="G1006" s="233"/>
      <c r="H1006" s="234" t="s">
        <v>127</v>
      </c>
      <c r="I1006" s="235" t="s">
        <v>105</v>
      </c>
      <c r="J1006" s="214"/>
      <c r="K1006" s="214"/>
      <c r="L1006" s="214"/>
      <c r="M1006" s="214"/>
      <c r="N1006" s="214"/>
      <c r="O1006" s="214"/>
      <c r="P1006" s="214"/>
      <c r="Q1006" s="214"/>
      <c r="R1006" s="214"/>
      <c r="S1006" s="214"/>
      <c r="T1006" s="214"/>
      <c r="U1006" s="214"/>
      <c r="V1006" s="214"/>
      <c r="W1006" s="214"/>
      <c r="X1006" s="214"/>
      <c r="Y1006" s="214"/>
      <c r="Z1006" s="214"/>
      <c r="AA1006" s="214"/>
      <c r="AB1006" s="214"/>
      <c r="AC1006" s="214"/>
    </row>
    <row r="1007">
      <c r="A1007" s="222"/>
      <c r="D1007" s="232" t="s">
        <v>131</v>
      </c>
      <c r="E1007" s="232">
        <v>1.0</v>
      </c>
      <c r="F1007" s="254"/>
      <c r="G1007" s="254"/>
      <c r="H1007" s="234" t="s">
        <v>132</v>
      </c>
      <c r="I1007" s="235" t="s">
        <v>105</v>
      </c>
      <c r="J1007" s="214"/>
      <c r="K1007" s="214"/>
      <c r="L1007" s="214"/>
      <c r="M1007" s="214"/>
      <c r="N1007" s="214"/>
      <c r="O1007" s="214"/>
      <c r="P1007" s="214"/>
      <c r="Q1007" s="214"/>
      <c r="R1007" s="214"/>
      <c r="S1007" s="214"/>
      <c r="T1007" s="214"/>
      <c r="U1007" s="214"/>
      <c r="V1007" s="214"/>
      <c r="W1007" s="214"/>
      <c r="X1007" s="214"/>
      <c r="Y1007" s="214"/>
      <c r="Z1007" s="214"/>
      <c r="AA1007" s="214"/>
      <c r="AB1007" s="214"/>
      <c r="AC1007" s="214"/>
    </row>
    <row r="1008">
      <c r="A1008" s="222"/>
      <c r="D1008" s="232" t="s">
        <v>134</v>
      </c>
      <c r="E1008" s="232">
        <v>1.0</v>
      </c>
      <c r="F1008" s="233"/>
      <c r="G1008" s="233"/>
      <c r="H1008" s="234" t="s">
        <v>135</v>
      </c>
      <c r="I1008" s="235" t="s">
        <v>105</v>
      </c>
      <c r="J1008" s="214"/>
      <c r="K1008" s="214"/>
      <c r="L1008" s="214"/>
      <c r="M1008" s="214"/>
      <c r="N1008" s="214"/>
      <c r="O1008" s="214"/>
      <c r="P1008" s="214"/>
      <c r="Q1008" s="214"/>
      <c r="R1008" s="214"/>
      <c r="S1008" s="214"/>
      <c r="T1008" s="214"/>
      <c r="U1008" s="214"/>
      <c r="V1008" s="214"/>
      <c r="W1008" s="214"/>
      <c r="X1008" s="214"/>
      <c r="Y1008" s="214"/>
      <c r="Z1008" s="214"/>
      <c r="AA1008" s="214"/>
      <c r="AB1008" s="214"/>
      <c r="AC1008" s="214"/>
    </row>
    <row r="1009">
      <c r="A1009" s="222"/>
      <c r="D1009" s="434" t="s">
        <v>36</v>
      </c>
      <c r="E1009" s="434">
        <v>1.0</v>
      </c>
      <c r="F1009" s="383"/>
      <c r="G1009" s="384"/>
      <c r="H1009" s="435" t="s">
        <v>37</v>
      </c>
      <c r="I1009" s="429" t="s">
        <v>30</v>
      </c>
      <c r="J1009" s="214"/>
      <c r="K1009" s="214"/>
      <c r="L1009" s="214"/>
      <c r="M1009" s="214"/>
      <c r="N1009" s="214"/>
      <c r="O1009" s="214"/>
      <c r="P1009" s="214"/>
      <c r="Q1009" s="214"/>
      <c r="R1009" s="214"/>
      <c r="S1009" s="214"/>
      <c r="T1009" s="214"/>
      <c r="U1009" s="214"/>
      <c r="V1009" s="214"/>
      <c r="W1009" s="214"/>
      <c r="X1009" s="214"/>
      <c r="Y1009" s="214"/>
      <c r="Z1009" s="214"/>
      <c r="AA1009" s="214"/>
      <c r="AB1009" s="214"/>
      <c r="AC1009" s="214"/>
    </row>
    <row r="1010">
      <c r="A1010" s="236"/>
      <c r="B1010" s="237"/>
      <c r="C1010" s="237"/>
      <c r="D1010" s="621" t="s">
        <v>162</v>
      </c>
      <c r="E1010" s="621">
        <v>2.0</v>
      </c>
      <c r="F1010" s="265"/>
      <c r="G1010" s="479"/>
      <c r="H1010" s="622" t="s">
        <v>164</v>
      </c>
      <c r="I1010" s="480" t="s">
        <v>163</v>
      </c>
      <c r="J1010" s="214"/>
      <c r="K1010" s="214"/>
      <c r="L1010" s="214"/>
      <c r="M1010" s="214"/>
      <c r="N1010" s="214"/>
      <c r="O1010" s="214"/>
      <c r="P1010" s="214"/>
      <c r="Q1010" s="214"/>
      <c r="R1010" s="214"/>
      <c r="S1010" s="214"/>
      <c r="T1010" s="214"/>
      <c r="U1010" s="214"/>
      <c r="V1010" s="214"/>
      <c r="W1010" s="214"/>
      <c r="X1010" s="214"/>
      <c r="Y1010" s="214"/>
      <c r="Z1010" s="214"/>
      <c r="AA1010" s="214"/>
      <c r="AB1010" s="214"/>
      <c r="AC1010" s="214"/>
    </row>
    <row r="1011">
      <c r="A1011" s="631" t="s">
        <v>682</v>
      </c>
      <c r="B1011" s="632" t="s">
        <v>683</v>
      </c>
      <c r="C1011" s="550">
        <f>sum(E1011:E1012)</f>
        <v>7</v>
      </c>
      <c r="D1011" s="521" t="s">
        <v>143</v>
      </c>
      <c r="E1011" s="521">
        <v>5.0</v>
      </c>
      <c r="F1011" s="525"/>
      <c r="G1011" s="525"/>
      <c r="H1011" s="523" t="s">
        <v>145</v>
      </c>
      <c r="I1011" s="524" t="s">
        <v>144</v>
      </c>
      <c r="J1011" s="214"/>
      <c r="K1011" s="214"/>
      <c r="L1011" s="214"/>
      <c r="M1011" s="214"/>
      <c r="N1011" s="214"/>
      <c r="O1011" s="214"/>
      <c r="P1011" s="214"/>
      <c r="Q1011" s="214"/>
      <c r="R1011" s="214"/>
      <c r="S1011" s="214"/>
      <c r="T1011" s="214"/>
      <c r="U1011" s="214"/>
      <c r="V1011" s="214"/>
      <c r="W1011" s="214"/>
      <c r="X1011" s="214"/>
      <c r="Y1011" s="214"/>
      <c r="Z1011" s="214"/>
      <c r="AA1011" s="214"/>
      <c r="AB1011" s="214"/>
      <c r="AC1011" s="214"/>
    </row>
    <row r="1012">
      <c r="A1012" s="236"/>
      <c r="B1012" s="237"/>
      <c r="C1012" s="237"/>
      <c r="D1012" s="238" t="s">
        <v>411</v>
      </c>
      <c r="E1012" s="238">
        <v>2.0</v>
      </c>
      <c r="F1012" s="239"/>
      <c r="G1012" s="239"/>
      <c r="H1012" s="446" t="s">
        <v>69</v>
      </c>
      <c r="I1012" s="241" t="s">
        <v>65</v>
      </c>
      <c r="J1012" s="214"/>
      <c r="K1012" s="214"/>
      <c r="L1012" s="214"/>
      <c r="M1012" s="214"/>
      <c r="N1012" s="214"/>
      <c r="O1012" s="214"/>
      <c r="P1012" s="214"/>
      <c r="Q1012" s="214"/>
      <c r="R1012" s="214"/>
      <c r="S1012" s="214"/>
      <c r="T1012" s="214"/>
      <c r="U1012" s="214"/>
      <c r="V1012" s="214"/>
      <c r="W1012" s="214"/>
      <c r="X1012" s="214"/>
      <c r="Y1012" s="214"/>
      <c r="Z1012" s="214"/>
      <c r="AA1012" s="214"/>
      <c r="AB1012" s="214"/>
      <c r="AC1012" s="214"/>
    </row>
    <row r="1013">
      <c r="A1013" s="408" t="s">
        <v>684</v>
      </c>
      <c r="B1013" s="422" t="s">
        <v>368</v>
      </c>
      <c r="C1013" s="619">
        <f>sum(E1013:E1016)</f>
        <v>7</v>
      </c>
      <c r="D1013" s="279" t="s">
        <v>49</v>
      </c>
      <c r="E1013" s="279">
        <v>2.0</v>
      </c>
      <c r="F1013" s="280"/>
      <c r="G1013" s="280"/>
      <c r="H1013" s="281" t="s">
        <v>50</v>
      </c>
      <c r="I1013" s="282" t="s">
        <v>43</v>
      </c>
      <c r="J1013" s="214"/>
      <c r="K1013" s="214"/>
      <c r="L1013" s="214"/>
      <c r="M1013" s="214"/>
      <c r="N1013" s="214"/>
      <c r="O1013" s="214"/>
      <c r="P1013" s="214"/>
      <c r="Q1013" s="214"/>
      <c r="R1013" s="214"/>
      <c r="S1013" s="214"/>
      <c r="T1013" s="214"/>
      <c r="U1013" s="214"/>
      <c r="V1013" s="214"/>
      <c r="W1013" s="214"/>
      <c r="X1013" s="214"/>
      <c r="Y1013" s="214"/>
      <c r="Z1013" s="214"/>
      <c r="AA1013" s="214"/>
      <c r="AB1013" s="214"/>
      <c r="AC1013" s="214"/>
    </row>
    <row r="1014">
      <c r="A1014" s="222"/>
      <c r="D1014" s="271" t="s">
        <v>162</v>
      </c>
      <c r="E1014" s="271">
        <v>2.0</v>
      </c>
      <c r="F1014" s="317"/>
      <c r="G1014" s="317"/>
      <c r="H1014" s="273" t="s">
        <v>164</v>
      </c>
      <c r="I1014" s="393" t="s">
        <v>163</v>
      </c>
      <c r="J1014" s="214"/>
      <c r="K1014" s="214"/>
      <c r="L1014" s="214"/>
      <c r="M1014" s="214"/>
      <c r="N1014" s="214"/>
      <c r="O1014" s="214"/>
      <c r="P1014" s="214"/>
      <c r="Q1014" s="214"/>
      <c r="R1014" s="214"/>
      <c r="S1014" s="214"/>
      <c r="T1014" s="214"/>
      <c r="U1014" s="214"/>
      <c r="V1014" s="214"/>
      <c r="W1014" s="214"/>
      <c r="X1014" s="214"/>
      <c r="Y1014" s="214"/>
      <c r="Z1014" s="214"/>
      <c r="AA1014" s="214"/>
      <c r="AB1014" s="214"/>
      <c r="AC1014" s="214"/>
    </row>
    <row r="1015">
      <c r="A1015" s="222"/>
      <c r="D1015" s="286" t="s">
        <v>229</v>
      </c>
      <c r="E1015" s="286">
        <v>2.0</v>
      </c>
      <c r="F1015" s="261"/>
      <c r="G1015" s="261"/>
      <c r="H1015" s="262" t="s">
        <v>69</v>
      </c>
      <c r="I1015" s="263" t="s">
        <v>65</v>
      </c>
      <c r="J1015" s="214"/>
      <c r="K1015" s="214"/>
      <c r="L1015" s="214"/>
      <c r="M1015" s="214"/>
      <c r="N1015" s="214"/>
      <c r="O1015" s="214"/>
      <c r="P1015" s="214"/>
      <c r="Q1015" s="214"/>
      <c r="R1015" s="214"/>
      <c r="S1015" s="214"/>
      <c r="T1015" s="214"/>
      <c r="U1015" s="214"/>
      <c r="V1015" s="214"/>
      <c r="W1015" s="214"/>
      <c r="X1015" s="214"/>
      <c r="Y1015" s="214"/>
      <c r="Z1015" s="214"/>
      <c r="AA1015" s="214"/>
      <c r="AB1015" s="214"/>
      <c r="AC1015" s="214"/>
    </row>
    <row r="1016">
      <c r="A1016" s="236"/>
      <c r="B1016" s="237"/>
      <c r="C1016" s="237"/>
      <c r="D1016" s="287" t="s">
        <v>117</v>
      </c>
      <c r="E1016" s="287">
        <v>1.0</v>
      </c>
      <c r="F1016" s="288"/>
      <c r="G1016" s="288"/>
      <c r="H1016" s="289" t="s">
        <v>238</v>
      </c>
      <c r="I1016" s="290" t="s">
        <v>105</v>
      </c>
      <c r="J1016" s="214"/>
      <c r="K1016" s="214"/>
      <c r="L1016" s="214"/>
      <c r="M1016" s="214"/>
      <c r="N1016" s="214"/>
      <c r="O1016" s="214"/>
      <c r="P1016" s="214"/>
      <c r="Q1016" s="214"/>
      <c r="R1016" s="214"/>
      <c r="S1016" s="214"/>
      <c r="T1016" s="214"/>
      <c r="U1016" s="214"/>
      <c r="V1016" s="214"/>
      <c r="W1016" s="214"/>
      <c r="X1016" s="214"/>
      <c r="Y1016" s="214"/>
      <c r="Z1016" s="214"/>
      <c r="AA1016" s="214"/>
      <c r="AB1016" s="214"/>
      <c r="AC1016" s="214"/>
    </row>
    <row r="1017">
      <c r="A1017" s="242" t="s">
        <v>685</v>
      </c>
      <c r="B1017" s="243" t="s">
        <v>518</v>
      </c>
      <c r="C1017" s="550">
        <f>sum(E1017:E1020)</f>
        <v>7</v>
      </c>
      <c r="D1017" s="356" t="s">
        <v>254</v>
      </c>
      <c r="E1017" s="356">
        <v>2.0</v>
      </c>
      <c r="F1017" s="499"/>
      <c r="G1017" s="499"/>
      <c r="H1017" s="447" t="s">
        <v>255</v>
      </c>
      <c r="I1017" s="482" t="s">
        <v>7</v>
      </c>
      <c r="J1017" s="214"/>
      <c r="K1017" s="214"/>
      <c r="L1017" s="214"/>
      <c r="M1017" s="214"/>
      <c r="N1017" s="214"/>
      <c r="O1017" s="214"/>
      <c r="P1017" s="214"/>
      <c r="Q1017" s="214"/>
      <c r="R1017" s="214"/>
      <c r="S1017" s="214"/>
      <c r="T1017" s="214"/>
      <c r="U1017" s="214"/>
      <c r="V1017" s="214"/>
      <c r="W1017" s="214"/>
      <c r="X1017" s="214"/>
      <c r="Y1017" s="214"/>
      <c r="Z1017" s="214"/>
      <c r="AA1017" s="214"/>
      <c r="AB1017" s="214"/>
      <c r="AC1017" s="214"/>
    </row>
    <row r="1018">
      <c r="A1018" s="222"/>
      <c r="D1018" s="286" t="s">
        <v>73</v>
      </c>
      <c r="E1018" s="286">
        <v>2.0</v>
      </c>
      <c r="F1018" s="261"/>
      <c r="G1018" s="261"/>
      <c r="H1018" s="414" t="s">
        <v>74</v>
      </c>
      <c r="I1018" s="319" t="s">
        <v>65</v>
      </c>
      <c r="J1018" s="214"/>
      <c r="K1018" s="214"/>
      <c r="L1018" s="214"/>
      <c r="M1018" s="214"/>
      <c r="N1018" s="214"/>
      <c r="O1018" s="214"/>
      <c r="P1018" s="214"/>
      <c r="Q1018" s="214"/>
      <c r="R1018" s="214"/>
      <c r="S1018" s="214"/>
      <c r="T1018" s="214"/>
      <c r="U1018" s="214"/>
      <c r="V1018" s="214"/>
      <c r="W1018" s="214"/>
      <c r="X1018" s="214"/>
      <c r="Y1018" s="214"/>
      <c r="Z1018" s="214"/>
      <c r="AA1018" s="214"/>
      <c r="AB1018" s="214"/>
      <c r="AC1018" s="214"/>
    </row>
    <row r="1019">
      <c r="A1019" s="222"/>
      <c r="D1019" s="402" t="s">
        <v>162</v>
      </c>
      <c r="E1019" s="402">
        <v>2.0</v>
      </c>
      <c r="F1019" s="272"/>
      <c r="G1019" s="272"/>
      <c r="H1019" s="403" t="s">
        <v>164</v>
      </c>
      <c r="I1019" s="393" t="s">
        <v>163</v>
      </c>
      <c r="J1019" s="214"/>
      <c r="K1019" s="214"/>
      <c r="L1019" s="214"/>
      <c r="M1019" s="214"/>
      <c r="N1019" s="214"/>
      <c r="O1019" s="214"/>
      <c r="P1019" s="214"/>
      <c r="Q1019" s="214"/>
      <c r="R1019" s="214"/>
      <c r="S1019" s="214"/>
      <c r="T1019" s="214"/>
      <c r="U1019" s="214"/>
      <c r="V1019" s="214"/>
      <c r="W1019" s="214"/>
      <c r="X1019" s="214"/>
      <c r="Y1019" s="214"/>
      <c r="Z1019" s="214"/>
      <c r="AA1019" s="214"/>
      <c r="AB1019" s="214"/>
      <c r="AC1019" s="214"/>
    </row>
    <row r="1020">
      <c r="A1020" s="236"/>
      <c r="B1020" s="237"/>
      <c r="C1020" s="237"/>
      <c r="D1020" s="287" t="s">
        <v>131</v>
      </c>
      <c r="E1020" s="287">
        <v>1.0</v>
      </c>
      <c r="F1020" s="404"/>
      <c r="G1020" s="288"/>
      <c r="H1020" s="289" t="s">
        <v>132</v>
      </c>
      <c r="I1020" s="290" t="s">
        <v>105</v>
      </c>
      <c r="J1020" s="214"/>
      <c r="K1020" s="214"/>
      <c r="L1020" s="214"/>
      <c r="M1020" s="214"/>
      <c r="N1020" s="214"/>
      <c r="O1020" s="214"/>
      <c r="P1020" s="214"/>
      <c r="Q1020" s="214"/>
      <c r="R1020" s="214"/>
      <c r="S1020" s="214"/>
      <c r="T1020" s="214"/>
      <c r="U1020" s="214"/>
      <c r="V1020" s="214"/>
      <c r="W1020" s="214"/>
      <c r="X1020" s="214"/>
      <c r="Y1020" s="214"/>
      <c r="Z1020" s="214"/>
      <c r="AA1020" s="214"/>
      <c r="AB1020" s="214"/>
      <c r="AC1020" s="214"/>
    </row>
    <row r="1021">
      <c r="A1021" s="242" t="s">
        <v>686</v>
      </c>
      <c r="B1021" s="243" t="s">
        <v>687</v>
      </c>
      <c r="C1021" s="550">
        <f>sum(E1021:E1025)</f>
        <v>7</v>
      </c>
      <c r="D1021" s="565" t="s">
        <v>11</v>
      </c>
      <c r="E1021" s="565">
        <v>2.0</v>
      </c>
      <c r="F1021" s="357"/>
      <c r="G1021" s="357"/>
      <c r="H1021" s="566" t="s">
        <v>294</v>
      </c>
      <c r="I1021" s="482" t="s">
        <v>7</v>
      </c>
      <c r="J1021" s="214"/>
      <c r="K1021" s="214"/>
      <c r="L1021" s="214"/>
      <c r="M1021" s="214"/>
      <c r="N1021" s="214"/>
      <c r="O1021" s="214"/>
      <c r="P1021" s="214"/>
      <c r="Q1021" s="214"/>
      <c r="R1021" s="214"/>
      <c r="S1021" s="214"/>
      <c r="T1021" s="214"/>
      <c r="U1021" s="214"/>
      <c r="V1021" s="214"/>
      <c r="W1021" s="214"/>
      <c r="X1021" s="214"/>
      <c r="Y1021" s="214"/>
      <c r="Z1021" s="214"/>
      <c r="AA1021" s="214"/>
      <c r="AB1021" s="214"/>
      <c r="AC1021" s="214"/>
    </row>
    <row r="1022">
      <c r="A1022" s="222"/>
      <c r="D1022" s="279" t="s">
        <v>52</v>
      </c>
      <c r="E1022" s="279">
        <v>1.0</v>
      </c>
      <c r="F1022" s="316"/>
      <c r="G1022" s="316"/>
      <c r="H1022" s="281" t="s">
        <v>53</v>
      </c>
      <c r="I1022" s="448" t="s">
        <v>43</v>
      </c>
      <c r="J1022" s="214"/>
      <c r="K1022" s="214"/>
      <c r="L1022" s="214"/>
      <c r="M1022" s="214"/>
      <c r="N1022" s="214"/>
      <c r="O1022" s="214"/>
      <c r="P1022" s="214"/>
      <c r="Q1022" s="214"/>
      <c r="R1022" s="214"/>
      <c r="S1022" s="214"/>
      <c r="T1022" s="214"/>
      <c r="U1022" s="214"/>
      <c r="V1022" s="214"/>
      <c r="W1022" s="214"/>
      <c r="X1022" s="214"/>
      <c r="Y1022" s="214"/>
      <c r="Z1022" s="214"/>
      <c r="AA1022" s="214"/>
      <c r="AB1022" s="214"/>
      <c r="AC1022" s="214"/>
    </row>
    <row r="1023">
      <c r="A1023" s="222"/>
      <c r="D1023" s="299" t="s">
        <v>159</v>
      </c>
      <c r="E1023" s="299">
        <v>1.0</v>
      </c>
      <c r="F1023" s="251"/>
      <c r="G1023" s="251"/>
      <c r="H1023" s="312" t="s">
        <v>160</v>
      </c>
      <c r="I1023" s="253" t="s">
        <v>144</v>
      </c>
      <c r="J1023" s="214"/>
      <c r="K1023" s="214"/>
      <c r="L1023" s="214"/>
      <c r="M1023" s="214"/>
      <c r="N1023" s="214"/>
      <c r="O1023" s="214"/>
      <c r="P1023" s="214"/>
      <c r="Q1023" s="214"/>
      <c r="R1023" s="214"/>
      <c r="S1023" s="214"/>
      <c r="T1023" s="214"/>
      <c r="U1023" s="214"/>
      <c r="V1023" s="214"/>
      <c r="W1023" s="214"/>
      <c r="X1023" s="214"/>
      <c r="Y1023" s="214"/>
      <c r="Z1023" s="214"/>
      <c r="AA1023" s="214"/>
      <c r="AB1023" s="214"/>
      <c r="AC1023" s="214"/>
    </row>
    <row r="1024">
      <c r="A1024" s="222"/>
      <c r="D1024" s="271" t="s">
        <v>162</v>
      </c>
      <c r="E1024" s="271">
        <v>2.0</v>
      </c>
      <c r="F1024" s="317"/>
      <c r="G1024" s="317"/>
      <c r="H1024" s="273" t="s">
        <v>164</v>
      </c>
      <c r="I1024" s="393" t="s">
        <v>163</v>
      </c>
      <c r="J1024" s="214"/>
      <c r="K1024" s="214"/>
      <c r="L1024" s="214"/>
      <c r="M1024" s="214"/>
      <c r="N1024" s="214"/>
      <c r="O1024" s="214"/>
      <c r="P1024" s="214"/>
      <c r="Q1024" s="214"/>
      <c r="R1024" s="214"/>
      <c r="S1024" s="214"/>
      <c r="T1024" s="214"/>
      <c r="U1024" s="214"/>
      <c r="V1024" s="214"/>
      <c r="W1024" s="214"/>
      <c r="X1024" s="214"/>
      <c r="Y1024" s="214"/>
      <c r="Z1024" s="214"/>
      <c r="AA1024" s="214"/>
      <c r="AB1024" s="214"/>
      <c r="AC1024" s="214"/>
    </row>
    <row r="1025">
      <c r="A1025" s="236"/>
      <c r="B1025" s="237"/>
      <c r="C1025" s="237"/>
      <c r="D1025" s="287" t="s">
        <v>131</v>
      </c>
      <c r="E1025" s="287">
        <v>1.0</v>
      </c>
      <c r="F1025" s="288"/>
      <c r="G1025" s="288"/>
      <c r="H1025" s="289" t="s">
        <v>132</v>
      </c>
      <c r="I1025" s="461" t="s">
        <v>105</v>
      </c>
      <c r="J1025" s="214"/>
      <c r="K1025" s="214"/>
      <c r="L1025" s="214"/>
      <c r="M1025" s="214"/>
      <c r="N1025" s="214"/>
      <c r="O1025" s="214"/>
      <c r="P1025" s="214"/>
      <c r="Q1025" s="214"/>
      <c r="R1025" s="214"/>
      <c r="S1025" s="214"/>
      <c r="T1025" s="214"/>
      <c r="U1025" s="214"/>
      <c r="V1025" s="214"/>
      <c r="W1025" s="214"/>
      <c r="X1025" s="214"/>
      <c r="Y1025" s="214"/>
      <c r="Z1025" s="214"/>
      <c r="AA1025" s="214"/>
      <c r="AB1025" s="214"/>
      <c r="AC1025" s="214"/>
    </row>
    <row r="1026">
      <c r="A1026" s="242" t="s">
        <v>688</v>
      </c>
      <c r="B1026" s="243" t="s">
        <v>689</v>
      </c>
      <c r="C1026" s="550">
        <f>sum(E1026:E1029)</f>
        <v>7</v>
      </c>
      <c r="D1026" s="475" t="s">
        <v>97</v>
      </c>
      <c r="E1026" s="475">
        <v>2.0</v>
      </c>
      <c r="F1026" s="379"/>
      <c r="G1026" s="379"/>
      <c r="H1026" s="476" t="s">
        <v>99</v>
      </c>
      <c r="I1026" s="381" t="s">
        <v>98</v>
      </c>
      <c r="J1026" s="214"/>
      <c r="K1026" s="214"/>
      <c r="L1026" s="214"/>
      <c r="M1026" s="214"/>
      <c r="N1026" s="214"/>
      <c r="O1026" s="214"/>
      <c r="P1026" s="214"/>
      <c r="Q1026" s="214"/>
      <c r="R1026" s="214"/>
      <c r="S1026" s="214"/>
      <c r="T1026" s="214"/>
      <c r="U1026" s="214"/>
      <c r="V1026" s="214"/>
      <c r="W1026" s="214"/>
      <c r="X1026" s="214"/>
      <c r="Y1026" s="214"/>
      <c r="Z1026" s="214"/>
      <c r="AA1026" s="214"/>
      <c r="AB1026" s="214"/>
      <c r="AC1026" s="214"/>
    </row>
    <row r="1027">
      <c r="A1027" s="222"/>
      <c r="D1027" s="279" t="s">
        <v>49</v>
      </c>
      <c r="E1027" s="279">
        <v>2.0</v>
      </c>
      <c r="F1027" s="280"/>
      <c r="G1027" s="280"/>
      <c r="H1027" s="281" t="s">
        <v>50</v>
      </c>
      <c r="I1027" s="282" t="s">
        <v>43</v>
      </c>
      <c r="J1027" s="214"/>
      <c r="K1027" s="214"/>
      <c r="L1027" s="214"/>
      <c r="M1027" s="214"/>
      <c r="N1027" s="214"/>
      <c r="O1027" s="214"/>
      <c r="P1027" s="214"/>
      <c r="Q1027" s="214"/>
      <c r="R1027" s="214"/>
      <c r="S1027" s="214"/>
      <c r="T1027" s="214"/>
      <c r="U1027" s="214"/>
      <c r="V1027" s="214"/>
      <c r="W1027" s="214"/>
      <c r="X1027" s="214"/>
      <c r="Y1027" s="214"/>
      <c r="Z1027" s="214"/>
      <c r="AA1027" s="214"/>
      <c r="AB1027" s="214"/>
      <c r="AC1027" s="214"/>
    </row>
    <row r="1028">
      <c r="A1028" s="222"/>
      <c r="D1028" s="227" t="s">
        <v>254</v>
      </c>
      <c r="E1028" s="227">
        <v>2.0</v>
      </c>
      <c r="F1028" s="228"/>
      <c r="G1028" s="228"/>
      <c r="H1028" s="229" t="s">
        <v>255</v>
      </c>
      <c r="I1028" s="392" t="s">
        <v>7</v>
      </c>
      <c r="J1028" s="214"/>
      <c r="K1028" s="214"/>
      <c r="L1028" s="214"/>
      <c r="M1028" s="214"/>
      <c r="N1028" s="214"/>
      <c r="O1028" s="214"/>
      <c r="P1028" s="214"/>
      <c r="Q1028" s="214"/>
      <c r="R1028" s="214"/>
      <c r="S1028" s="214"/>
      <c r="T1028" s="214"/>
      <c r="U1028" s="214"/>
      <c r="V1028" s="214"/>
      <c r="W1028" s="214"/>
      <c r="X1028" s="214"/>
      <c r="Y1028" s="214"/>
      <c r="Z1028" s="214"/>
      <c r="AA1028" s="214"/>
      <c r="AB1028" s="214"/>
      <c r="AC1028" s="214"/>
    </row>
    <row r="1029">
      <c r="A1029" s="236"/>
      <c r="B1029" s="237"/>
      <c r="C1029" s="237"/>
      <c r="D1029" s="287" t="s">
        <v>134</v>
      </c>
      <c r="E1029" s="287">
        <v>1.0</v>
      </c>
      <c r="F1029" s="288"/>
      <c r="G1029" s="288"/>
      <c r="H1029" s="289" t="s">
        <v>135</v>
      </c>
      <c r="I1029" s="290" t="s">
        <v>105</v>
      </c>
      <c r="J1029" s="214"/>
      <c r="K1029" s="214"/>
      <c r="L1029" s="214"/>
      <c r="M1029" s="214"/>
      <c r="N1029" s="214"/>
      <c r="O1029" s="214"/>
      <c r="P1029" s="214"/>
      <c r="Q1029" s="214"/>
      <c r="R1029" s="214"/>
      <c r="S1029" s="214"/>
      <c r="T1029" s="214"/>
      <c r="U1029" s="214"/>
      <c r="V1029" s="214"/>
      <c r="W1029" s="214"/>
      <c r="X1029" s="214"/>
      <c r="Y1029" s="214"/>
      <c r="Z1029" s="214"/>
      <c r="AA1029" s="214"/>
      <c r="AB1029" s="214"/>
      <c r="AC1029" s="214"/>
    </row>
    <row r="1030">
      <c r="A1030" s="242" t="s">
        <v>690</v>
      </c>
      <c r="B1030" s="243" t="s">
        <v>691</v>
      </c>
      <c r="C1030" s="550">
        <f>sum(E1030:E1032)</f>
        <v>7</v>
      </c>
      <c r="D1030" s="475" t="s">
        <v>101</v>
      </c>
      <c r="E1030" s="475">
        <v>2.0</v>
      </c>
      <c r="F1030" s="379"/>
      <c r="G1030" s="379"/>
      <c r="H1030" s="476" t="s">
        <v>102</v>
      </c>
      <c r="I1030" s="381" t="s">
        <v>98</v>
      </c>
      <c r="J1030" s="214"/>
      <c r="K1030" s="214"/>
      <c r="L1030" s="214"/>
      <c r="M1030" s="214"/>
      <c r="N1030" s="214"/>
      <c r="O1030" s="214"/>
      <c r="P1030" s="214"/>
      <c r="Q1030" s="214"/>
      <c r="R1030" s="214"/>
      <c r="S1030" s="214"/>
      <c r="T1030" s="214"/>
      <c r="U1030" s="214"/>
      <c r="V1030" s="214"/>
      <c r="W1030" s="214"/>
      <c r="X1030" s="214"/>
      <c r="Y1030" s="214"/>
      <c r="Z1030" s="214"/>
      <c r="AA1030" s="214"/>
      <c r="AB1030" s="214"/>
      <c r="AC1030" s="214"/>
    </row>
    <row r="1031">
      <c r="A1031" s="222"/>
      <c r="D1031" s="286" t="s">
        <v>64</v>
      </c>
      <c r="E1031" s="286">
        <v>3.0</v>
      </c>
      <c r="F1031" s="261"/>
      <c r="G1031" s="261"/>
      <c r="H1031" s="262" t="s">
        <v>66</v>
      </c>
      <c r="I1031" s="263" t="s">
        <v>65</v>
      </c>
      <c r="J1031" s="214"/>
      <c r="K1031" s="214"/>
      <c r="L1031" s="214"/>
      <c r="M1031" s="214"/>
      <c r="N1031" s="214"/>
      <c r="O1031" s="214"/>
      <c r="P1031" s="214"/>
      <c r="Q1031" s="214"/>
      <c r="R1031" s="214"/>
      <c r="S1031" s="214"/>
      <c r="T1031" s="214"/>
      <c r="U1031" s="214"/>
      <c r="V1031" s="214"/>
      <c r="W1031" s="214"/>
      <c r="X1031" s="214"/>
      <c r="Y1031" s="214"/>
      <c r="Z1031" s="214"/>
      <c r="AA1031" s="214"/>
      <c r="AB1031" s="214"/>
      <c r="AC1031" s="214"/>
    </row>
    <row r="1032">
      <c r="A1032" s="236"/>
      <c r="B1032" s="237"/>
      <c r="C1032" s="237"/>
      <c r="D1032" s="633" t="s">
        <v>254</v>
      </c>
      <c r="E1032" s="633">
        <v>2.0</v>
      </c>
      <c r="F1032" s="504"/>
      <c r="G1032" s="375"/>
      <c r="H1032" s="634" t="s">
        <v>255</v>
      </c>
      <c r="I1032" s="505" t="s">
        <v>7</v>
      </c>
      <c r="J1032" s="214"/>
      <c r="K1032" s="214"/>
      <c r="L1032" s="214"/>
      <c r="M1032" s="214"/>
      <c r="N1032" s="214"/>
      <c r="O1032" s="214"/>
      <c r="P1032" s="214"/>
      <c r="Q1032" s="214"/>
      <c r="R1032" s="214"/>
      <c r="S1032" s="214"/>
      <c r="T1032" s="214"/>
      <c r="U1032" s="214"/>
      <c r="V1032" s="214"/>
      <c r="W1032" s="214"/>
      <c r="X1032" s="214"/>
      <c r="Y1032" s="214"/>
      <c r="Z1032" s="214"/>
      <c r="AA1032" s="214"/>
      <c r="AB1032" s="214"/>
      <c r="AC1032" s="214"/>
    </row>
    <row r="1033">
      <c r="A1033" s="215" t="s">
        <v>692</v>
      </c>
      <c r="B1033" s="216" t="s">
        <v>693</v>
      </c>
      <c r="C1033" s="550">
        <f>sum(E1033:E1036)</f>
        <v>7</v>
      </c>
      <c r="D1033" s="426" t="s">
        <v>22</v>
      </c>
      <c r="E1033" s="426">
        <v>2.0</v>
      </c>
      <c r="F1033" s="396"/>
      <c r="G1033" s="396"/>
      <c r="H1033" s="427" t="s">
        <v>265</v>
      </c>
      <c r="I1033" s="399" t="s">
        <v>23</v>
      </c>
      <c r="J1033" s="214"/>
      <c r="K1033" s="214"/>
      <c r="L1033" s="214"/>
      <c r="M1033" s="214"/>
      <c r="N1033" s="214"/>
      <c r="O1033" s="214"/>
      <c r="P1033" s="214"/>
      <c r="Q1033" s="214"/>
      <c r="R1033" s="214"/>
      <c r="S1033" s="214"/>
      <c r="T1033" s="214"/>
      <c r="U1033" s="214"/>
      <c r="V1033" s="214"/>
      <c r="W1033" s="214"/>
      <c r="X1033" s="214"/>
      <c r="Y1033" s="214"/>
      <c r="Z1033" s="214"/>
      <c r="AA1033" s="214"/>
      <c r="AB1033" s="214"/>
      <c r="AC1033" s="214"/>
    </row>
    <row r="1034">
      <c r="A1034" s="222"/>
      <c r="D1034" s="279" t="s">
        <v>52</v>
      </c>
      <c r="E1034" s="279">
        <v>1.0</v>
      </c>
      <c r="F1034" s="316"/>
      <c r="G1034" s="280"/>
      <c r="H1034" s="281" t="s">
        <v>53</v>
      </c>
      <c r="I1034" s="282" t="s">
        <v>43</v>
      </c>
      <c r="J1034" s="214"/>
      <c r="K1034" s="214"/>
      <c r="L1034" s="214"/>
      <c r="M1034" s="214"/>
      <c r="N1034" s="214"/>
      <c r="O1034" s="214"/>
      <c r="P1034" s="214"/>
      <c r="Q1034" s="214"/>
      <c r="R1034" s="214"/>
      <c r="S1034" s="214"/>
      <c r="T1034" s="214"/>
      <c r="U1034" s="214"/>
      <c r="V1034" s="214"/>
      <c r="W1034" s="214"/>
      <c r="X1034" s="214"/>
      <c r="Y1034" s="214"/>
      <c r="Z1034" s="214"/>
      <c r="AA1034" s="214"/>
      <c r="AB1034" s="214"/>
      <c r="AC1034" s="214"/>
    </row>
    <row r="1035">
      <c r="A1035" s="222"/>
      <c r="D1035" s="232" t="s">
        <v>108</v>
      </c>
      <c r="E1035" s="232">
        <v>2.0</v>
      </c>
      <c r="F1035" s="233"/>
      <c r="G1035" s="233"/>
      <c r="H1035" s="234" t="s">
        <v>109</v>
      </c>
      <c r="I1035" s="516" t="s">
        <v>105</v>
      </c>
      <c r="J1035" s="214"/>
      <c r="K1035" s="214"/>
      <c r="L1035" s="214"/>
      <c r="M1035" s="214"/>
      <c r="N1035" s="214"/>
      <c r="O1035" s="214"/>
      <c r="P1035" s="214"/>
      <c r="Q1035" s="214"/>
      <c r="R1035" s="214"/>
      <c r="S1035" s="214"/>
      <c r="T1035" s="214"/>
      <c r="U1035" s="214"/>
      <c r="V1035" s="214"/>
      <c r="W1035" s="214"/>
      <c r="X1035" s="214"/>
      <c r="Y1035" s="214"/>
      <c r="Z1035" s="214"/>
      <c r="AA1035" s="214"/>
      <c r="AB1035" s="214"/>
      <c r="AC1035" s="214"/>
    </row>
    <row r="1036">
      <c r="A1036" s="236"/>
      <c r="B1036" s="237"/>
      <c r="C1036" s="237"/>
      <c r="D1036" s="264" t="s">
        <v>162</v>
      </c>
      <c r="E1036" s="264">
        <v>2.0</v>
      </c>
      <c r="F1036" s="479"/>
      <c r="G1036" s="479"/>
      <c r="H1036" s="266" t="s">
        <v>164</v>
      </c>
      <c r="I1036" s="267" t="s">
        <v>163</v>
      </c>
      <c r="J1036" s="214"/>
      <c r="K1036" s="214"/>
      <c r="L1036" s="214"/>
      <c r="M1036" s="214"/>
      <c r="N1036" s="214"/>
      <c r="O1036" s="214"/>
      <c r="P1036" s="214"/>
      <c r="Q1036" s="214"/>
      <c r="R1036" s="214"/>
      <c r="S1036" s="214"/>
      <c r="T1036" s="214"/>
      <c r="U1036" s="214"/>
      <c r="V1036" s="214"/>
      <c r="W1036" s="214"/>
      <c r="X1036" s="214"/>
      <c r="Y1036" s="214"/>
      <c r="Z1036" s="214"/>
      <c r="AA1036" s="214"/>
      <c r="AB1036" s="214"/>
      <c r="AC1036" s="214"/>
    </row>
    <row r="1037">
      <c r="A1037" s="215" t="s">
        <v>694</v>
      </c>
      <c r="B1037" s="243" t="s">
        <v>695</v>
      </c>
      <c r="C1037" s="550">
        <f>sum(E1037:E1041)</f>
        <v>7</v>
      </c>
      <c r="D1037" s="245" t="s">
        <v>55</v>
      </c>
      <c r="E1037" s="245">
        <v>1.0</v>
      </c>
      <c r="F1037" s="246"/>
      <c r="G1037" s="246"/>
      <c r="H1037" s="247" t="s">
        <v>56</v>
      </c>
      <c r="I1037" s="248" t="s">
        <v>43</v>
      </c>
      <c r="J1037" s="214"/>
      <c r="K1037" s="214"/>
      <c r="L1037" s="214"/>
      <c r="M1037" s="214"/>
      <c r="N1037" s="214"/>
      <c r="O1037" s="214"/>
      <c r="P1037" s="214"/>
      <c r="Q1037" s="214"/>
      <c r="R1037" s="214"/>
      <c r="S1037" s="214"/>
      <c r="T1037" s="214"/>
      <c r="U1037" s="214"/>
      <c r="V1037" s="214"/>
      <c r="W1037" s="214"/>
      <c r="X1037" s="214"/>
      <c r="Y1037" s="214"/>
      <c r="Z1037" s="214"/>
      <c r="AA1037" s="214"/>
      <c r="AB1037" s="214"/>
      <c r="AC1037" s="214"/>
    </row>
    <row r="1038">
      <c r="A1038" s="222"/>
      <c r="D1038" s="286" t="s">
        <v>229</v>
      </c>
      <c r="E1038" s="286">
        <v>2.0</v>
      </c>
      <c r="F1038" s="318"/>
      <c r="G1038" s="261"/>
      <c r="H1038" s="262" t="s">
        <v>69</v>
      </c>
      <c r="I1038" s="263" t="s">
        <v>65</v>
      </c>
      <c r="J1038" s="214"/>
      <c r="K1038" s="214"/>
      <c r="L1038" s="214"/>
      <c r="M1038" s="214"/>
      <c r="N1038" s="214"/>
      <c r="O1038" s="214"/>
      <c r="P1038" s="214"/>
      <c r="Q1038" s="214"/>
      <c r="R1038" s="214"/>
      <c r="S1038" s="214"/>
      <c r="T1038" s="214"/>
      <c r="U1038" s="214"/>
      <c r="V1038" s="214"/>
      <c r="W1038" s="214"/>
      <c r="X1038" s="214"/>
      <c r="Y1038" s="214"/>
      <c r="Z1038" s="214"/>
      <c r="AA1038" s="214"/>
      <c r="AB1038" s="214"/>
      <c r="AC1038" s="214"/>
    </row>
    <row r="1039">
      <c r="A1039" s="222"/>
      <c r="D1039" s="402" t="s">
        <v>162</v>
      </c>
      <c r="E1039" s="402">
        <v>2.0</v>
      </c>
      <c r="F1039" s="272"/>
      <c r="G1039" s="272"/>
      <c r="H1039" s="403" t="s">
        <v>164</v>
      </c>
      <c r="I1039" s="274" t="s">
        <v>163</v>
      </c>
      <c r="J1039" s="214"/>
      <c r="K1039" s="214"/>
      <c r="L1039" s="214"/>
      <c r="M1039" s="214"/>
      <c r="N1039" s="214"/>
      <c r="O1039" s="214"/>
      <c r="P1039" s="214"/>
      <c r="Q1039" s="214"/>
      <c r="R1039" s="214"/>
      <c r="S1039" s="214"/>
      <c r="T1039" s="214"/>
      <c r="U1039" s="214"/>
      <c r="V1039" s="214"/>
      <c r="W1039" s="214"/>
      <c r="X1039" s="214"/>
      <c r="Y1039" s="214"/>
      <c r="Z1039" s="214"/>
      <c r="AA1039" s="214"/>
      <c r="AB1039" s="214"/>
      <c r="AC1039" s="214"/>
    </row>
    <row r="1040">
      <c r="A1040" s="222"/>
      <c r="D1040" s="232" t="s">
        <v>137</v>
      </c>
      <c r="E1040" s="232">
        <v>1.0</v>
      </c>
      <c r="F1040" s="233"/>
      <c r="G1040" s="233"/>
      <c r="H1040" s="340" t="s">
        <v>138</v>
      </c>
      <c r="I1040" s="235" t="s">
        <v>105</v>
      </c>
      <c r="J1040" s="214"/>
      <c r="K1040" s="214"/>
      <c r="L1040" s="214"/>
      <c r="M1040" s="214"/>
      <c r="N1040" s="214"/>
      <c r="O1040" s="214"/>
      <c r="P1040" s="214"/>
      <c r="Q1040" s="214"/>
      <c r="R1040" s="214"/>
      <c r="S1040" s="214"/>
      <c r="T1040" s="214"/>
      <c r="U1040" s="214"/>
      <c r="V1040" s="214"/>
      <c r="W1040" s="214"/>
      <c r="X1040" s="214"/>
      <c r="Y1040" s="214"/>
      <c r="Z1040" s="214"/>
      <c r="AA1040" s="214"/>
      <c r="AB1040" s="214"/>
      <c r="AC1040" s="214"/>
    </row>
    <row r="1041">
      <c r="A1041" s="236"/>
      <c r="B1041" s="237"/>
      <c r="C1041" s="237"/>
      <c r="D1041" s="495" t="s">
        <v>185</v>
      </c>
      <c r="E1041" s="495">
        <v>1.0</v>
      </c>
      <c r="F1041" s="496"/>
      <c r="G1041" s="500"/>
      <c r="H1041" s="497" t="s">
        <v>187</v>
      </c>
      <c r="I1041" s="501" t="s">
        <v>186</v>
      </c>
      <c r="J1041" s="214"/>
      <c r="K1041" s="214"/>
      <c r="L1041" s="214"/>
      <c r="M1041" s="214"/>
      <c r="N1041" s="214"/>
      <c r="O1041" s="214"/>
      <c r="P1041" s="214"/>
      <c r="Q1041" s="214"/>
      <c r="R1041" s="214"/>
      <c r="S1041" s="214"/>
      <c r="T1041" s="214"/>
      <c r="U1041" s="214"/>
      <c r="V1041" s="214"/>
      <c r="W1041" s="214"/>
      <c r="X1041" s="214"/>
      <c r="Y1041" s="214"/>
      <c r="Z1041" s="214"/>
      <c r="AA1041" s="214"/>
      <c r="AB1041" s="214"/>
      <c r="AC1041" s="214"/>
    </row>
    <row r="1042">
      <c r="A1042" s="242" t="s">
        <v>696</v>
      </c>
      <c r="B1042" s="243" t="s">
        <v>423</v>
      </c>
      <c r="C1042" s="550">
        <f>sum(E1042:E1044)</f>
        <v>7</v>
      </c>
      <c r="D1042" s="356" t="s">
        <v>254</v>
      </c>
      <c r="E1042" s="356">
        <v>2.0</v>
      </c>
      <c r="F1042" s="499"/>
      <c r="G1042" s="357"/>
      <c r="H1042" s="447" t="s">
        <v>255</v>
      </c>
      <c r="I1042" s="482" t="s">
        <v>7</v>
      </c>
      <c r="J1042" s="214"/>
      <c r="K1042" s="214"/>
      <c r="L1042" s="214"/>
      <c r="M1042" s="214"/>
      <c r="N1042" s="214"/>
      <c r="O1042" s="214"/>
      <c r="P1042" s="214"/>
      <c r="Q1042" s="214"/>
      <c r="R1042" s="214"/>
      <c r="S1042" s="214"/>
      <c r="T1042" s="214"/>
      <c r="U1042" s="214"/>
      <c r="V1042" s="214"/>
      <c r="W1042" s="214"/>
      <c r="X1042" s="214"/>
      <c r="Y1042" s="214"/>
      <c r="Z1042" s="214"/>
      <c r="AA1042" s="214"/>
      <c r="AB1042" s="214"/>
      <c r="AC1042" s="214"/>
    </row>
    <row r="1043">
      <c r="A1043" s="222"/>
      <c r="D1043" s="286" t="s">
        <v>64</v>
      </c>
      <c r="E1043" s="286">
        <v>3.0</v>
      </c>
      <c r="F1043" s="318"/>
      <c r="G1043" s="261"/>
      <c r="H1043" s="262" t="s">
        <v>66</v>
      </c>
      <c r="I1043" s="263" t="s">
        <v>65</v>
      </c>
      <c r="J1043" s="214"/>
      <c r="K1043" s="214"/>
      <c r="L1043" s="214"/>
      <c r="M1043" s="214"/>
      <c r="N1043" s="214"/>
      <c r="O1043" s="214"/>
      <c r="P1043" s="214"/>
      <c r="Q1043" s="214"/>
      <c r="R1043" s="214"/>
      <c r="S1043" s="214"/>
      <c r="T1043" s="214"/>
      <c r="U1043" s="214"/>
      <c r="V1043" s="214"/>
      <c r="W1043" s="214"/>
      <c r="X1043" s="214"/>
      <c r="Y1043" s="214"/>
      <c r="Z1043" s="214"/>
      <c r="AA1043" s="214"/>
      <c r="AB1043" s="214"/>
      <c r="AC1043" s="214"/>
    </row>
    <row r="1044">
      <c r="A1044" s="236"/>
      <c r="B1044" s="237"/>
      <c r="C1044" s="237"/>
      <c r="D1044" s="345" t="s">
        <v>179</v>
      </c>
      <c r="E1044" s="345">
        <v>2.0</v>
      </c>
      <c r="F1044" s="346"/>
      <c r="G1044" s="346"/>
      <c r="H1044" s="347" t="s">
        <v>180</v>
      </c>
      <c r="I1044" s="348" t="s">
        <v>176</v>
      </c>
      <c r="J1044" s="214"/>
      <c r="K1044" s="214"/>
      <c r="L1044" s="214"/>
      <c r="M1044" s="214"/>
      <c r="N1044" s="214"/>
      <c r="O1044" s="214"/>
      <c r="P1044" s="214"/>
      <c r="Q1044" s="214"/>
      <c r="R1044" s="214"/>
      <c r="S1044" s="214"/>
      <c r="T1044" s="214"/>
      <c r="U1044" s="214"/>
      <c r="V1044" s="214"/>
      <c r="W1044" s="214"/>
      <c r="X1044" s="214"/>
      <c r="Y1044" s="214"/>
      <c r="Z1044" s="214"/>
      <c r="AA1044" s="214"/>
      <c r="AB1044" s="214"/>
      <c r="AC1044" s="214"/>
    </row>
    <row r="1045">
      <c r="A1045" s="215" t="s">
        <v>697</v>
      </c>
      <c r="B1045" s="216" t="s">
        <v>698</v>
      </c>
      <c r="C1045" s="550">
        <f>sum(E1045:E1047)</f>
        <v>7</v>
      </c>
      <c r="D1045" s="292" t="s">
        <v>64</v>
      </c>
      <c r="E1045" s="292">
        <v>3.0</v>
      </c>
      <c r="F1045" s="293"/>
      <c r="G1045" s="324"/>
      <c r="H1045" s="262" t="s">
        <v>66</v>
      </c>
      <c r="I1045" s="295" t="s">
        <v>65</v>
      </c>
      <c r="J1045" s="214"/>
      <c r="K1045" s="214"/>
      <c r="L1045" s="214"/>
      <c r="M1045" s="214"/>
      <c r="N1045" s="214"/>
      <c r="O1045" s="214"/>
      <c r="P1045" s="214"/>
      <c r="Q1045" s="214"/>
      <c r="R1045" s="214"/>
      <c r="S1045" s="214"/>
      <c r="T1045" s="214"/>
      <c r="U1045" s="214"/>
      <c r="V1045" s="214"/>
      <c r="W1045" s="214"/>
      <c r="X1045" s="214"/>
      <c r="Y1045" s="214"/>
      <c r="Z1045" s="214"/>
      <c r="AA1045" s="214"/>
      <c r="AB1045" s="214"/>
      <c r="AC1045" s="214"/>
    </row>
    <row r="1046">
      <c r="A1046" s="222"/>
      <c r="D1046" s="227" t="s">
        <v>254</v>
      </c>
      <c r="E1046" s="227">
        <v>2.0</v>
      </c>
      <c r="F1046" s="228"/>
      <c r="G1046" s="228"/>
      <c r="H1046" s="229" t="s">
        <v>255</v>
      </c>
      <c r="I1046" s="230" t="s">
        <v>7</v>
      </c>
      <c r="J1046" s="214"/>
      <c r="K1046" s="214"/>
      <c r="L1046" s="214"/>
      <c r="M1046" s="214"/>
      <c r="N1046" s="214"/>
      <c r="O1046" s="214"/>
      <c r="P1046" s="214"/>
      <c r="Q1046" s="214"/>
      <c r="R1046" s="214"/>
      <c r="S1046" s="214"/>
      <c r="T1046" s="214"/>
      <c r="U1046" s="214"/>
      <c r="V1046" s="214"/>
      <c r="W1046" s="214"/>
      <c r="X1046" s="214"/>
      <c r="Y1046" s="214"/>
      <c r="Z1046" s="214"/>
      <c r="AA1046" s="214"/>
      <c r="AB1046" s="214"/>
      <c r="AC1046" s="214"/>
    </row>
    <row r="1047">
      <c r="A1047" s="236"/>
      <c r="B1047" s="237"/>
      <c r="C1047" s="237"/>
      <c r="D1047" s="345" t="s">
        <v>179</v>
      </c>
      <c r="E1047" s="345">
        <v>2.0</v>
      </c>
      <c r="F1047" s="346"/>
      <c r="G1047" s="346"/>
      <c r="H1047" s="347" t="s">
        <v>180</v>
      </c>
      <c r="I1047" s="533" t="s">
        <v>176</v>
      </c>
      <c r="J1047" s="214"/>
      <c r="K1047" s="214"/>
      <c r="L1047" s="214"/>
      <c r="M1047" s="214"/>
      <c r="N1047" s="214"/>
      <c r="O1047" s="214"/>
      <c r="P1047" s="214"/>
      <c r="Q1047" s="214"/>
      <c r="R1047" s="214"/>
      <c r="S1047" s="214"/>
      <c r="T1047" s="214"/>
      <c r="U1047" s="214"/>
      <c r="V1047" s="214"/>
      <c r="W1047" s="214"/>
      <c r="X1047" s="214"/>
      <c r="Y1047" s="214"/>
      <c r="Z1047" s="214"/>
      <c r="AA1047" s="214"/>
      <c r="AB1047" s="214"/>
      <c r="AC1047" s="214"/>
    </row>
    <row r="1048">
      <c r="A1048" s="242" t="s">
        <v>699</v>
      </c>
      <c r="B1048" s="243" t="s">
        <v>700</v>
      </c>
      <c r="C1048" s="550">
        <f>sum(E1048:E1050)</f>
        <v>7</v>
      </c>
      <c r="D1048" s="292" t="s">
        <v>701</v>
      </c>
      <c r="E1048" s="292">
        <v>3.0</v>
      </c>
      <c r="F1048" s="293"/>
      <c r="G1048" s="324"/>
      <c r="H1048" s="486" t="s">
        <v>702</v>
      </c>
      <c r="I1048" s="585" t="s">
        <v>65</v>
      </c>
      <c r="J1048" s="214"/>
      <c r="K1048" s="214"/>
      <c r="L1048" s="214"/>
      <c r="M1048" s="214"/>
      <c r="N1048" s="214"/>
      <c r="O1048" s="214"/>
      <c r="P1048" s="214"/>
      <c r="Q1048" s="214"/>
      <c r="R1048" s="214"/>
      <c r="S1048" s="214"/>
      <c r="T1048" s="214"/>
      <c r="U1048" s="214"/>
      <c r="V1048" s="214"/>
      <c r="W1048" s="214"/>
      <c r="X1048" s="214"/>
      <c r="Y1048" s="214"/>
      <c r="Z1048" s="214"/>
      <c r="AA1048" s="214"/>
      <c r="AB1048" s="214"/>
      <c r="AC1048" s="214"/>
    </row>
    <row r="1049">
      <c r="A1049" s="222"/>
      <c r="D1049" s="299" t="s">
        <v>156</v>
      </c>
      <c r="E1049" s="299">
        <v>2.0</v>
      </c>
      <c r="F1049" s="251"/>
      <c r="G1049" s="251"/>
      <c r="H1049" s="312" t="s">
        <v>157</v>
      </c>
      <c r="I1049" s="300" t="s">
        <v>144</v>
      </c>
      <c r="J1049" s="214"/>
      <c r="K1049" s="214"/>
      <c r="L1049" s="214"/>
      <c r="M1049" s="214"/>
      <c r="N1049" s="214"/>
      <c r="O1049" s="214"/>
      <c r="P1049" s="214"/>
      <c r="Q1049" s="214"/>
      <c r="R1049" s="214"/>
      <c r="S1049" s="214"/>
      <c r="T1049" s="214"/>
      <c r="U1049" s="214"/>
      <c r="V1049" s="214"/>
      <c r="W1049" s="214"/>
      <c r="X1049" s="214"/>
      <c r="Y1049" s="214"/>
      <c r="Z1049" s="214"/>
      <c r="AA1049" s="214"/>
      <c r="AB1049" s="214"/>
      <c r="AC1049" s="214"/>
    </row>
    <row r="1050">
      <c r="A1050" s="236"/>
      <c r="B1050" s="237"/>
      <c r="C1050" s="237"/>
      <c r="D1050" s="621" t="s">
        <v>162</v>
      </c>
      <c r="E1050" s="621">
        <v>2.0</v>
      </c>
      <c r="F1050" s="479"/>
      <c r="G1050" s="479"/>
      <c r="H1050" s="622" t="s">
        <v>164</v>
      </c>
      <c r="I1050" s="267" t="s">
        <v>163</v>
      </c>
      <c r="J1050" s="214"/>
      <c r="K1050" s="214"/>
      <c r="L1050" s="214"/>
      <c r="M1050" s="214"/>
      <c r="N1050" s="214"/>
      <c r="O1050" s="214"/>
      <c r="P1050" s="214"/>
      <c r="Q1050" s="214"/>
      <c r="R1050" s="214"/>
      <c r="S1050" s="214"/>
      <c r="T1050" s="214"/>
      <c r="U1050" s="214"/>
      <c r="V1050" s="214"/>
      <c r="W1050" s="214"/>
      <c r="X1050" s="214"/>
      <c r="Y1050" s="214"/>
      <c r="Z1050" s="214"/>
      <c r="AA1050" s="214"/>
      <c r="AB1050" s="214"/>
      <c r="AC1050" s="214"/>
    </row>
    <row r="1051">
      <c r="A1051" s="215" t="s">
        <v>703</v>
      </c>
      <c r="B1051" s="216" t="s">
        <v>704</v>
      </c>
      <c r="C1051" s="550">
        <f>sum(E1051:E1054)</f>
        <v>7</v>
      </c>
      <c r="D1051" s="356" t="s">
        <v>11</v>
      </c>
      <c r="E1051" s="356">
        <v>2.0</v>
      </c>
      <c r="F1051" s="357"/>
      <c r="G1051" s="357"/>
      <c r="H1051" s="447" t="s">
        <v>294</v>
      </c>
      <c r="I1051" s="482" t="s">
        <v>7</v>
      </c>
      <c r="J1051" s="214"/>
      <c r="K1051" s="214"/>
      <c r="L1051" s="214"/>
      <c r="M1051" s="214"/>
      <c r="N1051" s="214"/>
      <c r="O1051" s="214"/>
      <c r="P1051" s="214"/>
      <c r="Q1051" s="214"/>
      <c r="R1051" s="214"/>
      <c r="S1051" s="214"/>
      <c r="T1051" s="214"/>
      <c r="U1051" s="214"/>
      <c r="V1051" s="214"/>
      <c r="W1051" s="214"/>
      <c r="X1051" s="214"/>
      <c r="Y1051" s="214"/>
      <c r="Z1051" s="214"/>
      <c r="AA1051" s="214"/>
      <c r="AB1051" s="214"/>
      <c r="AC1051" s="214"/>
    </row>
    <row r="1052">
      <c r="A1052" s="222"/>
      <c r="D1052" s="299" t="s">
        <v>147</v>
      </c>
      <c r="E1052" s="299">
        <v>3.0</v>
      </c>
      <c r="F1052" s="251"/>
      <c r="G1052" s="251"/>
      <c r="H1052" s="312" t="s">
        <v>145</v>
      </c>
      <c r="I1052" s="300" t="s">
        <v>144</v>
      </c>
      <c r="J1052" s="214"/>
      <c r="K1052" s="214"/>
      <c r="L1052" s="214"/>
      <c r="M1052" s="214"/>
      <c r="N1052" s="214"/>
      <c r="O1052" s="214"/>
      <c r="P1052" s="214"/>
      <c r="Q1052" s="214"/>
      <c r="R1052" s="214"/>
      <c r="S1052" s="214"/>
      <c r="T1052" s="214"/>
      <c r="U1052" s="214"/>
      <c r="V1052" s="214"/>
      <c r="W1052" s="214"/>
      <c r="X1052" s="214"/>
      <c r="Y1052" s="214"/>
      <c r="Z1052" s="214"/>
      <c r="AA1052" s="214"/>
      <c r="AB1052" s="214"/>
      <c r="AC1052" s="214"/>
    </row>
    <row r="1053">
      <c r="A1053" s="222"/>
      <c r="D1053" s="256" t="s">
        <v>185</v>
      </c>
      <c r="E1053" s="256">
        <v>1.0</v>
      </c>
      <c r="F1053" s="257"/>
      <c r="G1053" s="257"/>
      <c r="H1053" s="258" t="s">
        <v>187</v>
      </c>
      <c r="I1053" s="315" t="s">
        <v>186</v>
      </c>
      <c r="J1053" s="214"/>
      <c r="K1053" s="214"/>
      <c r="L1053" s="214"/>
      <c r="M1053" s="214"/>
      <c r="N1053" s="214"/>
      <c r="O1053" s="214"/>
      <c r="P1053" s="214"/>
      <c r="Q1053" s="214"/>
      <c r="R1053" s="214"/>
      <c r="S1053" s="214"/>
      <c r="T1053" s="214"/>
      <c r="U1053" s="214"/>
      <c r="V1053" s="214"/>
      <c r="W1053" s="214"/>
      <c r="X1053" s="214"/>
      <c r="Y1053" s="214"/>
      <c r="Z1053" s="214"/>
      <c r="AA1053" s="214"/>
      <c r="AB1053" s="214"/>
      <c r="AC1053" s="214"/>
    </row>
    <row r="1054">
      <c r="A1054" s="236"/>
      <c r="B1054" s="237"/>
      <c r="C1054" s="237"/>
      <c r="D1054" s="232" t="s">
        <v>239</v>
      </c>
      <c r="E1054" s="232">
        <v>1.0</v>
      </c>
      <c r="F1054" s="233"/>
      <c r="G1054" s="233"/>
      <c r="H1054" s="234" t="s">
        <v>115</v>
      </c>
      <c r="I1054" s="235" t="s">
        <v>105</v>
      </c>
      <c r="J1054" s="214"/>
      <c r="K1054" s="214"/>
      <c r="L1054" s="214"/>
      <c r="M1054" s="214"/>
      <c r="N1054" s="214"/>
      <c r="O1054" s="214"/>
      <c r="P1054" s="214"/>
      <c r="Q1054" s="214"/>
      <c r="R1054" s="214"/>
      <c r="S1054" s="214"/>
      <c r="T1054" s="214"/>
      <c r="U1054" s="214"/>
      <c r="V1054" s="214"/>
      <c r="W1054" s="214"/>
      <c r="X1054" s="214"/>
      <c r="Y1054" s="214"/>
      <c r="Z1054" s="214"/>
      <c r="AA1054" s="214"/>
      <c r="AB1054" s="214"/>
      <c r="AC1054" s="214"/>
    </row>
    <row r="1055">
      <c r="A1055" s="215" t="s">
        <v>705</v>
      </c>
      <c r="B1055" s="635" t="s">
        <v>706</v>
      </c>
      <c r="C1055" s="416">
        <f>sum(E1055:E1057)</f>
        <v>7</v>
      </c>
      <c r="D1055" s="521" t="s">
        <v>147</v>
      </c>
      <c r="E1055" s="521">
        <v>3.0</v>
      </c>
      <c r="F1055" s="525"/>
      <c r="G1055" s="522"/>
      <c r="H1055" s="523" t="s">
        <v>145</v>
      </c>
      <c r="I1055" s="538" t="s">
        <v>144</v>
      </c>
      <c r="J1055" s="527"/>
      <c r="K1055" s="527"/>
      <c r="L1055" s="527"/>
      <c r="M1055" s="527"/>
      <c r="N1055" s="527"/>
      <c r="O1055" s="527"/>
      <c r="P1055" s="527"/>
      <c r="Q1055" s="527"/>
      <c r="R1055" s="527"/>
      <c r="S1055" s="527"/>
      <c r="T1055" s="527"/>
      <c r="U1055" s="527"/>
      <c r="V1055" s="527"/>
      <c r="W1055" s="527"/>
      <c r="X1055" s="527"/>
      <c r="Y1055" s="527"/>
      <c r="Z1055" s="527"/>
      <c r="AA1055" s="527"/>
      <c r="AB1055" s="527"/>
      <c r="AC1055" s="527"/>
    </row>
    <row r="1056">
      <c r="A1056" s="222"/>
      <c r="D1056" s="286" t="s">
        <v>229</v>
      </c>
      <c r="E1056" s="286">
        <v>2.0</v>
      </c>
      <c r="F1056" s="318"/>
      <c r="G1056" s="261"/>
      <c r="H1056" s="262" t="s">
        <v>69</v>
      </c>
      <c r="I1056" s="263" t="s">
        <v>65</v>
      </c>
      <c r="J1056" s="527"/>
      <c r="K1056" s="527"/>
      <c r="L1056" s="527"/>
      <c r="M1056" s="527"/>
      <c r="N1056" s="527"/>
      <c r="O1056" s="527"/>
      <c r="P1056" s="527"/>
      <c r="Q1056" s="527"/>
      <c r="R1056" s="527"/>
      <c r="S1056" s="527"/>
      <c r="T1056" s="527"/>
      <c r="U1056" s="527"/>
      <c r="V1056" s="527"/>
      <c r="W1056" s="527"/>
      <c r="X1056" s="527"/>
      <c r="Y1056" s="527"/>
      <c r="Z1056" s="527"/>
      <c r="AA1056" s="527"/>
      <c r="AB1056" s="527"/>
      <c r="AC1056" s="527"/>
    </row>
    <row r="1057">
      <c r="A1057" s="236"/>
      <c r="B1057" s="237"/>
      <c r="C1057" s="237"/>
      <c r="D1057" s="621" t="s">
        <v>162</v>
      </c>
      <c r="E1057" s="621">
        <v>2.0</v>
      </c>
      <c r="F1057" s="265"/>
      <c r="G1057" s="479"/>
      <c r="H1057" s="622" t="s">
        <v>164</v>
      </c>
      <c r="I1057" s="480" t="s">
        <v>163</v>
      </c>
      <c r="J1057" s="527"/>
      <c r="K1057" s="527"/>
      <c r="L1057" s="527"/>
      <c r="M1057" s="527"/>
      <c r="N1057" s="527"/>
      <c r="O1057" s="527"/>
      <c r="P1057" s="527"/>
      <c r="Q1057" s="527"/>
      <c r="R1057" s="527"/>
      <c r="S1057" s="527"/>
      <c r="T1057" s="527"/>
      <c r="U1057" s="527"/>
      <c r="V1057" s="527"/>
      <c r="W1057" s="527"/>
      <c r="X1057" s="527"/>
      <c r="Y1057" s="527"/>
      <c r="Z1057" s="527"/>
      <c r="AA1057" s="527"/>
      <c r="AB1057" s="527"/>
      <c r="AC1057" s="527"/>
    </row>
    <row r="1058">
      <c r="A1058" s="242" t="s">
        <v>707</v>
      </c>
      <c r="B1058" s="243" t="s">
        <v>708</v>
      </c>
      <c r="C1058" s="416">
        <f>sum(E1058:E1060)</f>
        <v>7</v>
      </c>
      <c r="D1058" s="292" t="s">
        <v>64</v>
      </c>
      <c r="E1058" s="292">
        <v>3.0</v>
      </c>
      <c r="F1058" s="324"/>
      <c r="G1058" s="324"/>
      <c r="H1058" s="262" t="s">
        <v>66</v>
      </c>
      <c r="I1058" s="295" t="s">
        <v>65</v>
      </c>
      <c r="J1058" s="214"/>
      <c r="K1058" s="214"/>
      <c r="L1058" s="214"/>
      <c r="M1058" s="214"/>
      <c r="N1058" s="214"/>
      <c r="O1058" s="214"/>
      <c r="P1058" s="214"/>
      <c r="Q1058" s="214"/>
      <c r="R1058" s="214"/>
      <c r="S1058" s="214"/>
      <c r="T1058" s="214"/>
      <c r="U1058" s="214"/>
      <c r="V1058" s="214"/>
      <c r="W1058" s="214"/>
      <c r="X1058" s="214"/>
      <c r="Y1058" s="214"/>
      <c r="Z1058" s="214"/>
      <c r="AA1058" s="214"/>
      <c r="AB1058" s="214"/>
      <c r="AC1058" s="214"/>
    </row>
    <row r="1059">
      <c r="A1059" s="222"/>
      <c r="D1059" s="223" t="s">
        <v>182</v>
      </c>
      <c r="E1059" s="223">
        <v>3.0</v>
      </c>
      <c r="F1059" s="224"/>
      <c r="G1059" s="224"/>
      <c r="H1059" s="225" t="s">
        <v>183</v>
      </c>
      <c r="I1059" s="226" t="s">
        <v>176</v>
      </c>
      <c r="J1059" s="214"/>
      <c r="K1059" s="214"/>
      <c r="L1059" s="214"/>
      <c r="M1059" s="214"/>
      <c r="N1059" s="214"/>
      <c r="O1059" s="214"/>
      <c r="P1059" s="214"/>
      <c r="Q1059" s="214"/>
      <c r="R1059" s="214"/>
      <c r="S1059" s="214"/>
      <c r="T1059" s="214"/>
      <c r="U1059" s="214"/>
      <c r="V1059" s="214"/>
      <c r="W1059" s="214"/>
      <c r="X1059" s="214"/>
      <c r="Y1059" s="214"/>
      <c r="Z1059" s="214"/>
      <c r="AA1059" s="214"/>
      <c r="AB1059" s="214"/>
      <c r="AC1059" s="214"/>
    </row>
    <row r="1060">
      <c r="A1060" s="236"/>
      <c r="B1060" s="237"/>
      <c r="C1060" s="237"/>
      <c r="D1060" s="287" t="s">
        <v>117</v>
      </c>
      <c r="E1060" s="287">
        <v>1.0</v>
      </c>
      <c r="F1060" s="288"/>
      <c r="G1060" s="288"/>
      <c r="H1060" s="289" t="s">
        <v>238</v>
      </c>
      <c r="I1060" s="290" t="s">
        <v>105</v>
      </c>
      <c r="J1060" s="214"/>
      <c r="K1060" s="214"/>
      <c r="L1060" s="214"/>
      <c r="M1060" s="214"/>
      <c r="N1060" s="214"/>
      <c r="O1060" s="214"/>
      <c r="P1060" s="214"/>
      <c r="Q1060" s="214"/>
      <c r="R1060" s="214"/>
      <c r="S1060" s="214"/>
      <c r="T1060" s="214"/>
      <c r="U1060" s="214"/>
      <c r="V1060" s="214"/>
      <c r="W1060" s="214"/>
      <c r="X1060" s="214"/>
      <c r="Y1060" s="214"/>
      <c r="Z1060" s="214"/>
      <c r="AA1060" s="214"/>
      <c r="AB1060" s="214"/>
      <c r="AC1060" s="214"/>
    </row>
    <row r="1061">
      <c r="A1061" s="242" t="s">
        <v>709</v>
      </c>
      <c r="B1061" s="243" t="s">
        <v>710</v>
      </c>
      <c r="C1061" s="416">
        <f>sum(E1061:E1063)</f>
        <v>7</v>
      </c>
      <c r="D1061" s="521" t="s">
        <v>159</v>
      </c>
      <c r="E1061" s="521">
        <v>1.0</v>
      </c>
      <c r="F1061" s="525"/>
      <c r="G1061" s="525"/>
      <c r="H1061" s="523" t="s">
        <v>160</v>
      </c>
      <c r="I1061" s="538" t="s">
        <v>144</v>
      </c>
      <c r="J1061" s="214"/>
      <c r="K1061" s="214"/>
      <c r="L1061" s="214"/>
      <c r="M1061" s="214"/>
      <c r="N1061" s="214"/>
      <c r="O1061" s="214"/>
      <c r="P1061" s="214"/>
      <c r="Q1061" s="214"/>
      <c r="R1061" s="214"/>
      <c r="S1061" s="214"/>
      <c r="T1061" s="214"/>
      <c r="U1061" s="214"/>
      <c r="V1061" s="214"/>
      <c r="W1061" s="214"/>
      <c r="X1061" s="214"/>
      <c r="Y1061" s="214"/>
      <c r="Z1061" s="214"/>
      <c r="AA1061" s="214"/>
      <c r="AB1061" s="214"/>
      <c r="AC1061" s="214"/>
    </row>
    <row r="1062">
      <c r="A1062" s="222"/>
      <c r="D1062" s="223" t="s">
        <v>175</v>
      </c>
      <c r="E1062" s="425">
        <v>4.0</v>
      </c>
      <c r="F1062" s="342"/>
      <c r="G1062" s="342"/>
      <c r="H1062" s="225" t="s">
        <v>232</v>
      </c>
      <c r="I1062" s="344" t="s">
        <v>176</v>
      </c>
      <c r="J1062" s="214"/>
      <c r="K1062" s="214"/>
      <c r="L1062" s="214"/>
      <c r="M1062" s="214"/>
      <c r="N1062" s="214"/>
      <c r="O1062" s="214"/>
      <c r="P1062" s="214"/>
      <c r="Q1062" s="214"/>
      <c r="R1062" s="214"/>
      <c r="S1062" s="214"/>
      <c r="T1062" s="214"/>
      <c r="U1062" s="214"/>
      <c r="V1062" s="214"/>
      <c r="W1062" s="214"/>
      <c r="X1062" s="214"/>
      <c r="Y1062" s="214"/>
      <c r="Z1062" s="214"/>
      <c r="AA1062" s="214"/>
      <c r="AB1062" s="214"/>
      <c r="AC1062" s="214"/>
    </row>
    <row r="1063">
      <c r="A1063" s="236"/>
      <c r="B1063" s="237"/>
      <c r="C1063" s="237"/>
      <c r="D1063" s="449" t="s">
        <v>97</v>
      </c>
      <c r="E1063" s="449">
        <v>2.0</v>
      </c>
      <c r="F1063" s="450"/>
      <c r="G1063" s="431"/>
      <c r="H1063" s="451" t="s">
        <v>99</v>
      </c>
      <c r="I1063" s="452" t="s">
        <v>98</v>
      </c>
      <c r="J1063" s="214"/>
      <c r="K1063" s="214"/>
      <c r="L1063" s="214"/>
      <c r="M1063" s="214"/>
      <c r="N1063" s="214"/>
      <c r="O1063" s="214"/>
      <c r="P1063" s="214"/>
      <c r="Q1063" s="214"/>
      <c r="R1063" s="214"/>
      <c r="S1063" s="214"/>
      <c r="T1063" s="214"/>
      <c r="U1063" s="214"/>
      <c r="V1063" s="214"/>
      <c r="W1063" s="214"/>
      <c r="X1063" s="214"/>
      <c r="Y1063" s="214"/>
      <c r="Z1063" s="214"/>
      <c r="AA1063" s="214"/>
      <c r="AB1063" s="214"/>
      <c r="AC1063" s="214"/>
    </row>
    <row r="1064">
      <c r="A1064" s="636" t="s">
        <v>711</v>
      </c>
      <c r="B1064" s="529" t="s">
        <v>712</v>
      </c>
      <c r="C1064" s="416">
        <f>sum(E1064:E1065)</f>
        <v>7</v>
      </c>
      <c r="D1064" s="637" t="s">
        <v>713</v>
      </c>
      <c r="E1064" s="378">
        <v>2.0</v>
      </c>
      <c r="F1064" s="481"/>
      <c r="G1064" s="379"/>
      <c r="H1064" s="380" t="s">
        <v>102</v>
      </c>
      <c r="I1064" s="493" t="s">
        <v>98</v>
      </c>
    </row>
    <row r="1065">
      <c r="A1065" s="236"/>
      <c r="B1065" s="237"/>
      <c r="C1065" s="237"/>
      <c r="D1065" s="320" t="s">
        <v>143</v>
      </c>
      <c r="E1065" s="320">
        <v>5.0</v>
      </c>
      <c r="F1065" s="321"/>
      <c r="G1065" s="321"/>
      <c r="H1065" s="322" t="s">
        <v>145</v>
      </c>
      <c r="I1065" s="323" t="s">
        <v>144</v>
      </c>
    </row>
    <row r="1066">
      <c r="A1066" s="242" t="s">
        <v>714</v>
      </c>
      <c r="B1066" s="243" t="s">
        <v>715</v>
      </c>
      <c r="C1066" s="416">
        <f>sum(E1066:E1069)</f>
        <v>7</v>
      </c>
      <c r="D1066" s="356" t="s">
        <v>254</v>
      </c>
      <c r="E1066" s="356">
        <v>2.0</v>
      </c>
      <c r="F1066" s="357"/>
      <c r="G1066" s="357"/>
      <c r="H1066" s="447" t="s">
        <v>255</v>
      </c>
      <c r="I1066" s="482" t="s">
        <v>7</v>
      </c>
      <c r="J1066" s="214"/>
      <c r="K1066" s="214"/>
      <c r="L1066" s="214"/>
      <c r="M1066" s="214"/>
      <c r="N1066" s="214"/>
      <c r="O1066" s="214"/>
      <c r="P1066" s="214"/>
      <c r="Q1066" s="214"/>
      <c r="R1066" s="214"/>
      <c r="S1066" s="214"/>
      <c r="T1066" s="214"/>
      <c r="U1066" s="214"/>
      <c r="V1066" s="214"/>
      <c r="W1066" s="214"/>
      <c r="X1066" s="214"/>
      <c r="Y1066" s="214"/>
      <c r="Z1066" s="214"/>
      <c r="AA1066" s="214"/>
      <c r="AB1066" s="214"/>
      <c r="AC1066" s="214"/>
    </row>
    <row r="1067">
      <c r="A1067" s="222"/>
      <c r="D1067" s="286" t="s">
        <v>411</v>
      </c>
      <c r="E1067" s="286">
        <v>2.0</v>
      </c>
      <c r="F1067" s="318"/>
      <c r="G1067" s="261"/>
      <c r="H1067" s="262" t="s">
        <v>69</v>
      </c>
      <c r="I1067" s="263" t="s">
        <v>65</v>
      </c>
      <c r="J1067" s="214"/>
      <c r="K1067" s="214"/>
      <c r="L1067" s="214"/>
      <c r="M1067" s="214"/>
      <c r="N1067" s="214"/>
      <c r="O1067" s="214"/>
      <c r="P1067" s="214"/>
      <c r="Q1067" s="214"/>
      <c r="R1067" s="214"/>
      <c r="S1067" s="214"/>
      <c r="T1067" s="214"/>
      <c r="U1067" s="214"/>
      <c r="V1067" s="214"/>
      <c r="W1067" s="214"/>
      <c r="X1067" s="214"/>
      <c r="Y1067" s="214"/>
      <c r="Z1067" s="214"/>
      <c r="AA1067" s="214"/>
      <c r="AB1067" s="214"/>
      <c r="AC1067" s="214"/>
    </row>
    <row r="1068">
      <c r="A1068" s="222"/>
      <c r="D1068" s="299" t="s">
        <v>159</v>
      </c>
      <c r="E1068" s="299">
        <v>1.0</v>
      </c>
      <c r="F1068" s="250"/>
      <c r="G1068" s="251"/>
      <c r="H1068" s="312" t="s">
        <v>160</v>
      </c>
      <c r="I1068" s="300" t="s">
        <v>144</v>
      </c>
      <c r="J1068" s="214"/>
      <c r="K1068" s="214"/>
      <c r="L1068" s="214"/>
      <c r="M1068" s="214"/>
      <c r="N1068" s="214"/>
      <c r="O1068" s="214"/>
      <c r="P1068" s="214"/>
      <c r="Q1068" s="214"/>
      <c r="R1068" s="214"/>
      <c r="S1068" s="214"/>
      <c r="T1068" s="214"/>
      <c r="U1068" s="214"/>
      <c r="V1068" s="214"/>
      <c r="W1068" s="214"/>
      <c r="X1068" s="214"/>
      <c r="Y1068" s="214"/>
      <c r="Z1068" s="214"/>
      <c r="AA1068" s="214"/>
      <c r="AB1068" s="214"/>
      <c r="AC1068" s="214"/>
    </row>
    <row r="1069">
      <c r="A1069" s="236"/>
      <c r="B1069" s="237"/>
      <c r="C1069" s="237"/>
      <c r="D1069" s="271" t="s">
        <v>162</v>
      </c>
      <c r="E1069" s="271">
        <v>2.0</v>
      </c>
      <c r="F1069" s="272"/>
      <c r="G1069" s="272"/>
      <c r="H1069" s="273" t="s">
        <v>164</v>
      </c>
      <c r="I1069" s="274" t="s">
        <v>163</v>
      </c>
      <c r="J1069" s="214"/>
      <c r="K1069" s="214"/>
      <c r="L1069" s="214"/>
      <c r="M1069" s="214"/>
      <c r="N1069" s="214"/>
      <c r="O1069" s="214"/>
      <c r="P1069" s="214"/>
      <c r="Q1069" s="214"/>
      <c r="R1069" s="214"/>
      <c r="S1069" s="214"/>
      <c r="T1069" s="214"/>
      <c r="U1069" s="214"/>
      <c r="V1069" s="214"/>
      <c r="W1069" s="214"/>
      <c r="X1069" s="214"/>
      <c r="Y1069" s="214"/>
      <c r="Z1069" s="214"/>
      <c r="AA1069" s="214"/>
      <c r="AB1069" s="214"/>
      <c r="AC1069" s="214"/>
    </row>
    <row r="1070">
      <c r="A1070" s="638" t="s">
        <v>716</v>
      </c>
      <c r="B1070" s="237"/>
      <c r="C1070" s="237"/>
      <c r="D1070" s="237"/>
      <c r="E1070" s="237"/>
      <c r="F1070" s="237"/>
      <c r="G1070" s="237"/>
      <c r="H1070" s="639"/>
      <c r="I1070" s="640"/>
      <c r="J1070" s="214"/>
      <c r="K1070" s="214"/>
      <c r="L1070" s="214"/>
      <c r="M1070" s="214"/>
      <c r="N1070" s="214"/>
      <c r="O1070" s="214"/>
      <c r="P1070" s="214"/>
      <c r="Q1070" s="214"/>
      <c r="R1070" s="214"/>
      <c r="S1070" s="214"/>
      <c r="T1070" s="214"/>
      <c r="U1070" s="214"/>
      <c r="V1070" s="214"/>
      <c r="W1070" s="214"/>
      <c r="X1070" s="214"/>
      <c r="Y1070" s="214"/>
      <c r="Z1070" s="214"/>
      <c r="AA1070" s="214"/>
      <c r="AB1070" s="214"/>
      <c r="AC1070" s="214"/>
    </row>
    <row r="1071">
      <c r="A1071" s="215" t="s">
        <v>717</v>
      </c>
      <c r="B1071" s="243" t="s">
        <v>718</v>
      </c>
      <c r="C1071" s="532">
        <f>sum(E1071:E1072)</f>
        <v>6</v>
      </c>
      <c r="D1071" s="299" t="s">
        <v>143</v>
      </c>
      <c r="E1071" s="299">
        <v>5.0</v>
      </c>
      <c r="F1071" s="251"/>
      <c r="G1071" s="251"/>
      <c r="H1071" s="312" t="s">
        <v>145</v>
      </c>
      <c r="I1071" s="524" t="s">
        <v>144</v>
      </c>
      <c r="J1071" s="214"/>
      <c r="K1071" s="214"/>
      <c r="L1071" s="214"/>
      <c r="M1071" s="214"/>
      <c r="N1071" s="214"/>
      <c r="O1071" s="214"/>
      <c r="P1071" s="214"/>
      <c r="Q1071" s="214"/>
      <c r="R1071" s="214"/>
      <c r="S1071" s="214"/>
      <c r="T1071" s="214"/>
      <c r="U1071" s="214"/>
      <c r="V1071" s="214"/>
      <c r="W1071" s="214"/>
      <c r="X1071" s="214"/>
      <c r="Y1071" s="214"/>
      <c r="Z1071" s="214"/>
      <c r="AA1071" s="214"/>
      <c r="AB1071" s="214"/>
      <c r="AC1071" s="214"/>
    </row>
    <row r="1072">
      <c r="A1072" s="236"/>
      <c r="B1072" s="237"/>
      <c r="C1072" s="237"/>
      <c r="D1072" s="287" t="s">
        <v>239</v>
      </c>
      <c r="E1072" s="287">
        <v>1.0</v>
      </c>
      <c r="F1072" s="404"/>
      <c r="G1072" s="288"/>
      <c r="H1072" s="289" t="s">
        <v>115</v>
      </c>
      <c r="I1072" s="235" t="s">
        <v>105</v>
      </c>
      <c r="J1072" s="214"/>
      <c r="K1072" s="214"/>
      <c r="L1072" s="214"/>
      <c r="M1072" s="214"/>
      <c r="N1072" s="214"/>
      <c r="O1072" s="214"/>
      <c r="P1072" s="214"/>
      <c r="Q1072" s="214"/>
      <c r="R1072" s="214"/>
      <c r="S1072" s="214"/>
      <c r="T1072" s="214"/>
      <c r="U1072" s="214"/>
      <c r="V1072" s="214"/>
      <c r="W1072" s="214"/>
      <c r="X1072" s="214"/>
      <c r="Y1072" s="214"/>
      <c r="Z1072" s="214"/>
      <c r="AA1072" s="214"/>
      <c r="AB1072" s="214"/>
      <c r="AC1072" s="214"/>
    </row>
    <row r="1073">
      <c r="A1073" s="453" t="s">
        <v>719</v>
      </c>
      <c r="B1073" s="422" t="s">
        <v>368</v>
      </c>
      <c r="C1073" s="532">
        <f>sum(E1073:E1075)</f>
        <v>6</v>
      </c>
      <c r="D1073" s="389" t="s">
        <v>17</v>
      </c>
      <c r="E1073" s="389">
        <v>2.0</v>
      </c>
      <c r="F1073" s="228"/>
      <c r="G1073" s="228"/>
      <c r="H1073" s="641" t="s">
        <v>260</v>
      </c>
      <c r="I1073" s="359" t="s">
        <v>7</v>
      </c>
      <c r="J1073" s="214"/>
      <c r="K1073" s="214"/>
      <c r="L1073" s="214"/>
      <c r="M1073" s="214"/>
      <c r="N1073" s="214"/>
      <c r="O1073" s="214"/>
      <c r="P1073" s="214"/>
      <c r="Q1073" s="214"/>
      <c r="R1073" s="214"/>
      <c r="S1073" s="214"/>
      <c r="T1073" s="214"/>
      <c r="U1073" s="214"/>
      <c r="V1073" s="214"/>
      <c r="W1073" s="214"/>
      <c r="X1073" s="214"/>
      <c r="Y1073" s="214"/>
      <c r="Z1073" s="214"/>
      <c r="AA1073" s="214"/>
      <c r="AB1073" s="214"/>
      <c r="AC1073" s="214"/>
    </row>
    <row r="1074">
      <c r="A1074" s="222"/>
      <c r="D1074" s="299" t="s">
        <v>147</v>
      </c>
      <c r="E1074" s="299">
        <v>3.0</v>
      </c>
      <c r="F1074" s="250"/>
      <c r="G1074" s="251"/>
      <c r="H1074" s="312" t="s">
        <v>145</v>
      </c>
      <c r="I1074" s="300" t="s">
        <v>144</v>
      </c>
      <c r="J1074" s="214"/>
      <c r="K1074" s="214"/>
      <c r="L1074" s="214"/>
      <c r="M1074" s="214"/>
      <c r="N1074" s="214"/>
      <c r="O1074" s="214"/>
      <c r="P1074" s="214"/>
      <c r="Q1074" s="214"/>
      <c r="R1074" s="214"/>
      <c r="S1074" s="214"/>
      <c r="T1074" s="214"/>
      <c r="U1074" s="214"/>
      <c r="V1074" s="214"/>
      <c r="W1074" s="214"/>
      <c r="X1074" s="214"/>
      <c r="Y1074" s="214"/>
      <c r="Z1074" s="214"/>
      <c r="AA1074" s="214"/>
      <c r="AB1074" s="214"/>
      <c r="AC1074" s="214"/>
    </row>
    <row r="1075">
      <c r="A1075" s="236"/>
      <c r="B1075" s="237"/>
      <c r="C1075" s="237"/>
      <c r="D1075" s="287" t="s">
        <v>239</v>
      </c>
      <c r="E1075" s="287">
        <v>1.0</v>
      </c>
      <c r="F1075" s="288"/>
      <c r="G1075" s="288"/>
      <c r="H1075" s="289" t="s">
        <v>115</v>
      </c>
      <c r="I1075" s="290" t="s">
        <v>105</v>
      </c>
      <c r="J1075" s="214"/>
      <c r="K1075" s="214"/>
      <c r="L1075" s="214"/>
      <c r="M1075" s="214"/>
      <c r="N1075" s="214"/>
      <c r="O1075" s="214"/>
      <c r="P1075" s="214"/>
      <c r="Q1075" s="214"/>
      <c r="R1075" s="214"/>
      <c r="S1075" s="214"/>
      <c r="T1075" s="214"/>
      <c r="U1075" s="214"/>
      <c r="V1075" s="214"/>
      <c r="W1075" s="214"/>
      <c r="X1075" s="214"/>
      <c r="Y1075" s="214"/>
      <c r="Z1075" s="214"/>
      <c r="AA1075" s="214"/>
      <c r="AB1075" s="214"/>
      <c r="AC1075" s="214"/>
    </row>
    <row r="1076">
      <c r="A1076" s="242" t="s">
        <v>720</v>
      </c>
      <c r="B1076" s="439" t="s">
        <v>613</v>
      </c>
      <c r="C1076" s="416">
        <f>sum(E1076:E1080)</f>
        <v>6</v>
      </c>
      <c r="D1076" s="472" t="s">
        <v>239</v>
      </c>
      <c r="E1076" s="472">
        <v>1.0</v>
      </c>
      <c r="F1076" s="309"/>
      <c r="G1076" s="309"/>
      <c r="H1076" s="474" t="s">
        <v>115</v>
      </c>
      <c r="I1076" s="311" t="s">
        <v>105</v>
      </c>
      <c r="J1076" s="214"/>
      <c r="K1076" s="214"/>
      <c r="L1076" s="214"/>
      <c r="M1076" s="214"/>
      <c r="N1076" s="214"/>
      <c r="O1076" s="214"/>
      <c r="P1076" s="214"/>
      <c r="Q1076" s="214"/>
      <c r="R1076" s="214"/>
      <c r="S1076" s="214"/>
      <c r="T1076" s="214"/>
      <c r="U1076" s="214"/>
      <c r="V1076" s="214"/>
      <c r="W1076" s="214"/>
      <c r="X1076" s="214"/>
      <c r="Y1076" s="214"/>
      <c r="Z1076" s="214"/>
      <c r="AA1076" s="214"/>
      <c r="AB1076" s="214"/>
      <c r="AC1076" s="214"/>
    </row>
    <row r="1077">
      <c r="A1077" s="222"/>
      <c r="D1077" s="232" t="s">
        <v>117</v>
      </c>
      <c r="E1077" s="232">
        <v>1.0</v>
      </c>
      <c r="F1077" s="233"/>
      <c r="G1077" s="233"/>
      <c r="H1077" s="234" t="s">
        <v>238</v>
      </c>
      <c r="I1077" s="235" t="s">
        <v>105</v>
      </c>
      <c r="J1077" s="214"/>
      <c r="K1077" s="214"/>
      <c r="L1077" s="214"/>
      <c r="M1077" s="214"/>
      <c r="N1077" s="214"/>
      <c r="O1077" s="214"/>
      <c r="P1077" s="214"/>
      <c r="Q1077" s="214"/>
      <c r="R1077" s="214"/>
      <c r="S1077" s="214"/>
      <c r="T1077" s="214"/>
      <c r="U1077" s="214"/>
      <c r="V1077" s="214"/>
      <c r="W1077" s="214"/>
      <c r="X1077" s="214"/>
      <c r="Y1077" s="214"/>
      <c r="Z1077" s="214"/>
      <c r="AA1077" s="214"/>
      <c r="AB1077" s="214"/>
      <c r="AC1077" s="214"/>
    </row>
    <row r="1078">
      <c r="A1078" s="222"/>
      <c r="D1078" s="232" t="s">
        <v>123</v>
      </c>
      <c r="E1078" s="232">
        <v>1.0</v>
      </c>
      <c r="F1078" s="233"/>
      <c r="G1078" s="233"/>
      <c r="H1078" s="234" t="s">
        <v>124</v>
      </c>
      <c r="I1078" s="235" t="s">
        <v>105</v>
      </c>
      <c r="J1078" s="214"/>
      <c r="K1078" s="214"/>
      <c r="L1078" s="214"/>
      <c r="M1078" s="214"/>
      <c r="N1078" s="214"/>
      <c r="O1078" s="214"/>
      <c r="P1078" s="214"/>
      <c r="Q1078" s="214"/>
      <c r="R1078" s="214"/>
      <c r="S1078" s="214"/>
      <c r="T1078" s="214"/>
      <c r="U1078" s="214"/>
      <c r="V1078" s="214"/>
      <c r="W1078" s="214"/>
      <c r="X1078" s="214"/>
      <c r="Y1078" s="214"/>
      <c r="Z1078" s="214"/>
      <c r="AA1078" s="214"/>
      <c r="AB1078" s="214"/>
      <c r="AC1078" s="214"/>
    </row>
    <row r="1079">
      <c r="A1079" s="222"/>
      <c r="D1079" s="286" t="s">
        <v>82</v>
      </c>
      <c r="E1079" s="286">
        <v>1.0</v>
      </c>
      <c r="F1079" s="261"/>
      <c r="G1079" s="261"/>
      <c r="H1079" s="414" t="s">
        <v>83</v>
      </c>
      <c r="I1079" s="263" t="s">
        <v>65</v>
      </c>
      <c r="J1079" s="214"/>
      <c r="K1079" s="214"/>
      <c r="L1079" s="214"/>
      <c r="M1079" s="214"/>
      <c r="N1079" s="214"/>
      <c r="O1079" s="214"/>
      <c r="P1079" s="214"/>
      <c r="Q1079" s="214"/>
      <c r="R1079" s="214"/>
      <c r="S1079" s="214"/>
      <c r="T1079" s="214"/>
      <c r="U1079" s="214"/>
      <c r="V1079" s="214"/>
      <c r="W1079" s="214"/>
      <c r="X1079" s="214"/>
      <c r="Y1079" s="214"/>
      <c r="Z1079" s="214"/>
      <c r="AA1079" s="214"/>
      <c r="AB1079" s="214"/>
      <c r="AC1079" s="214"/>
    </row>
    <row r="1080">
      <c r="A1080" s="236"/>
      <c r="B1080" s="237"/>
      <c r="C1080" s="237"/>
      <c r="D1080" s="271" t="s">
        <v>162</v>
      </c>
      <c r="E1080" s="271">
        <v>2.0</v>
      </c>
      <c r="F1080" s="272"/>
      <c r="G1080" s="272"/>
      <c r="H1080" s="273" t="s">
        <v>164</v>
      </c>
      <c r="I1080" s="274" t="s">
        <v>163</v>
      </c>
      <c r="J1080" s="214"/>
      <c r="K1080" s="214"/>
      <c r="L1080" s="214"/>
      <c r="M1080" s="214"/>
      <c r="N1080" s="214"/>
      <c r="O1080" s="214"/>
      <c r="P1080" s="214"/>
      <c r="Q1080" s="214"/>
      <c r="R1080" s="214"/>
      <c r="S1080" s="214"/>
      <c r="T1080" s="214"/>
      <c r="U1080" s="214"/>
      <c r="V1080" s="214"/>
      <c r="W1080" s="214"/>
      <c r="X1080" s="214"/>
      <c r="Y1080" s="214"/>
      <c r="Z1080" s="214"/>
      <c r="AA1080" s="214"/>
      <c r="AB1080" s="214"/>
      <c r="AC1080" s="214"/>
    </row>
    <row r="1081">
      <c r="A1081" s="215" t="s">
        <v>721</v>
      </c>
      <c r="B1081" s="216" t="s">
        <v>722</v>
      </c>
      <c r="C1081" s="416">
        <f>sum(E1081:E1084)</f>
        <v>6</v>
      </c>
      <c r="D1081" s="308" t="s">
        <v>131</v>
      </c>
      <c r="E1081" s="308">
        <v>1.0</v>
      </c>
      <c r="F1081" s="309"/>
      <c r="G1081" s="309"/>
      <c r="H1081" s="310" t="s">
        <v>132</v>
      </c>
      <c r="I1081" s="438" t="s">
        <v>105</v>
      </c>
      <c r="J1081" s="214"/>
      <c r="K1081" s="214"/>
      <c r="L1081" s="214"/>
      <c r="M1081" s="214"/>
      <c r="N1081" s="214"/>
      <c r="O1081" s="214"/>
      <c r="P1081" s="214"/>
      <c r="Q1081" s="214"/>
      <c r="R1081" s="214"/>
      <c r="S1081" s="214"/>
      <c r="T1081" s="214"/>
      <c r="U1081" s="214"/>
      <c r="V1081" s="214"/>
      <c r="W1081" s="214"/>
      <c r="X1081" s="214"/>
      <c r="Y1081" s="214"/>
      <c r="Z1081" s="214"/>
      <c r="AA1081" s="214"/>
      <c r="AB1081" s="214"/>
      <c r="AC1081" s="214"/>
    </row>
    <row r="1082">
      <c r="A1082" s="222"/>
      <c r="D1082" s="286" t="s">
        <v>411</v>
      </c>
      <c r="E1082" s="286">
        <v>2.0</v>
      </c>
      <c r="F1082" s="261"/>
      <c r="G1082" s="261"/>
      <c r="H1082" s="262" t="s">
        <v>69</v>
      </c>
      <c r="I1082" s="263" t="s">
        <v>65</v>
      </c>
      <c r="J1082" s="214"/>
      <c r="K1082" s="214"/>
      <c r="L1082" s="214"/>
      <c r="M1082" s="214"/>
      <c r="N1082" s="214"/>
      <c r="O1082" s="214"/>
      <c r="P1082" s="214"/>
      <c r="Q1082" s="214"/>
      <c r="R1082" s="214"/>
      <c r="S1082" s="214"/>
      <c r="T1082" s="214"/>
      <c r="U1082" s="214"/>
      <c r="V1082" s="214"/>
      <c r="W1082" s="214"/>
      <c r="X1082" s="214"/>
      <c r="Y1082" s="214"/>
      <c r="Z1082" s="214"/>
      <c r="AA1082" s="214"/>
      <c r="AB1082" s="214"/>
      <c r="AC1082" s="214"/>
    </row>
    <row r="1083">
      <c r="A1083" s="222"/>
      <c r="D1083" s="232" t="s">
        <v>239</v>
      </c>
      <c r="E1083" s="232">
        <v>1.0</v>
      </c>
      <c r="F1083" s="233"/>
      <c r="G1083" s="233"/>
      <c r="H1083" s="234" t="s">
        <v>115</v>
      </c>
      <c r="I1083" s="235" t="s">
        <v>105</v>
      </c>
      <c r="J1083" s="214"/>
      <c r="K1083" s="214"/>
      <c r="L1083" s="214"/>
      <c r="M1083" s="214"/>
      <c r="N1083" s="214"/>
      <c r="O1083" s="214"/>
      <c r="P1083" s="214"/>
      <c r="Q1083" s="214"/>
      <c r="R1083" s="214"/>
      <c r="S1083" s="214"/>
      <c r="T1083" s="214"/>
      <c r="U1083" s="214"/>
      <c r="V1083" s="214"/>
      <c r="W1083" s="214"/>
      <c r="X1083" s="214"/>
      <c r="Y1083" s="214"/>
      <c r="Z1083" s="214"/>
      <c r="AA1083" s="214"/>
      <c r="AB1083" s="214"/>
      <c r="AC1083" s="214"/>
    </row>
    <row r="1084">
      <c r="A1084" s="236"/>
      <c r="B1084" s="237"/>
      <c r="C1084" s="237"/>
      <c r="D1084" s="621" t="s">
        <v>162</v>
      </c>
      <c r="E1084" s="621">
        <v>2.0</v>
      </c>
      <c r="F1084" s="479"/>
      <c r="G1084" s="479"/>
      <c r="H1084" s="622" t="s">
        <v>164</v>
      </c>
      <c r="I1084" s="267" t="s">
        <v>163</v>
      </c>
      <c r="J1084" s="214"/>
      <c r="K1084" s="214"/>
      <c r="L1084" s="214"/>
      <c r="M1084" s="214"/>
      <c r="N1084" s="214"/>
      <c r="O1084" s="214"/>
      <c r="P1084" s="214"/>
      <c r="Q1084" s="214"/>
      <c r="R1084" s="214"/>
      <c r="S1084" s="214"/>
      <c r="T1084" s="214"/>
      <c r="U1084" s="214"/>
      <c r="V1084" s="214"/>
      <c r="W1084" s="214"/>
      <c r="X1084" s="214"/>
      <c r="Y1084" s="214"/>
      <c r="Z1084" s="214"/>
      <c r="AA1084" s="214"/>
      <c r="AB1084" s="214"/>
      <c r="AC1084" s="214"/>
    </row>
    <row r="1085">
      <c r="A1085" s="642" t="s">
        <v>723</v>
      </c>
      <c r="B1085" s="643" t="s">
        <v>724</v>
      </c>
      <c r="C1085" s="532">
        <f>sum(E1085:E1087)</f>
        <v>6</v>
      </c>
      <c r="D1085" s="333" t="s">
        <v>97</v>
      </c>
      <c r="E1085" s="333">
        <v>2.0</v>
      </c>
      <c r="F1085" s="296"/>
      <c r="G1085" s="276"/>
      <c r="H1085" s="334" t="s">
        <v>99</v>
      </c>
      <c r="I1085" s="278" t="s">
        <v>98</v>
      </c>
      <c r="J1085" s="214"/>
      <c r="K1085" s="214"/>
      <c r="L1085" s="214"/>
      <c r="M1085" s="214"/>
      <c r="N1085" s="214"/>
      <c r="O1085" s="214"/>
      <c r="P1085" s="214"/>
      <c r="Q1085" s="214"/>
      <c r="R1085" s="214"/>
      <c r="S1085" s="214"/>
      <c r="T1085" s="214"/>
      <c r="U1085" s="214"/>
      <c r="V1085" s="214"/>
      <c r="W1085" s="214"/>
      <c r="X1085" s="214"/>
      <c r="Y1085" s="214"/>
      <c r="Z1085" s="214"/>
      <c r="AA1085" s="214"/>
      <c r="AB1085" s="214"/>
      <c r="AC1085" s="214"/>
    </row>
    <row r="1086">
      <c r="A1086" s="222"/>
      <c r="D1086" s="223" t="s">
        <v>221</v>
      </c>
      <c r="E1086" s="223">
        <v>2.0</v>
      </c>
      <c r="F1086" s="342"/>
      <c r="G1086" s="342"/>
      <c r="H1086" s="225"/>
      <c r="I1086" s="344" t="s">
        <v>176</v>
      </c>
      <c r="J1086" s="214"/>
      <c r="K1086" s="214"/>
      <c r="L1086" s="214"/>
      <c r="M1086" s="214"/>
      <c r="N1086" s="214"/>
      <c r="O1086" s="214"/>
      <c r="P1086" s="214"/>
      <c r="Q1086" s="214"/>
      <c r="R1086" s="214"/>
      <c r="S1086" s="214"/>
      <c r="T1086" s="214"/>
      <c r="U1086" s="214"/>
      <c r="V1086" s="214"/>
      <c r="W1086" s="214"/>
      <c r="X1086" s="214"/>
      <c r="Y1086" s="214"/>
      <c r="Z1086" s="214"/>
      <c r="AA1086" s="214"/>
      <c r="AB1086" s="214"/>
      <c r="AC1086" s="214"/>
    </row>
    <row r="1087">
      <c r="A1087" s="236"/>
      <c r="B1087" s="237"/>
      <c r="C1087" s="237"/>
      <c r="D1087" s="264" t="s">
        <v>162</v>
      </c>
      <c r="E1087" s="264">
        <v>2.0</v>
      </c>
      <c r="F1087" s="479"/>
      <c r="G1087" s="479"/>
      <c r="H1087" s="266" t="s">
        <v>164</v>
      </c>
      <c r="I1087" s="267" t="s">
        <v>163</v>
      </c>
      <c r="J1087" s="214"/>
      <c r="K1087" s="214"/>
      <c r="L1087" s="214"/>
      <c r="M1087" s="214"/>
      <c r="N1087" s="214"/>
      <c r="O1087" s="214"/>
      <c r="P1087" s="214"/>
      <c r="Q1087" s="214"/>
      <c r="R1087" s="214"/>
      <c r="S1087" s="214"/>
      <c r="T1087" s="214"/>
      <c r="U1087" s="214"/>
      <c r="V1087" s="214"/>
      <c r="W1087" s="214"/>
      <c r="X1087" s="214"/>
      <c r="Y1087" s="214"/>
      <c r="Z1087" s="214"/>
      <c r="AA1087" s="214"/>
      <c r="AB1087" s="214"/>
      <c r="AC1087" s="214"/>
    </row>
    <row r="1088">
      <c r="A1088" s="306" t="s">
        <v>725</v>
      </c>
      <c r="B1088" s="243" t="s">
        <v>726</v>
      </c>
      <c r="C1088" s="416">
        <f>sum(E1088:E1090)</f>
        <v>6</v>
      </c>
      <c r="D1088" s="521" t="s">
        <v>153</v>
      </c>
      <c r="E1088" s="521">
        <v>2.0</v>
      </c>
      <c r="F1088" s="525"/>
      <c r="G1088" s="522"/>
      <c r="H1088" s="523" t="s">
        <v>154</v>
      </c>
      <c r="I1088" s="538" t="s">
        <v>144</v>
      </c>
      <c r="J1088" s="214"/>
      <c r="K1088" s="214"/>
      <c r="L1088" s="214"/>
      <c r="M1088" s="214"/>
      <c r="N1088" s="214"/>
      <c r="O1088" s="214"/>
      <c r="P1088" s="214"/>
      <c r="Q1088" s="214"/>
      <c r="R1088" s="214"/>
      <c r="S1088" s="214"/>
      <c r="T1088" s="214"/>
      <c r="U1088" s="214"/>
      <c r="V1088" s="214"/>
      <c r="W1088" s="214"/>
      <c r="X1088" s="214"/>
      <c r="Y1088" s="214"/>
      <c r="Z1088" s="214"/>
      <c r="AA1088" s="214"/>
      <c r="AB1088" s="214"/>
      <c r="AC1088" s="214"/>
    </row>
    <row r="1089">
      <c r="A1089" s="222"/>
      <c r="D1089" s="271" t="s">
        <v>162</v>
      </c>
      <c r="E1089" s="271">
        <v>2.0</v>
      </c>
      <c r="F1089" s="317"/>
      <c r="G1089" s="272"/>
      <c r="H1089" s="273" t="s">
        <v>164</v>
      </c>
      <c r="I1089" s="274" t="s">
        <v>163</v>
      </c>
      <c r="J1089" s="214"/>
      <c r="K1089" s="214"/>
      <c r="L1089" s="214"/>
      <c r="M1089" s="214"/>
      <c r="N1089" s="214"/>
      <c r="O1089" s="214"/>
      <c r="P1089" s="214"/>
      <c r="Q1089" s="214"/>
      <c r="R1089" s="214"/>
      <c r="S1089" s="214"/>
      <c r="T1089" s="214"/>
      <c r="U1089" s="214"/>
      <c r="V1089" s="214"/>
      <c r="W1089" s="214"/>
      <c r="X1089" s="214"/>
      <c r="Y1089" s="214"/>
      <c r="Z1089" s="214"/>
      <c r="AA1089" s="214"/>
      <c r="AB1089" s="214"/>
      <c r="AC1089" s="214"/>
    </row>
    <row r="1090">
      <c r="A1090" s="236"/>
      <c r="B1090" s="237"/>
      <c r="C1090" s="237"/>
      <c r="D1090" s="374" t="s">
        <v>19</v>
      </c>
      <c r="E1090" s="374">
        <v>2.0</v>
      </c>
      <c r="F1090" s="375"/>
      <c r="G1090" s="375"/>
      <c r="H1090" s="376" t="s">
        <v>20</v>
      </c>
      <c r="I1090" s="377" t="s">
        <v>7</v>
      </c>
      <c r="J1090" s="214"/>
      <c r="K1090" s="214"/>
      <c r="L1090" s="214"/>
      <c r="M1090" s="214"/>
      <c r="N1090" s="214"/>
      <c r="O1090" s="214"/>
      <c r="P1090" s="214"/>
      <c r="Q1090" s="214"/>
      <c r="R1090" s="214"/>
      <c r="S1090" s="214"/>
      <c r="T1090" s="214"/>
      <c r="U1090" s="214"/>
      <c r="V1090" s="214"/>
      <c r="W1090" s="214"/>
      <c r="X1090" s="214"/>
      <c r="Y1090" s="214"/>
      <c r="Z1090" s="214"/>
      <c r="AA1090" s="214"/>
      <c r="AB1090" s="214"/>
      <c r="AC1090" s="214"/>
    </row>
    <row r="1091">
      <c r="A1091" s="306" t="s">
        <v>727</v>
      </c>
      <c r="B1091" s="243" t="s">
        <v>728</v>
      </c>
      <c r="C1091" s="416">
        <f>sum(E1091:E1093)</f>
        <v>6</v>
      </c>
      <c r="D1091" s="335" t="s">
        <v>162</v>
      </c>
      <c r="E1091" s="335">
        <v>2.0</v>
      </c>
      <c r="F1091" s="336"/>
      <c r="G1091" s="354"/>
      <c r="H1091" s="337" t="s">
        <v>164</v>
      </c>
      <c r="I1091" s="355" t="s">
        <v>163</v>
      </c>
      <c r="J1091" s="214"/>
      <c r="K1091" s="214"/>
      <c r="L1091" s="214"/>
      <c r="M1091" s="214"/>
      <c r="N1091" s="214"/>
      <c r="O1091" s="214"/>
      <c r="P1091" s="214"/>
      <c r="Q1091" s="214"/>
      <c r="R1091" s="214"/>
      <c r="S1091" s="214"/>
      <c r="T1091" s="214"/>
      <c r="U1091" s="214"/>
      <c r="V1091" s="214"/>
      <c r="W1091" s="214"/>
      <c r="X1091" s="214"/>
      <c r="Y1091" s="214"/>
      <c r="Z1091" s="214"/>
      <c r="AA1091" s="214"/>
      <c r="AB1091" s="214"/>
      <c r="AC1091" s="214"/>
    </row>
    <row r="1092">
      <c r="A1092" s="222"/>
      <c r="D1092" s="227" t="s">
        <v>17</v>
      </c>
      <c r="E1092" s="227">
        <v>1.0</v>
      </c>
      <c r="F1092" s="228"/>
      <c r="G1092" s="228"/>
      <c r="H1092" s="229" t="s">
        <v>260</v>
      </c>
      <c r="I1092" s="230" t="s">
        <v>7</v>
      </c>
      <c r="J1092" s="214"/>
      <c r="K1092" s="214"/>
      <c r="L1092" s="214"/>
      <c r="M1092" s="214"/>
      <c r="N1092" s="214"/>
      <c r="O1092" s="214"/>
      <c r="P1092" s="214"/>
      <c r="Q1092" s="214"/>
      <c r="R1092" s="214"/>
      <c r="S1092" s="214"/>
      <c r="T1092" s="214"/>
      <c r="U1092" s="214"/>
      <c r="V1092" s="214"/>
      <c r="W1092" s="214"/>
      <c r="X1092" s="214"/>
      <c r="Y1092" s="214"/>
      <c r="Z1092" s="214"/>
      <c r="AA1092" s="214"/>
      <c r="AB1092" s="214"/>
      <c r="AC1092" s="214"/>
    </row>
    <row r="1093">
      <c r="A1093" s="236"/>
      <c r="B1093" s="237"/>
      <c r="C1093" s="237"/>
      <c r="D1093" s="360" t="s">
        <v>306</v>
      </c>
      <c r="E1093" s="360">
        <v>3.0</v>
      </c>
      <c r="F1093" s="361"/>
      <c r="G1093" s="361"/>
      <c r="H1093" s="362" t="s">
        <v>31</v>
      </c>
      <c r="I1093" s="518" t="s">
        <v>30</v>
      </c>
      <c r="J1093" s="214"/>
      <c r="K1093" s="214"/>
      <c r="L1093" s="214"/>
      <c r="M1093" s="214"/>
      <c r="N1093" s="214"/>
      <c r="O1093" s="214"/>
      <c r="P1093" s="214"/>
      <c r="Q1093" s="214"/>
      <c r="R1093" s="214"/>
      <c r="S1093" s="214"/>
      <c r="T1093" s="214"/>
      <c r="U1093" s="214"/>
      <c r="V1093" s="214"/>
      <c r="W1093" s="214"/>
      <c r="X1093" s="214"/>
      <c r="Y1093" s="214"/>
      <c r="Z1093" s="214"/>
      <c r="AA1093" s="214"/>
      <c r="AB1093" s="214"/>
      <c r="AC1093" s="214"/>
    </row>
    <row r="1094">
      <c r="A1094" s="408" t="s">
        <v>729</v>
      </c>
      <c r="B1094" s="409" t="s">
        <v>730</v>
      </c>
      <c r="C1094" s="532">
        <f>sum(E1094:E1096)</f>
        <v>6</v>
      </c>
      <c r="D1094" s="271" t="s">
        <v>162</v>
      </c>
      <c r="E1094" s="271">
        <v>2.0</v>
      </c>
      <c r="F1094" s="272"/>
      <c r="G1094" s="272"/>
      <c r="H1094" s="273" t="s">
        <v>164</v>
      </c>
      <c r="I1094" s="274" t="s">
        <v>163</v>
      </c>
      <c r="J1094" s="214"/>
      <c r="K1094" s="214"/>
      <c r="L1094" s="214"/>
      <c r="M1094" s="214"/>
      <c r="N1094" s="214"/>
      <c r="O1094" s="214"/>
      <c r="P1094" s="214"/>
      <c r="Q1094" s="214"/>
      <c r="R1094" s="214"/>
      <c r="S1094" s="214"/>
      <c r="T1094" s="214"/>
      <c r="U1094" s="214"/>
      <c r="V1094" s="214"/>
      <c r="W1094" s="214"/>
      <c r="X1094" s="214"/>
      <c r="Y1094" s="214"/>
      <c r="Z1094" s="214"/>
      <c r="AA1094" s="214"/>
      <c r="AB1094" s="214"/>
      <c r="AC1094" s="214"/>
    </row>
    <row r="1095">
      <c r="A1095" s="222"/>
      <c r="D1095" s="227" t="s">
        <v>254</v>
      </c>
      <c r="E1095" s="227">
        <v>2.0</v>
      </c>
      <c r="F1095" s="228"/>
      <c r="G1095" s="228"/>
      <c r="H1095" s="229" t="s">
        <v>255</v>
      </c>
      <c r="I1095" s="230" t="s">
        <v>7</v>
      </c>
      <c r="J1095" s="214"/>
      <c r="K1095" s="214"/>
      <c r="L1095" s="214"/>
      <c r="M1095" s="214"/>
      <c r="N1095" s="214"/>
      <c r="O1095" s="214"/>
      <c r="P1095" s="214"/>
      <c r="Q1095" s="214"/>
      <c r="R1095" s="214"/>
      <c r="S1095" s="214"/>
      <c r="T1095" s="214"/>
      <c r="U1095" s="214"/>
      <c r="V1095" s="214"/>
      <c r="W1095" s="214"/>
      <c r="X1095" s="214"/>
      <c r="Y1095" s="214"/>
      <c r="Z1095" s="214"/>
      <c r="AA1095" s="214"/>
      <c r="AB1095" s="214"/>
      <c r="AC1095" s="214"/>
    </row>
    <row r="1096">
      <c r="A1096" s="236"/>
      <c r="B1096" s="237"/>
      <c r="C1096" s="237"/>
      <c r="D1096" s="430" t="s">
        <v>97</v>
      </c>
      <c r="E1096" s="430">
        <v>2.0</v>
      </c>
      <c r="F1096" s="431"/>
      <c r="G1096" s="431"/>
      <c r="H1096" s="432" t="s">
        <v>99</v>
      </c>
      <c r="I1096" s="452" t="s">
        <v>98</v>
      </c>
      <c r="J1096" s="214"/>
      <c r="K1096" s="214"/>
      <c r="L1096" s="214"/>
      <c r="M1096" s="214"/>
      <c r="N1096" s="214"/>
      <c r="O1096" s="214"/>
      <c r="P1096" s="214"/>
      <c r="Q1096" s="214"/>
      <c r="R1096" s="214"/>
      <c r="S1096" s="214"/>
      <c r="T1096" s="214"/>
      <c r="U1096" s="214"/>
      <c r="V1096" s="214"/>
      <c r="W1096" s="214"/>
      <c r="X1096" s="214"/>
      <c r="Y1096" s="214"/>
      <c r="Z1096" s="214"/>
      <c r="AA1096" s="214"/>
      <c r="AB1096" s="214"/>
      <c r="AC1096" s="214"/>
    </row>
    <row r="1097">
      <c r="A1097" s="215" t="s">
        <v>731</v>
      </c>
      <c r="B1097" s="243" t="s">
        <v>732</v>
      </c>
      <c r="C1097" s="416">
        <f>sum(E1097:E1098)</f>
        <v>6</v>
      </c>
      <c r="D1097" s="487" t="s">
        <v>733</v>
      </c>
      <c r="E1097" s="487">
        <v>2.0</v>
      </c>
      <c r="F1097" s="489"/>
      <c r="G1097" s="489"/>
      <c r="H1097" s="490" t="s">
        <v>734</v>
      </c>
      <c r="I1097" s="491" t="s">
        <v>30</v>
      </c>
      <c r="J1097" s="214"/>
      <c r="K1097" s="214"/>
      <c r="L1097" s="214"/>
      <c r="M1097" s="214"/>
      <c r="N1097" s="214"/>
      <c r="O1097" s="214"/>
      <c r="P1097" s="214"/>
      <c r="Q1097" s="214"/>
      <c r="R1097" s="214"/>
      <c r="S1097" s="214"/>
      <c r="T1097" s="214"/>
      <c r="U1097" s="214"/>
      <c r="V1097" s="214"/>
      <c r="W1097" s="214"/>
      <c r="X1097" s="214"/>
      <c r="Y1097" s="214"/>
      <c r="Z1097" s="214"/>
      <c r="AA1097" s="214"/>
      <c r="AB1097" s="214"/>
      <c r="AC1097" s="214"/>
    </row>
    <row r="1098">
      <c r="A1098" s="236"/>
      <c r="B1098" s="237"/>
      <c r="C1098" s="237"/>
      <c r="D1098" s="374" t="s">
        <v>735</v>
      </c>
      <c r="E1098" s="374">
        <v>4.0</v>
      </c>
      <c r="F1098" s="375"/>
      <c r="G1098" s="375"/>
      <c r="H1098" s="376" t="s">
        <v>736</v>
      </c>
      <c r="I1098" s="377" t="s">
        <v>7</v>
      </c>
      <c r="J1098" s="214"/>
      <c r="K1098" s="214"/>
      <c r="L1098" s="214"/>
      <c r="M1098" s="214"/>
      <c r="N1098" s="214"/>
      <c r="O1098" s="214"/>
      <c r="P1098" s="214"/>
      <c r="Q1098" s="214"/>
      <c r="R1098" s="214"/>
      <c r="S1098" s="214"/>
      <c r="T1098" s="214"/>
      <c r="U1098" s="214"/>
      <c r="V1098" s="214"/>
      <c r="W1098" s="214"/>
      <c r="X1098" s="214"/>
      <c r="Y1098" s="214"/>
      <c r="Z1098" s="214"/>
      <c r="AA1098" s="214"/>
      <c r="AB1098" s="214"/>
      <c r="AC1098" s="214"/>
    </row>
    <row r="1099">
      <c r="A1099" s="242" t="s">
        <v>737</v>
      </c>
      <c r="B1099" s="243" t="s">
        <v>738</v>
      </c>
      <c r="C1099" s="416">
        <f>sum(E1099:E1101)</f>
        <v>6</v>
      </c>
      <c r="D1099" s="335" t="s">
        <v>166</v>
      </c>
      <c r="E1099" s="335">
        <v>2.0</v>
      </c>
      <c r="F1099" s="354"/>
      <c r="G1099" s="354"/>
      <c r="H1099" s="337" t="s">
        <v>167</v>
      </c>
      <c r="I1099" s="355" t="s">
        <v>163</v>
      </c>
      <c r="J1099" s="214"/>
      <c r="K1099" s="214"/>
      <c r="L1099" s="214"/>
      <c r="M1099" s="214"/>
      <c r="N1099" s="214"/>
      <c r="O1099" s="214"/>
      <c r="P1099" s="214"/>
      <c r="Q1099" s="214"/>
      <c r="R1099" s="214"/>
      <c r="S1099" s="214"/>
      <c r="T1099" s="214"/>
      <c r="U1099" s="214"/>
      <c r="V1099" s="214"/>
      <c r="W1099" s="214"/>
      <c r="X1099" s="214"/>
      <c r="Y1099" s="214"/>
      <c r="Z1099" s="214"/>
      <c r="AA1099" s="214"/>
      <c r="AB1099" s="214"/>
      <c r="AC1099" s="214"/>
    </row>
    <row r="1100">
      <c r="A1100" s="222"/>
      <c r="D1100" s="279" t="s">
        <v>49</v>
      </c>
      <c r="E1100" s="279">
        <v>2.0</v>
      </c>
      <c r="F1100" s="280"/>
      <c r="G1100" s="280"/>
      <c r="H1100" s="281" t="s">
        <v>50</v>
      </c>
      <c r="I1100" s="282" t="s">
        <v>43</v>
      </c>
      <c r="J1100" s="214"/>
      <c r="K1100" s="214"/>
      <c r="L1100" s="214"/>
      <c r="M1100" s="214"/>
      <c r="N1100" s="214"/>
      <c r="O1100" s="214"/>
      <c r="P1100" s="214"/>
      <c r="Q1100" s="214"/>
      <c r="R1100" s="214"/>
      <c r="S1100" s="214"/>
      <c r="T1100" s="214"/>
      <c r="U1100" s="214"/>
      <c r="V1100" s="214"/>
      <c r="W1100" s="214"/>
      <c r="X1100" s="214"/>
      <c r="Y1100" s="214"/>
      <c r="Z1100" s="214"/>
      <c r="AA1100" s="214"/>
      <c r="AB1100" s="214"/>
      <c r="AC1100" s="214"/>
    </row>
    <row r="1101">
      <c r="A1101" s="236"/>
      <c r="B1101" s="237"/>
      <c r="C1101" s="237"/>
      <c r="D1101" s="238" t="s">
        <v>79</v>
      </c>
      <c r="E1101" s="238">
        <v>2.0</v>
      </c>
      <c r="F1101" s="239"/>
      <c r="G1101" s="239"/>
      <c r="H1101" s="446" t="s">
        <v>80</v>
      </c>
      <c r="I1101" s="241" t="s">
        <v>65</v>
      </c>
      <c r="J1101" s="214"/>
      <c r="K1101" s="214"/>
      <c r="L1101" s="214"/>
      <c r="M1101" s="214"/>
      <c r="N1101" s="214"/>
      <c r="O1101" s="214"/>
      <c r="P1101" s="214"/>
      <c r="Q1101" s="214"/>
      <c r="R1101" s="214"/>
      <c r="S1101" s="214"/>
      <c r="T1101" s="214"/>
      <c r="U1101" s="214"/>
      <c r="V1101" s="214"/>
      <c r="W1101" s="214"/>
      <c r="X1101" s="214"/>
      <c r="Y1101" s="214"/>
      <c r="Z1101" s="214"/>
      <c r="AA1101" s="214"/>
      <c r="AB1101" s="214"/>
      <c r="AC1101" s="214"/>
    </row>
    <row r="1102">
      <c r="A1102" s="215" t="s">
        <v>599</v>
      </c>
      <c r="B1102" s="243" t="s">
        <v>739</v>
      </c>
      <c r="C1102" s="416">
        <f>sum(E1102:E1104)</f>
        <v>6</v>
      </c>
      <c r="D1102" s="521" t="s">
        <v>147</v>
      </c>
      <c r="E1102" s="521">
        <v>3.0</v>
      </c>
      <c r="F1102" s="522"/>
      <c r="G1102" s="522"/>
      <c r="H1102" s="523" t="s">
        <v>145</v>
      </c>
      <c r="I1102" s="524" t="s">
        <v>144</v>
      </c>
      <c r="J1102" s="214"/>
      <c r="K1102" s="214"/>
      <c r="L1102" s="214"/>
      <c r="M1102" s="214"/>
      <c r="N1102" s="214"/>
      <c r="O1102" s="214"/>
      <c r="P1102" s="214"/>
      <c r="Q1102" s="214"/>
      <c r="R1102" s="214"/>
      <c r="S1102" s="214"/>
      <c r="T1102" s="214"/>
      <c r="U1102" s="214"/>
      <c r="V1102" s="214"/>
      <c r="W1102" s="214"/>
      <c r="X1102" s="214"/>
      <c r="Y1102" s="214"/>
      <c r="Z1102" s="214"/>
      <c r="AA1102" s="214"/>
      <c r="AB1102" s="214"/>
      <c r="AC1102" s="214"/>
    </row>
    <row r="1103">
      <c r="A1103" s="222"/>
      <c r="D1103" s="271" t="s">
        <v>162</v>
      </c>
      <c r="E1103" s="271">
        <v>2.0</v>
      </c>
      <c r="F1103" s="317"/>
      <c r="G1103" s="272"/>
      <c r="H1103" s="273" t="s">
        <v>164</v>
      </c>
      <c r="I1103" s="274" t="s">
        <v>163</v>
      </c>
      <c r="J1103" s="214"/>
      <c r="K1103" s="214"/>
      <c r="L1103" s="214"/>
      <c r="M1103" s="214"/>
      <c r="N1103" s="214"/>
      <c r="O1103" s="214"/>
      <c r="P1103" s="214"/>
      <c r="Q1103" s="214"/>
      <c r="R1103" s="214"/>
      <c r="S1103" s="214"/>
      <c r="T1103" s="214"/>
      <c r="U1103" s="214"/>
      <c r="V1103" s="214"/>
      <c r="W1103" s="214"/>
      <c r="X1103" s="214"/>
      <c r="Y1103" s="214"/>
      <c r="Z1103" s="214"/>
      <c r="AA1103" s="214"/>
      <c r="AB1103" s="214"/>
      <c r="AC1103" s="214"/>
    </row>
    <row r="1104">
      <c r="A1104" s="236"/>
      <c r="B1104" s="237"/>
      <c r="C1104" s="237"/>
      <c r="D1104" s="302" t="s">
        <v>58</v>
      </c>
      <c r="E1104" s="302">
        <v>1.0</v>
      </c>
      <c r="F1104" s="303"/>
      <c r="G1104" s="303"/>
      <c r="H1104" s="304" t="s">
        <v>59</v>
      </c>
      <c r="I1104" s="485" t="s">
        <v>43</v>
      </c>
      <c r="J1104" s="214"/>
      <c r="K1104" s="214"/>
      <c r="L1104" s="214"/>
      <c r="M1104" s="214"/>
      <c r="N1104" s="214"/>
      <c r="O1104" s="214"/>
      <c r="P1104" s="214"/>
      <c r="Q1104" s="214"/>
      <c r="R1104" s="214"/>
      <c r="S1104" s="214"/>
      <c r="T1104" s="214"/>
      <c r="U1104" s="214"/>
      <c r="V1104" s="214"/>
      <c r="W1104" s="214"/>
      <c r="X1104" s="214"/>
      <c r="Y1104" s="214"/>
      <c r="Z1104" s="214"/>
      <c r="AA1104" s="214"/>
      <c r="AB1104" s="214"/>
      <c r="AC1104" s="214"/>
    </row>
    <row r="1105">
      <c r="A1105" s="242" t="s">
        <v>740</v>
      </c>
      <c r="B1105" s="243" t="s">
        <v>741</v>
      </c>
      <c r="C1105" s="416">
        <f>sum(E1105:E1107)</f>
        <v>6</v>
      </c>
      <c r="D1105" s="335" t="s">
        <v>162</v>
      </c>
      <c r="E1105" s="335">
        <v>2.0</v>
      </c>
      <c r="F1105" s="354"/>
      <c r="G1105" s="354"/>
      <c r="H1105" s="337" t="s">
        <v>164</v>
      </c>
      <c r="I1105" s="355" t="s">
        <v>163</v>
      </c>
      <c r="J1105" s="214"/>
      <c r="K1105" s="214"/>
      <c r="L1105" s="214"/>
      <c r="M1105" s="214"/>
      <c r="N1105" s="214"/>
      <c r="O1105" s="214"/>
      <c r="P1105" s="214"/>
      <c r="Q1105" s="214"/>
      <c r="R1105" s="214"/>
      <c r="S1105" s="214"/>
      <c r="T1105" s="214"/>
      <c r="U1105" s="214"/>
      <c r="V1105" s="214"/>
      <c r="W1105" s="214"/>
      <c r="X1105" s="214"/>
      <c r="Y1105" s="214"/>
      <c r="Z1105" s="214"/>
      <c r="AA1105" s="214"/>
      <c r="AB1105" s="214"/>
      <c r="AC1105" s="214"/>
    </row>
    <row r="1106">
      <c r="A1106" s="222"/>
      <c r="D1106" s="286" t="s">
        <v>64</v>
      </c>
      <c r="E1106" s="286">
        <v>3.0</v>
      </c>
      <c r="F1106" s="318"/>
      <c r="G1106" s="261"/>
      <c r="H1106" s="262" t="s">
        <v>66</v>
      </c>
      <c r="I1106" s="263" t="s">
        <v>65</v>
      </c>
      <c r="J1106" s="214"/>
      <c r="K1106" s="214"/>
      <c r="L1106" s="214"/>
      <c r="M1106" s="214"/>
      <c r="N1106" s="214"/>
      <c r="O1106" s="214"/>
      <c r="P1106" s="214"/>
      <c r="Q1106" s="214"/>
      <c r="R1106" s="214"/>
      <c r="S1106" s="214"/>
      <c r="T1106" s="214"/>
      <c r="U1106" s="214"/>
      <c r="V1106" s="214"/>
      <c r="W1106" s="214"/>
      <c r="X1106" s="214"/>
      <c r="Y1106" s="214"/>
      <c r="Z1106" s="214"/>
      <c r="AA1106" s="214"/>
      <c r="AB1106" s="214"/>
      <c r="AC1106" s="214"/>
    </row>
    <row r="1107">
      <c r="A1107" s="236"/>
      <c r="B1107" s="237"/>
      <c r="C1107" s="237"/>
      <c r="D1107" s="302" t="s">
        <v>58</v>
      </c>
      <c r="E1107" s="302">
        <v>1.0</v>
      </c>
      <c r="F1107" s="303"/>
      <c r="G1107" s="303"/>
      <c r="H1107" s="304" t="s">
        <v>59</v>
      </c>
      <c r="I1107" s="594" t="s">
        <v>43</v>
      </c>
      <c r="J1107" s="214"/>
      <c r="K1107" s="214"/>
      <c r="L1107" s="214"/>
      <c r="M1107" s="214"/>
      <c r="N1107" s="214"/>
      <c r="O1107" s="214"/>
      <c r="P1107" s="214"/>
      <c r="Q1107" s="214"/>
      <c r="R1107" s="214"/>
      <c r="S1107" s="214"/>
      <c r="T1107" s="214"/>
      <c r="U1107" s="214"/>
      <c r="V1107" s="214"/>
      <c r="W1107" s="214"/>
      <c r="X1107" s="214"/>
      <c r="Y1107" s="214"/>
      <c r="Z1107" s="214"/>
      <c r="AA1107" s="214"/>
      <c r="AB1107" s="214"/>
      <c r="AC1107" s="214"/>
    </row>
    <row r="1108">
      <c r="A1108" s="215" t="s">
        <v>742</v>
      </c>
      <c r="B1108" s="243" t="s">
        <v>743</v>
      </c>
      <c r="C1108" s="416">
        <f>sum(E1108:E1110)</f>
        <v>6</v>
      </c>
      <c r="D1108" s="390" t="s">
        <v>52</v>
      </c>
      <c r="E1108" s="390">
        <v>1.0</v>
      </c>
      <c r="F1108" s="246"/>
      <c r="G1108" s="246"/>
      <c r="H1108" s="391" t="s">
        <v>53</v>
      </c>
      <c r="I1108" s="248" t="s">
        <v>43</v>
      </c>
      <c r="J1108" s="214"/>
      <c r="K1108" s="214"/>
      <c r="L1108" s="214"/>
      <c r="M1108" s="214"/>
      <c r="N1108" s="214"/>
      <c r="O1108" s="214"/>
      <c r="P1108" s="214"/>
      <c r="Q1108" s="214"/>
      <c r="R1108" s="214"/>
      <c r="S1108" s="214"/>
      <c r="T1108" s="214"/>
      <c r="U1108" s="214"/>
      <c r="V1108" s="214"/>
      <c r="W1108" s="214"/>
      <c r="X1108" s="214"/>
      <c r="Y1108" s="214"/>
      <c r="Z1108" s="214"/>
      <c r="AA1108" s="214"/>
      <c r="AB1108" s="214"/>
      <c r="AC1108" s="214"/>
    </row>
    <row r="1109">
      <c r="A1109" s="222"/>
      <c r="D1109" s="260" t="s">
        <v>64</v>
      </c>
      <c r="E1109" s="260">
        <v>3.0</v>
      </c>
      <c r="F1109" s="318"/>
      <c r="G1109" s="261"/>
      <c r="H1109" s="262" t="s">
        <v>66</v>
      </c>
      <c r="I1109" s="319" t="s">
        <v>65</v>
      </c>
      <c r="J1109" s="214"/>
      <c r="K1109" s="214"/>
      <c r="L1109" s="214"/>
      <c r="M1109" s="214"/>
      <c r="N1109" s="214"/>
      <c r="O1109" s="214"/>
      <c r="P1109" s="214"/>
      <c r="Q1109" s="214"/>
      <c r="R1109" s="214"/>
      <c r="S1109" s="214"/>
      <c r="T1109" s="214"/>
      <c r="U1109" s="214"/>
      <c r="V1109" s="214"/>
      <c r="W1109" s="214"/>
      <c r="X1109" s="214"/>
      <c r="Y1109" s="214"/>
      <c r="Z1109" s="214"/>
      <c r="AA1109" s="214"/>
      <c r="AB1109" s="214"/>
      <c r="AC1109" s="214"/>
    </row>
    <row r="1110">
      <c r="A1110" s="236"/>
      <c r="B1110" s="237"/>
      <c r="C1110" s="237"/>
      <c r="D1110" s="264" t="s">
        <v>166</v>
      </c>
      <c r="E1110" s="264">
        <v>2.0</v>
      </c>
      <c r="F1110" s="265"/>
      <c r="G1110" s="265"/>
      <c r="H1110" s="266" t="s">
        <v>167</v>
      </c>
      <c r="I1110" s="274" t="s">
        <v>163</v>
      </c>
      <c r="J1110" s="214"/>
      <c r="K1110" s="214"/>
      <c r="L1110" s="214"/>
      <c r="M1110" s="214"/>
      <c r="N1110" s="214"/>
      <c r="O1110" s="214"/>
      <c r="P1110" s="214"/>
      <c r="Q1110" s="214"/>
      <c r="R1110" s="214"/>
      <c r="S1110" s="214"/>
      <c r="T1110" s="214"/>
      <c r="U1110" s="214"/>
      <c r="V1110" s="214"/>
      <c r="W1110" s="214"/>
      <c r="X1110" s="214"/>
      <c r="Y1110" s="214"/>
      <c r="Z1110" s="214"/>
      <c r="AA1110" s="214"/>
      <c r="AB1110" s="214"/>
      <c r="AC1110" s="214"/>
    </row>
    <row r="1111">
      <c r="A1111" s="306" t="s">
        <v>744</v>
      </c>
      <c r="B1111" s="216" t="s">
        <v>301</v>
      </c>
      <c r="C1111" s="416">
        <f>sum(E1111:E1113)</f>
        <v>6</v>
      </c>
      <c r="D1111" s="335" t="s">
        <v>166</v>
      </c>
      <c r="E1111" s="335">
        <v>2.0</v>
      </c>
      <c r="F1111" s="354"/>
      <c r="G1111" s="354"/>
      <c r="H1111" s="337" t="s">
        <v>167</v>
      </c>
      <c r="I1111" s="355" t="s">
        <v>163</v>
      </c>
      <c r="J1111" s="214"/>
      <c r="K1111" s="214"/>
      <c r="L1111" s="214"/>
      <c r="M1111" s="214"/>
      <c r="N1111" s="214"/>
      <c r="O1111" s="214"/>
      <c r="P1111" s="214"/>
      <c r="Q1111" s="214"/>
      <c r="R1111" s="214"/>
      <c r="S1111" s="214"/>
      <c r="T1111" s="214"/>
      <c r="U1111" s="214"/>
      <c r="V1111" s="214"/>
      <c r="W1111" s="214"/>
      <c r="X1111" s="214"/>
      <c r="Y1111" s="214"/>
      <c r="Z1111" s="214"/>
      <c r="AA1111" s="214"/>
      <c r="AB1111" s="214"/>
      <c r="AC1111" s="214"/>
    </row>
    <row r="1112">
      <c r="A1112" s="222"/>
      <c r="D1112" s="299" t="s">
        <v>159</v>
      </c>
      <c r="E1112" s="299">
        <v>1.0</v>
      </c>
      <c r="F1112" s="250"/>
      <c r="G1112" s="251"/>
      <c r="H1112" s="312" t="s">
        <v>160</v>
      </c>
      <c r="I1112" s="300" t="s">
        <v>144</v>
      </c>
      <c r="J1112" s="214"/>
      <c r="K1112" s="214"/>
      <c r="L1112" s="214"/>
      <c r="M1112" s="214"/>
      <c r="N1112" s="214"/>
      <c r="O1112" s="214"/>
      <c r="P1112" s="214"/>
      <c r="Q1112" s="214"/>
      <c r="R1112" s="214"/>
      <c r="S1112" s="214"/>
      <c r="T1112" s="214"/>
      <c r="U1112" s="214"/>
      <c r="V1112" s="214"/>
      <c r="W1112" s="214"/>
      <c r="X1112" s="214"/>
      <c r="Y1112" s="214"/>
      <c r="Z1112" s="214"/>
      <c r="AA1112" s="214"/>
      <c r="AB1112" s="214"/>
      <c r="AC1112" s="214"/>
    </row>
    <row r="1113">
      <c r="A1113" s="236"/>
      <c r="B1113" s="237"/>
      <c r="C1113" s="237"/>
      <c r="D1113" s="494" t="s">
        <v>64</v>
      </c>
      <c r="E1113" s="494">
        <v>3.0</v>
      </c>
      <c r="F1113" s="477"/>
      <c r="G1113" s="239"/>
      <c r="H1113" s="262" t="s">
        <v>66</v>
      </c>
      <c r="I1113" s="626" t="s">
        <v>65</v>
      </c>
      <c r="J1113" s="214"/>
      <c r="K1113" s="214"/>
      <c r="L1113" s="214"/>
      <c r="M1113" s="214"/>
      <c r="N1113" s="214"/>
      <c r="O1113" s="214"/>
      <c r="P1113" s="214"/>
      <c r="Q1113" s="214"/>
      <c r="R1113" s="214"/>
      <c r="S1113" s="214"/>
      <c r="T1113" s="214"/>
      <c r="U1113" s="214"/>
      <c r="V1113" s="214"/>
      <c r="W1113" s="214"/>
      <c r="X1113" s="214"/>
      <c r="Y1113" s="214"/>
      <c r="Z1113" s="214"/>
      <c r="AA1113" s="214"/>
      <c r="AB1113" s="214"/>
      <c r="AC1113" s="214"/>
    </row>
    <row r="1114">
      <c r="A1114" s="215" t="s">
        <v>745</v>
      </c>
      <c r="B1114" s="243" t="s">
        <v>746</v>
      </c>
      <c r="C1114" s="416">
        <f>sum(E1114:E1116)</f>
        <v>6</v>
      </c>
      <c r="D1114" s="292" t="s">
        <v>79</v>
      </c>
      <c r="E1114" s="292">
        <v>2.0</v>
      </c>
      <c r="F1114" s="293"/>
      <c r="G1114" s="324"/>
      <c r="H1114" s="294" t="s">
        <v>80</v>
      </c>
      <c r="I1114" s="295" t="s">
        <v>65</v>
      </c>
      <c r="J1114" s="214"/>
      <c r="K1114" s="214"/>
      <c r="L1114" s="214"/>
      <c r="M1114" s="214"/>
      <c r="N1114" s="214"/>
      <c r="O1114" s="214"/>
      <c r="P1114" s="214"/>
      <c r="Q1114" s="214"/>
      <c r="R1114" s="214"/>
      <c r="S1114" s="214"/>
      <c r="T1114" s="214"/>
      <c r="U1114" s="214"/>
      <c r="V1114" s="214"/>
      <c r="W1114" s="214"/>
      <c r="X1114" s="214"/>
      <c r="Y1114" s="214"/>
      <c r="Z1114" s="214"/>
      <c r="AA1114" s="214"/>
      <c r="AB1114" s="214"/>
      <c r="AC1114" s="214"/>
    </row>
    <row r="1115">
      <c r="A1115" s="222"/>
      <c r="D1115" s="333" t="s">
        <v>97</v>
      </c>
      <c r="E1115" s="333">
        <v>2.0</v>
      </c>
      <c r="F1115" s="276"/>
      <c r="G1115" s="276"/>
      <c r="H1115" s="334" t="s">
        <v>99</v>
      </c>
      <c r="I1115" s="278" t="s">
        <v>98</v>
      </c>
      <c r="J1115" s="214"/>
      <c r="K1115" s="214"/>
      <c r="L1115" s="214"/>
      <c r="M1115" s="214"/>
      <c r="N1115" s="214"/>
      <c r="O1115" s="214"/>
      <c r="P1115" s="214"/>
      <c r="Q1115" s="214"/>
      <c r="R1115" s="214"/>
      <c r="S1115" s="214"/>
      <c r="T1115" s="214"/>
      <c r="U1115" s="214"/>
      <c r="V1115" s="214"/>
      <c r="W1115" s="214"/>
      <c r="X1115" s="214"/>
      <c r="Y1115" s="214"/>
      <c r="Z1115" s="214"/>
      <c r="AA1115" s="214"/>
      <c r="AB1115" s="214"/>
      <c r="AC1115" s="214"/>
    </row>
    <row r="1116">
      <c r="A1116" s="236"/>
      <c r="B1116" s="237"/>
      <c r="C1116" s="237"/>
      <c r="D1116" s="264" t="s">
        <v>162</v>
      </c>
      <c r="E1116" s="264">
        <v>2.0</v>
      </c>
      <c r="F1116" s="479"/>
      <c r="G1116" s="479"/>
      <c r="H1116" s="266" t="s">
        <v>164</v>
      </c>
      <c r="I1116" s="267" t="s">
        <v>163</v>
      </c>
      <c r="J1116" s="214"/>
      <c r="K1116" s="214"/>
      <c r="L1116" s="214"/>
      <c r="M1116" s="214"/>
      <c r="N1116" s="214"/>
      <c r="O1116" s="214"/>
      <c r="P1116" s="214"/>
      <c r="Q1116" s="214"/>
      <c r="R1116" s="214"/>
      <c r="S1116" s="214"/>
      <c r="T1116" s="214"/>
      <c r="U1116" s="214"/>
      <c r="V1116" s="214"/>
      <c r="W1116" s="214"/>
      <c r="X1116" s="214"/>
      <c r="Y1116" s="214"/>
      <c r="Z1116" s="214"/>
      <c r="AA1116" s="214"/>
      <c r="AB1116" s="214"/>
      <c r="AC1116" s="214"/>
    </row>
    <row r="1117">
      <c r="A1117" s="455" t="s">
        <v>747</v>
      </c>
      <c r="B1117" s="492" t="s">
        <v>748</v>
      </c>
      <c r="C1117" s="416">
        <f>sum(E1117:E1120)</f>
        <v>6</v>
      </c>
      <c r="D1117" s="356" t="s">
        <v>254</v>
      </c>
      <c r="E1117" s="356">
        <v>2.0</v>
      </c>
      <c r="F1117" s="357"/>
      <c r="G1117" s="357"/>
      <c r="H1117" s="447" t="s">
        <v>255</v>
      </c>
      <c r="I1117" s="359" t="s">
        <v>7</v>
      </c>
      <c r="J1117" s="214"/>
      <c r="K1117" s="214"/>
      <c r="L1117" s="214"/>
      <c r="M1117" s="214"/>
      <c r="N1117" s="214"/>
      <c r="O1117" s="214"/>
      <c r="P1117" s="214"/>
      <c r="Q1117" s="214"/>
      <c r="R1117" s="214"/>
      <c r="S1117" s="214"/>
      <c r="T1117" s="214"/>
      <c r="U1117" s="214"/>
      <c r="V1117" s="214"/>
      <c r="W1117" s="214"/>
      <c r="X1117" s="214"/>
      <c r="Y1117" s="214"/>
      <c r="Z1117" s="214"/>
      <c r="AA1117" s="214"/>
      <c r="AB1117" s="214"/>
      <c r="AC1117" s="214"/>
    </row>
    <row r="1118">
      <c r="A1118" s="222"/>
      <c r="D1118" s="223" t="s">
        <v>749</v>
      </c>
      <c r="E1118" s="223">
        <v>3.0</v>
      </c>
      <c r="F1118" s="342"/>
      <c r="G1118" s="342"/>
      <c r="H1118" s="225" t="s">
        <v>750</v>
      </c>
      <c r="I1118" s="226" t="s">
        <v>176</v>
      </c>
      <c r="J1118" s="214"/>
      <c r="K1118" s="214"/>
      <c r="L1118" s="214"/>
      <c r="M1118" s="214"/>
      <c r="N1118" s="214"/>
      <c r="O1118" s="214"/>
      <c r="P1118" s="214"/>
      <c r="Q1118" s="214"/>
      <c r="R1118" s="214"/>
      <c r="S1118" s="214"/>
      <c r="T1118" s="214"/>
      <c r="U1118" s="214"/>
      <c r="V1118" s="214"/>
      <c r="W1118" s="214"/>
      <c r="X1118" s="214"/>
      <c r="Y1118" s="214"/>
      <c r="Z1118" s="214"/>
      <c r="AA1118" s="214"/>
      <c r="AB1118" s="214"/>
      <c r="AC1118" s="214"/>
    </row>
    <row r="1119">
      <c r="A1119" s="222"/>
      <c r="D1119" s="232" t="s">
        <v>751</v>
      </c>
      <c r="E1119" s="232">
        <v>0.0</v>
      </c>
      <c r="F1119" s="254"/>
      <c r="G1119" s="233"/>
      <c r="H1119" s="234" t="s">
        <v>752</v>
      </c>
      <c r="I1119" s="235" t="s">
        <v>105</v>
      </c>
      <c r="J1119" s="214"/>
      <c r="K1119" s="214"/>
      <c r="L1119" s="214"/>
      <c r="M1119" s="214"/>
      <c r="N1119" s="214"/>
      <c r="O1119" s="214"/>
      <c r="P1119" s="214"/>
      <c r="Q1119" s="214"/>
      <c r="R1119" s="214"/>
      <c r="S1119" s="214"/>
      <c r="T1119" s="214"/>
      <c r="U1119" s="214"/>
      <c r="V1119" s="214"/>
      <c r="W1119" s="214"/>
      <c r="X1119" s="214"/>
      <c r="Y1119" s="214"/>
      <c r="Z1119" s="214"/>
      <c r="AA1119" s="214"/>
      <c r="AB1119" s="214"/>
      <c r="AC1119" s="214"/>
    </row>
    <row r="1120">
      <c r="A1120" s="236"/>
      <c r="B1120" s="237"/>
      <c r="C1120" s="237"/>
      <c r="D1120" s="271" t="s">
        <v>753</v>
      </c>
      <c r="E1120" s="271">
        <v>1.0</v>
      </c>
      <c r="F1120" s="272"/>
      <c r="G1120" s="272"/>
      <c r="H1120" s="273" t="s">
        <v>754</v>
      </c>
      <c r="I1120" s="274" t="s">
        <v>163</v>
      </c>
      <c r="J1120" s="214"/>
      <c r="K1120" s="214"/>
      <c r="L1120" s="214"/>
      <c r="M1120" s="214"/>
      <c r="N1120" s="214"/>
      <c r="O1120" s="214"/>
      <c r="P1120" s="214"/>
      <c r="Q1120" s="214"/>
      <c r="R1120" s="214"/>
      <c r="S1120" s="214"/>
      <c r="T1120" s="214"/>
      <c r="U1120" s="214"/>
      <c r="V1120" s="214"/>
      <c r="W1120" s="214"/>
      <c r="X1120" s="214"/>
      <c r="Y1120" s="214"/>
      <c r="Z1120" s="214"/>
      <c r="AA1120" s="214"/>
      <c r="AB1120" s="214"/>
      <c r="AC1120" s="214"/>
    </row>
    <row r="1121">
      <c r="A1121" s="242" t="s">
        <v>755</v>
      </c>
      <c r="B1121" s="243" t="s">
        <v>756</v>
      </c>
      <c r="C1121" s="416">
        <f>sum(E1121:E1123)</f>
        <v>6</v>
      </c>
      <c r="D1121" s="356" t="s">
        <v>17</v>
      </c>
      <c r="E1121" s="356">
        <v>2.0</v>
      </c>
      <c r="F1121" s="499"/>
      <c r="G1121" s="499"/>
      <c r="H1121" s="358" t="s">
        <v>260</v>
      </c>
      <c r="I1121" s="359" t="s">
        <v>7</v>
      </c>
      <c r="J1121" s="214"/>
      <c r="K1121" s="214"/>
      <c r="L1121" s="214"/>
      <c r="M1121" s="214"/>
      <c r="N1121" s="214"/>
      <c r="O1121" s="214"/>
      <c r="P1121" s="214"/>
      <c r="Q1121" s="214"/>
      <c r="R1121" s="214"/>
      <c r="S1121" s="214"/>
      <c r="T1121" s="214"/>
      <c r="U1121" s="214"/>
      <c r="V1121" s="214"/>
      <c r="W1121" s="214"/>
      <c r="X1121" s="214"/>
      <c r="Y1121" s="214"/>
      <c r="Z1121" s="214"/>
      <c r="AA1121" s="214"/>
      <c r="AB1121" s="214"/>
      <c r="AC1121" s="214"/>
    </row>
    <row r="1122">
      <c r="A1122" s="222"/>
      <c r="D1122" s="369" t="s">
        <v>757</v>
      </c>
      <c r="E1122" s="369">
        <v>3.0</v>
      </c>
      <c r="F1122" s="371"/>
      <c r="G1122" s="371"/>
      <c r="H1122" s="372" t="s">
        <v>758</v>
      </c>
      <c r="I1122" s="373" t="s">
        <v>23</v>
      </c>
      <c r="J1122" s="214"/>
      <c r="K1122" s="214"/>
      <c r="L1122" s="214"/>
      <c r="M1122" s="214"/>
      <c r="N1122" s="214"/>
      <c r="O1122" s="214"/>
      <c r="P1122" s="214"/>
      <c r="Q1122" s="214"/>
      <c r="R1122" s="214"/>
      <c r="S1122" s="214"/>
      <c r="T1122" s="214"/>
      <c r="U1122" s="214"/>
      <c r="V1122" s="214"/>
      <c r="W1122" s="214"/>
      <c r="X1122" s="214"/>
      <c r="Y1122" s="214"/>
      <c r="Z1122" s="214"/>
      <c r="AA1122" s="214"/>
      <c r="AB1122" s="214"/>
      <c r="AC1122" s="214"/>
    </row>
    <row r="1123">
      <c r="A1123" s="236"/>
      <c r="B1123" s="237"/>
      <c r="C1123" s="237"/>
      <c r="D1123" s="459" t="s">
        <v>140</v>
      </c>
      <c r="E1123" s="459">
        <v>1.0</v>
      </c>
      <c r="F1123" s="404"/>
      <c r="G1123" s="288"/>
      <c r="H1123" s="460" t="s">
        <v>141</v>
      </c>
      <c r="I1123" s="461" t="s">
        <v>105</v>
      </c>
      <c r="J1123" s="214"/>
      <c r="K1123" s="214"/>
      <c r="L1123" s="214"/>
      <c r="M1123" s="214"/>
      <c r="N1123" s="214"/>
      <c r="O1123" s="214"/>
      <c r="P1123" s="214"/>
      <c r="Q1123" s="214"/>
      <c r="R1123" s="214"/>
      <c r="S1123" s="214"/>
      <c r="T1123" s="214"/>
      <c r="U1123" s="214"/>
      <c r="V1123" s="214"/>
      <c r="W1123" s="214"/>
      <c r="X1123" s="214"/>
      <c r="Y1123" s="214"/>
      <c r="Z1123" s="214"/>
      <c r="AA1123" s="214"/>
      <c r="AB1123" s="214"/>
      <c r="AC1123" s="214"/>
    </row>
    <row r="1124">
      <c r="A1124" s="364" t="s">
        <v>759</v>
      </c>
      <c r="B1124" s="409" t="s">
        <v>760</v>
      </c>
      <c r="C1124" s="532">
        <f>sum(E1124:E1127)</f>
        <v>6</v>
      </c>
      <c r="D1124" s="369" t="s">
        <v>22</v>
      </c>
      <c r="E1124" s="369">
        <v>2.0</v>
      </c>
      <c r="F1124" s="370"/>
      <c r="G1124" s="370"/>
      <c r="H1124" s="372" t="s">
        <v>265</v>
      </c>
      <c r="I1124" s="424" t="s">
        <v>23</v>
      </c>
      <c r="J1124" s="214"/>
      <c r="K1124" s="214"/>
      <c r="L1124" s="214"/>
      <c r="M1124" s="214"/>
      <c r="N1124" s="214"/>
      <c r="O1124" s="214"/>
      <c r="P1124" s="214"/>
      <c r="Q1124" s="214"/>
      <c r="R1124" s="214"/>
      <c r="S1124" s="214"/>
      <c r="T1124" s="214"/>
      <c r="U1124" s="214"/>
      <c r="V1124" s="214"/>
      <c r="W1124" s="214"/>
      <c r="X1124" s="214"/>
      <c r="Y1124" s="214"/>
      <c r="Z1124" s="214"/>
      <c r="AA1124" s="214"/>
      <c r="AB1124" s="214"/>
      <c r="AC1124" s="214"/>
    </row>
    <row r="1125">
      <c r="A1125" s="222"/>
      <c r="D1125" s="232" t="s">
        <v>239</v>
      </c>
      <c r="E1125" s="232">
        <v>1.0</v>
      </c>
      <c r="F1125" s="254"/>
      <c r="G1125" s="233"/>
      <c r="H1125" s="234" t="s">
        <v>115</v>
      </c>
      <c r="I1125" s="235" t="s">
        <v>105</v>
      </c>
      <c r="J1125" s="214"/>
      <c r="K1125" s="214"/>
      <c r="L1125" s="214"/>
      <c r="M1125" s="214"/>
      <c r="N1125" s="214"/>
      <c r="O1125" s="214"/>
      <c r="P1125" s="214"/>
      <c r="Q1125" s="214"/>
      <c r="R1125" s="214"/>
      <c r="S1125" s="214"/>
      <c r="T1125" s="214"/>
      <c r="U1125" s="214"/>
      <c r="V1125" s="214"/>
      <c r="W1125" s="214"/>
      <c r="X1125" s="214"/>
      <c r="Y1125" s="214"/>
      <c r="Z1125" s="214"/>
      <c r="AA1125" s="214"/>
      <c r="AB1125" s="214"/>
      <c r="AC1125" s="214"/>
    </row>
    <row r="1126">
      <c r="A1126" s="222"/>
      <c r="D1126" s="389" t="s">
        <v>254</v>
      </c>
      <c r="E1126" s="389">
        <v>2.0</v>
      </c>
      <c r="F1126" s="228"/>
      <c r="G1126" s="228"/>
      <c r="H1126" s="578" t="s">
        <v>255</v>
      </c>
      <c r="I1126" s="230" t="s">
        <v>7</v>
      </c>
      <c r="J1126" s="214"/>
      <c r="K1126" s="214"/>
      <c r="L1126" s="214"/>
      <c r="M1126" s="214"/>
      <c r="N1126" s="214"/>
      <c r="O1126" s="214"/>
      <c r="P1126" s="214"/>
      <c r="Q1126" s="214"/>
      <c r="R1126" s="214"/>
      <c r="S1126" s="214"/>
      <c r="T1126" s="214"/>
      <c r="U1126" s="214"/>
      <c r="V1126" s="214"/>
      <c r="W1126" s="214"/>
      <c r="X1126" s="214"/>
      <c r="Y1126" s="214"/>
      <c r="Z1126" s="214"/>
      <c r="AA1126" s="214"/>
      <c r="AB1126" s="214"/>
      <c r="AC1126" s="214"/>
    </row>
    <row r="1127">
      <c r="A1127" s="236"/>
      <c r="B1127" s="237"/>
      <c r="C1127" s="237"/>
      <c r="D1127" s="320" t="s">
        <v>159</v>
      </c>
      <c r="E1127" s="320">
        <v>1.0</v>
      </c>
      <c r="F1127" s="321"/>
      <c r="G1127" s="321"/>
      <c r="H1127" s="322" t="s">
        <v>160</v>
      </c>
      <c r="I1127" s="437" t="s">
        <v>144</v>
      </c>
      <c r="J1127" s="214"/>
      <c r="K1127" s="214"/>
      <c r="L1127" s="214"/>
      <c r="M1127" s="214"/>
      <c r="N1127" s="214"/>
      <c r="O1127" s="214"/>
      <c r="P1127" s="214"/>
      <c r="Q1127" s="214"/>
      <c r="R1127" s="214"/>
      <c r="S1127" s="214"/>
      <c r="T1127" s="214"/>
      <c r="U1127" s="214"/>
      <c r="V1127" s="214"/>
      <c r="W1127" s="214"/>
      <c r="X1127" s="214"/>
      <c r="Y1127" s="214"/>
      <c r="Z1127" s="214"/>
      <c r="AA1127" s="214"/>
      <c r="AB1127" s="214"/>
      <c r="AC1127" s="214"/>
    </row>
    <row r="1128">
      <c r="A1128" s="215" t="s">
        <v>761</v>
      </c>
      <c r="B1128" s="216" t="s">
        <v>762</v>
      </c>
      <c r="C1128" s="416">
        <f>sum(E1128:E1130)</f>
        <v>6</v>
      </c>
      <c r="D1128" s="292" t="s">
        <v>64</v>
      </c>
      <c r="E1128" s="292">
        <v>3.0</v>
      </c>
      <c r="F1128" s="324"/>
      <c r="G1128" s="324"/>
      <c r="H1128" s="262" t="s">
        <v>66</v>
      </c>
      <c r="I1128" s="295" t="s">
        <v>65</v>
      </c>
      <c r="J1128" s="214"/>
      <c r="K1128" s="214"/>
      <c r="L1128" s="214"/>
      <c r="M1128" s="214"/>
      <c r="N1128" s="214"/>
      <c r="O1128" s="214"/>
      <c r="P1128" s="214"/>
      <c r="Q1128" s="214"/>
      <c r="R1128" s="214"/>
      <c r="S1128" s="214"/>
      <c r="T1128" s="214"/>
      <c r="U1128" s="214"/>
      <c r="V1128" s="214"/>
      <c r="W1128" s="214"/>
      <c r="X1128" s="214"/>
      <c r="Y1128" s="214"/>
      <c r="Z1128" s="214"/>
      <c r="AA1128" s="214"/>
      <c r="AB1128" s="214"/>
      <c r="AC1128" s="214"/>
    </row>
    <row r="1129">
      <c r="A1129" s="222"/>
      <c r="D1129" s="402" t="s">
        <v>172</v>
      </c>
      <c r="E1129" s="402">
        <v>1.0</v>
      </c>
      <c r="F1129" s="272"/>
      <c r="G1129" s="272"/>
      <c r="H1129" s="403" t="s">
        <v>389</v>
      </c>
      <c r="I1129" s="274" t="s">
        <v>163</v>
      </c>
      <c r="J1129" s="214"/>
      <c r="K1129" s="214"/>
      <c r="L1129" s="214"/>
      <c r="M1129" s="214"/>
      <c r="N1129" s="214"/>
      <c r="O1129" s="214"/>
      <c r="P1129" s="214"/>
      <c r="Q1129" s="214"/>
      <c r="R1129" s="214"/>
      <c r="S1129" s="214"/>
      <c r="T1129" s="214"/>
      <c r="U1129" s="214"/>
      <c r="V1129" s="214"/>
      <c r="W1129" s="214"/>
      <c r="X1129" s="214"/>
      <c r="Y1129" s="214"/>
      <c r="Z1129" s="214"/>
      <c r="AA1129" s="214"/>
      <c r="AB1129" s="214"/>
      <c r="AC1129" s="214"/>
    </row>
    <row r="1130">
      <c r="A1130" s="236"/>
      <c r="B1130" s="237"/>
      <c r="C1130" s="237"/>
      <c r="D1130" s="418" t="s">
        <v>22</v>
      </c>
      <c r="E1130" s="418">
        <v>2.0</v>
      </c>
      <c r="F1130" s="419"/>
      <c r="G1130" s="419"/>
      <c r="H1130" s="420" t="s">
        <v>265</v>
      </c>
      <c r="I1130" s="549" t="s">
        <v>23</v>
      </c>
      <c r="J1130" s="214"/>
      <c r="K1130" s="214"/>
      <c r="L1130" s="214"/>
      <c r="M1130" s="214"/>
      <c r="N1130" s="214"/>
      <c r="O1130" s="214"/>
      <c r="P1130" s="214"/>
      <c r="Q1130" s="214"/>
      <c r="R1130" s="214"/>
      <c r="S1130" s="214"/>
      <c r="T1130" s="214"/>
      <c r="U1130" s="214"/>
      <c r="V1130" s="214"/>
      <c r="W1130" s="214"/>
      <c r="X1130" s="214"/>
      <c r="Y1130" s="214"/>
      <c r="Z1130" s="214"/>
      <c r="AA1130" s="214"/>
      <c r="AB1130" s="214"/>
      <c r="AC1130" s="214"/>
    </row>
    <row r="1131">
      <c r="A1131" s="455" t="s">
        <v>763</v>
      </c>
      <c r="B1131" s="492" t="s">
        <v>677</v>
      </c>
      <c r="C1131" s="416">
        <f>sum(E1131:E1134)</f>
        <v>6</v>
      </c>
      <c r="D1131" s="292" t="s">
        <v>64</v>
      </c>
      <c r="E1131" s="292">
        <v>3.0</v>
      </c>
      <c r="F1131" s="293"/>
      <c r="G1131" s="324"/>
      <c r="H1131" s="262" t="s">
        <v>66</v>
      </c>
      <c r="I1131" s="295" t="s">
        <v>65</v>
      </c>
      <c r="J1131" s="214"/>
      <c r="K1131" s="214"/>
      <c r="L1131" s="214"/>
      <c r="M1131" s="214"/>
      <c r="N1131" s="214"/>
      <c r="O1131" s="214"/>
      <c r="P1131" s="214"/>
      <c r="Q1131" s="214"/>
      <c r="R1131" s="214"/>
      <c r="S1131" s="214"/>
      <c r="T1131" s="214"/>
      <c r="U1131" s="214"/>
      <c r="V1131" s="214"/>
      <c r="W1131" s="214"/>
      <c r="X1131" s="214"/>
      <c r="Y1131" s="214"/>
      <c r="Z1131" s="214"/>
      <c r="AA1131" s="214"/>
      <c r="AB1131" s="214"/>
      <c r="AC1131" s="214"/>
    </row>
    <row r="1132">
      <c r="A1132" s="222"/>
      <c r="D1132" s="256" t="s">
        <v>189</v>
      </c>
      <c r="E1132" s="256">
        <v>1.0</v>
      </c>
      <c r="F1132" s="257"/>
      <c r="G1132" s="257"/>
      <c r="H1132" s="258" t="s">
        <v>190</v>
      </c>
      <c r="I1132" s="259" t="s">
        <v>186</v>
      </c>
      <c r="J1132" s="214"/>
      <c r="K1132" s="214"/>
      <c r="L1132" s="214"/>
      <c r="M1132" s="214"/>
      <c r="N1132" s="214"/>
      <c r="O1132" s="214"/>
      <c r="P1132" s="214"/>
      <c r="Q1132" s="214"/>
      <c r="R1132" s="214"/>
      <c r="S1132" s="214"/>
      <c r="T1132" s="214"/>
      <c r="U1132" s="214"/>
      <c r="V1132" s="214"/>
      <c r="W1132" s="214"/>
      <c r="X1132" s="214"/>
      <c r="Y1132" s="214"/>
      <c r="Z1132" s="214"/>
      <c r="AA1132" s="214"/>
      <c r="AB1132" s="214"/>
      <c r="AC1132" s="214"/>
    </row>
    <row r="1133">
      <c r="A1133" s="222"/>
      <c r="D1133" s="339" t="s">
        <v>117</v>
      </c>
      <c r="E1133" s="339">
        <v>1.0</v>
      </c>
      <c r="F1133" s="254"/>
      <c r="G1133" s="233"/>
      <c r="H1133" s="340" t="s">
        <v>238</v>
      </c>
      <c r="I1133" s="298" t="s">
        <v>105</v>
      </c>
      <c r="J1133" s="214"/>
      <c r="K1133" s="214"/>
      <c r="L1133" s="214"/>
      <c r="M1133" s="214"/>
      <c r="N1133" s="214"/>
      <c r="O1133" s="214"/>
      <c r="P1133" s="214"/>
      <c r="Q1133" s="214"/>
      <c r="R1133" s="214"/>
      <c r="S1133" s="214"/>
      <c r="T1133" s="214"/>
      <c r="U1133" s="214"/>
      <c r="V1133" s="214"/>
      <c r="W1133" s="214"/>
      <c r="X1133" s="214"/>
      <c r="Y1133" s="214"/>
      <c r="Z1133" s="214"/>
      <c r="AA1133" s="214"/>
      <c r="AB1133" s="214"/>
      <c r="AC1133" s="214"/>
    </row>
    <row r="1134">
      <c r="A1134" s="236"/>
      <c r="B1134" s="237"/>
      <c r="C1134" s="237"/>
      <c r="D1134" s="287" t="s">
        <v>140</v>
      </c>
      <c r="E1134" s="287">
        <v>1.0</v>
      </c>
      <c r="F1134" s="404"/>
      <c r="G1134" s="404"/>
      <c r="H1134" s="289" t="s">
        <v>141</v>
      </c>
      <c r="I1134" s="461" t="s">
        <v>105</v>
      </c>
      <c r="J1134" s="214"/>
      <c r="K1134" s="214"/>
      <c r="L1134" s="214"/>
      <c r="M1134" s="214"/>
      <c r="N1134" s="214"/>
      <c r="O1134" s="214"/>
      <c r="P1134" s="214"/>
      <c r="Q1134" s="214"/>
      <c r="R1134" s="214"/>
      <c r="S1134" s="214"/>
      <c r="T1134" s="214"/>
      <c r="U1134" s="214"/>
      <c r="V1134" s="214"/>
      <c r="W1134" s="214"/>
      <c r="X1134" s="214"/>
      <c r="Y1134" s="214"/>
      <c r="Z1134" s="214"/>
      <c r="AA1134" s="214"/>
      <c r="AB1134" s="214"/>
      <c r="AC1134" s="214"/>
    </row>
    <row r="1135">
      <c r="A1135" s="242" t="s">
        <v>764</v>
      </c>
      <c r="B1135" s="243" t="s">
        <v>619</v>
      </c>
      <c r="C1135" s="416">
        <f>sum(E1135:E1138)</f>
        <v>6</v>
      </c>
      <c r="D1135" s="356" t="s">
        <v>11</v>
      </c>
      <c r="E1135" s="356">
        <v>2.0</v>
      </c>
      <c r="F1135" s="357"/>
      <c r="G1135" s="357"/>
      <c r="H1135" s="447" t="s">
        <v>294</v>
      </c>
      <c r="I1135" s="359" t="s">
        <v>7</v>
      </c>
      <c r="J1135" s="214"/>
      <c r="K1135" s="214"/>
      <c r="L1135" s="214"/>
      <c r="M1135" s="214"/>
      <c r="N1135" s="214"/>
      <c r="O1135" s="214"/>
      <c r="P1135" s="214"/>
      <c r="Q1135" s="214"/>
      <c r="R1135" s="214"/>
      <c r="S1135" s="214"/>
      <c r="T1135" s="214"/>
      <c r="U1135" s="214"/>
      <c r="V1135" s="214"/>
      <c r="W1135" s="214"/>
      <c r="X1135" s="214"/>
      <c r="Y1135" s="214"/>
      <c r="Z1135" s="214"/>
      <c r="AA1135" s="214"/>
      <c r="AB1135" s="214"/>
      <c r="AC1135" s="214"/>
    </row>
    <row r="1136">
      <c r="A1136" s="222"/>
      <c r="D1136" s="299" t="s">
        <v>159</v>
      </c>
      <c r="E1136" s="299">
        <v>1.0</v>
      </c>
      <c r="F1136" s="251"/>
      <c r="G1136" s="251"/>
      <c r="H1136" s="312" t="s">
        <v>160</v>
      </c>
      <c r="I1136" s="300" t="s">
        <v>144</v>
      </c>
      <c r="J1136" s="214"/>
      <c r="K1136" s="214"/>
      <c r="L1136" s="214"/>
      <c r="M1136" s="214"/>
      <c r="N1136" s="214"/>
      <c r="O1136" s="214"/>
      <c r="P1136" s="214"/>
      <c r="Q1136" s="214"/>
      <c r="R1136" s="214"/>
      <c r="S1136" s="214"/>
      <c r="T1136" s="214"/>
      <c r="U1136" s="214"/>
      <c r="V1136" s="214"/>
      <c r="W1136" s="214"/>
      <c r="X1136" s="214"/>
      <c r="Y1136" s="214"/>
      <c r="Z1136" s="214"/>
      <c r="AA1136" s="214"/>
      <c r="AB1136" s="214"/>
      <c r="AC1136" s="214"/>
    </row>
    <row r="1137">
      <c r="A1137" s="222"/>
      <c r="D1137" s="271" t="s">
        <v>162</v>
      </c>
      <c r="E1137" s="271">
        <v>2.0</v>
      </c>
      <c r="F1137" s="272"/>
      <c r="G1137" s="272"/>
      <c r="H1137" s="273" t="s">
        <v>164</v>
      </c>
      <c r="I1137" s="393" t="s">
        <v>163</v>
      </c>
      <c r="J1137" s="214"/>
      <c r="K1137" s="214"/>
      <c r="L1137" s="214"/>
      <c r="M1137" s="214"/>
      <c r="N1137" s="214"/>
      <c r="O1137" s="214"/>
      <c r="P1137" s="214"/>
      <c r="Q1137" s="214"/>
      <c r="R1137" s="214"/>
      <c r="S1137" s="214"/>
      <c r="T1137" s="214"/>
      <c r="U1137" s="214"/>
      <c r="V1137" s="214"/>
      <c r="W1137" s="214"/>
      <c r="X1137" s="214"/>
      <c r="Y1137" s="214"/>
      <c r="Z1137" s="214"/>
      <c r="AA1137" s="214"/>
      <c r="AB1137" s="214"/>
      <c r="AC1137" s="214"/>
    </row>
    <row r="1138">
      <c r="A1138" s="236"/>
      <c r="B1138" s="237"/>
      <c r="C1138" s="237"/>
      <c r="D1138" s="287" t="s">
        <v>117</v>
      </c>
      <c r="E1138" s="287">
        <v>1.0</v>
      </c>
      <c r="F1138" s="288"/>
      <c r="G1138" s="288"/>
      <c r="H1138" s="289" t="s">
        <v>238</v>
      </c>
      <c r="I1138" s="290" t="s">
        <v>105</v>
      </c>
      <c r="J1138" s="214"/>
      <c r="K1138" s="214"/>
      <c r="L1138" s="214"/>
      <c r="M1138" s="214"/>
      <c r="N1138" s="214"/>
      <c r="O1138" s="214"/>
      <c r="P1138" s="214"/>
      <c r="Q1138" s="214"/>
      <c r="R1138" s="214"/>
      <c r="S1138" s="214"/>
      <c r="T1138" s="214"/>
      <c r="U1138" s="214"/>
      <c r="V1138" s="214"/>
      <c r="W1138" s="214"/>
      <c r="X1138" s="214"/>
      <c r="Y1138" s="214"/>
      <c r="Z1138" s="214"/>
      <c r="AA1138" s="214"/>
      <c r="AB1138" s="214"/>
      <c r="AC1138" s="214"/>
    </row>
    <row r="1139">
      <c r="A1139" s="455" t="s">
        <v>765</v>
      </c>
      <c r="B1139" s="492" t="s">
        <v>766</v>
      </c>
      <c r="C1139" s="416">
        <f>sum(E1139:E1140)</f>
        <v>6</v>
      </c>
      <c r="D1139" s="644" t="s">
        <v>175</v>
      </c>
      <c r="E1139" s="269">
        <v>4.0</v>
      </c>
      <c r="F1139" s="219"/>
      <c r="G1139" s="270"/>
      <c r="H1139" s="645" t="s">
        <v>232</v>
      </c>
      <c r="I1139" s="646" t="s">
        <v>176</v>
      </c>
      <c r="J1139" s="214"/>
      <c r="K1139" s="214"/>
      <c r="L1139" s="214"/>
      <c r="M1139" s="214"/>
      <c r="N1139" s="214"/>
      <c r="O1139" s="214"/>
      <c r="P1139" s="214"/>
      <c r="Q1139" s="214"/>
      <c r="R1139" s="214"/>
      <c r="S1139" s="214"/>
      <c r="T1139" s="214"/>
      <c r="U1139" s="214"/>
      <c r="V1139" s="214"/>
      <c r="W1139" s="214"/>
      <c r="X1139" s="214"/>
      <c r="Y1139" s="214"/>
      <c r="Z1139" s="214"/>
      <c r="AA1139" s="214"/>
      <c r="AB1139" s="214"/>
      <c r="AC1139" s="214"/>
    </row>
    <row r="1140">
      <c r="A1140" s="236"/>
      <c r="B1140" s="237"/>
      <c r="C1140" s="237"/>
      <c r="D1140" s="264" t="s">
        <v>162</v>
      </c>
      <c r="E1140" s="264">
        <v>2.0</v>
      </c>
      <c r="F1140" s="265"/>
      <c r="G1140" s="265"/>
      <c r="H1140" s="266" t="s">
        <v>164</v>
      </c>
      <c r="I1140" s="480" t="s">
        <v>163</v>
      </c>
      <c r="J1140" s="214"/>
      <c r="K1140" s="214"/>
      <c r="L1140" s="214"/>
      <c r="M1140" s="214"/>
      <c r="N1140" s="214"/>
      <c r="O1140" s="214"/>
      <c r="P1140" s="214"/>
      <c r="Q1140" s="214"/>
      <c r="R1140" s="214"/>
      <c r="S1140" s="214"/>
      <c r="T1140" s="214"/>
      <c r="U1140" s="214"/>
      <c r="V1140" s="214"/>
      <c r="W1140" s="214"/>
      <c r="X1140" s="214"/>
      <c r="Y1140" s="214"/>
      <c r="Z1140" s="214"/>
      <c r="AA1140" s="214"/>
      <c r="AB1140" s="214"/>
      <c r="AC1140" s="214"/>
    </row>
    <row r="1141">
      <c r="A1141" s="242" t="s">
        <v>767</v>
      </c>
      <c r="B1141" s="216" t="s">
        <v>768</v>
      </c>
      <c r="C1141" s="416">
        <f>sum(E1141:E1145)</f>
        <v>6</v>
      </c>
      <c r="D1141" s="521" t="s">
        <v>159</v>
      </c>
      <c r="E1141" s="521">
        <v>1.0</v>
      </c>
      <c r="F1141" s="522"/>
      <c r="G1141" s="522"/>
      <c r="H1141" s="523" t="s">
        <v>160</v>
      </c>
      <c r="I1141" s="538" t="s">
        <v>144</v>
      </c>
      <c r="J1141" s="214"/>
      <c r="K1141" s="214"/>
      <c r="L1141" s="214"/>
      <c r="M1141" s="214"/>
      <c r="N1141" s="214"/>
      <c r="O1141" s="214"/>
      <c r="P1141" s="214"/>
      <c r="Q1141" s="214"/>
      <c r="R1141" s="214"/>
      <c r="S1141" s="214"/>
      <c r="T1141" s="214"/>
      <c r="U1141" s="214"/>
      <c r="V1141" s="214"/>
      <c r="W1141" s="214"/>
      <c r="X1141" s="214"/>
      <c r="Y1141" s="214"/>
      <c r="Z1141" s="214"/>
      <c r="AA1141" s="214"/>
      <c r="AB1141" s="214"/>
      <c r="AC1141" s="214"/>
    </row>
    <row r="1142">
      <c r="A1142" s="222"/>
      <c r="D1142" s="299" t="s">
        <v>150</v>
      </c>
      <c r="E1142" s="299">
        <v>2.0</v>
      </c>
      <c r="F1142" s="250"/>
      <c r="G1142" s="250"/>
      <c r="H1142" s="312" t="s">
        <v>151</v>
      </c>
      <c r="I1142" s="604" t="s">
        <v>144</v>
      </c>
      <c r="J1142" s="214"/>
      <c r="K1142" s="214"/>
      <c r="L1142" s="214"/>
      <c r="M1142" s="214"/>
      <c r="N1142" s="214"/>
      <c r="O1142" s="214"/>
      <c r="P1142" s="214"/>
      <c r="Q1142" s="214"/>
      <c r="R1142" s="214"/>
      <c r="S1142" s="214"/>
      <c r="T1142" s="214"/>
      <c r="U1142" s="214"/>
      <c r="V1142" s="214"/>
      <c r="W1142" s="214"/>
      <c r="X1142" s="214"/>
      <c r="Y1142" s="214"/>
      <c r="Z1142" s="214"/>
      <c r="AA1142" s="214"/>
      <c r="AB1142" s="214"/>
      <c r="AC1142" s="214"/>
    </row>
    <row r="1143">
      <c r="A1143" s="222"/>
      <c r="D1143" s="339" t="s">
        <v>137</v>
      </c>
      <c r="E1143" s="339">
        <v>1.0</v>
      </c>
      <c r="F1143" s="254"/>
      <c r="G1143" s="233"/>
      <c r="H1143" s="340" t="s">
        <v>138</v>
      </c>
      <c r="I1143" s="235" t="s">
        <v>105</v>
      </c>
      <c r="J1143" s="214"/>
      <c r="K1143" s="214"/>
      <c r="L1143" s="214"/>
      <c r="M1143" s="214"/>
      <c r="N1143" s="214"/>
      <c r="O1143" s="214"/>
      <c r="P1143" s="214"/>
      <c r="Q1143" s="214"/>
      <c r="R1143" s="214"/>
      <c r="S1143" s="214"/>
      <c r="T1143" s="214"/>
      <c r="U1143" s="214"/>
      <c r="V1143" s="214"/>
      <c r="W1143" s="214"/>
      <c r="X1143" s="214"/>
      <c r="Y1143" s="214"/>
      <c r="Z1143" s="214"/>
      <c r="AA1143" s="214"/>
      <c r="AB1143" s="214"/>
      <c r="AC1143" s="214"/>
    </row>
    <row r="1144">
      <c r="A1144" s="222"/>
      <c r="D1144" s="232" t="s">
        <v>126</v>
      </c>
      <c r="E1144" s="232">
        <v>1.0</v>
      </c>
      <c r="F1144" s="233"/>
      <c r="G1144" s="233"/>
      <c r="H1144" s="234" t="s">
        <v>127</v>
      </c>
      <c r="I1144" s="235" t="s">
        <v>105</v>
      </c>
      <c r="J1144" s="214"/>
      <c r="K1144" s="214"/>
      <c r="L1144" s="214"/>
      <c r="M1144" s="214"/>
      <c r="N1144" s="214"/>
      <c r="O1144" s="214"/>
      <c r="P1144" s="214"/>
      <c r="Q1144" s="214"/>
      <c r="R1144" s="214"/>
      <c r="S1144" s="214"/>
      <c r="T1144" s="214"/>
      <c r="U1144" s="214"/>
      <c r="V1144" s="214"/>
      <c r="W1144" s="214"/>
      <c r="X1144" s="214"/>
      <c r="Y1144" s="214"/>
      <c r="Z1144" s="214"/>
      <c r="AA1144" s="214"/>
      <c r="AB1144" s="214"/>
      <c r="AC1144" s="214"/>
    </row>
    <row r="1145">
      <c r="A1145" s="236"/>
      <c r="B1145" s="237"/>
      <c r="C1145" s="237"/>
      <c r="D1145" s="459" t="s">
        <v>134</v>
      </c>
      <c r="E1145" s="459">
        <v>1.0</v>
      </c>
      <c r="F1145" s="288"/>
      <c r="G1145" s="288"/>
      <c r="H1145" s="460" t="s">
        <v>135</v>
      </c>
      <c r="I1145" s="290" t="s">
        <v>105</v>
      </c>
      <c r="J1145" s="214"/>
      <c r="K1145" s="214"/>
      <c r="L1145" s="214"/>
      <c r="M1145" s="214"/>
      <c r="N1145" s="214"/>
      <c r="O1145" s="214"/>
      <c r="P1145" s="214"/>
      <c r="Q1145" s="214"/>
      <c r="R1145" s="214"/>
      <c r="S1145" s="214"/>
      <c r="T1145" s="214"/>
      <c r="U1145" s="214"/>
      <c r="V1145" s="214"/>
      <c r="W1145" s="214"/>
      <c r="X1145" s="214"/>
      <c r="Y1145" s="214"/>
      <c r="Z1145" s="214"/>
      <c r="AA1145" s="214"/>
      <c r="AB1145" s="214"/>
      <c r="AC1145" s="214"/>
    </row>
    <row r="1146">
      <c r="A1146" s="242" t="s">
        <v>769</v>
      </c>
      <c r="B1146" s="243" t="s">
        <v>770</v>
      </c>
      <c r="C1146" s="416">
        <f>sum(E1146:E1149)</f>
        <v>6</v>
      </c>
      <c r="D1146" s="426" t="s">
        <v>22</v>
      </c>
      <c r="E1146" s="426">
        <v>2.0</v>
      </c>
      <c r="F1146" s="396"/>
      <c r="G1146" s="397"/>
      <c r="H1146" s="427" t="s">
        <v>265</v>
      </c>
      <c r="I1146" s="428" t="s">
        <v>23</v>
      </c>
      <c r="J1146" s="214"/>
      <c r="K1146" s="214"/>
      <c r="L1146" s="214"/>
      <c r="M1146" s="214"/>
      <c r="N1146" s="214"/>
      <c r="O1146" s="214"/>
      <c r="P1146" s="214"/>
      <c r="Q1146" s="214"/>
      <c r="R1146" s="214"/>
      <c r="S1146" s="214"/>
      <c r="T1146" s="214"/>
      <c r="U1146" s="214"/>
      <c r="V1146" s="214"/>
      <c r="W1146" s="214"/>
      <c r="X1146" s="214"/>
      <c r="Y1146" s="214"/>
      <c r="Z1146" s="214"/>
      <c r="AA1146" s="214"/>
      <c r="AB1146" s="214"/>
      <c r="AC1146" s="214"/>
    </row>
    <row r="1147">
      <c r="A1147" s="222"/>
      <c r="D1147" s="434" t="s">
        <v>36</v>
      </c>
      <c r="E1147" s="434">
        <v>1.0</v>
      </c>
      <c r="F1147" s="383"/>
      <c r="G1147" s="384"/>
      <c r="H1147" s="435" t="s">
        <v>37</v>
      </c>
      <c r="I1147" s="429" t="s">
        <v>30</v>
      </c>
      <c r="J1147" s="214"/>
      <c r="K1147" s="214"/>
      <c r="L1147" s="214"/>
      <c r="M1147" s="214"/>
      <c r="N1147" s="214"/>
      <c r="O1147" s="214"/>
      <c r="P1147" s="214"/>
      <c r="Q1147" s="214"/>
      <c r="R1147" s="214"/>
      <c r="S1147" s="214"/>
      <c r="T1147" s="214"/>
      <c r="U1147" s="214"/>
      <c r="V1147" s="214"/>
      <c r="W1147" s="214"/>
      <c r="X1147" s="214"/>
      <c r="Y1147" s="214"/>
      <c r="Z1147" s="214"/>
      <c r="AA1147" s="214"/>
      <c r="AB1147" s="214"/>
      <c r="AC1147" s="214"/>
    </row>
    <row r="1148">
      <c r="A1148" s="222"/>
      <c r="D1148" s="271" t="s">
        <v>162</v>
      </c>
      <c r="E1148" s="271">
        <v>2.0</v>
      </c>
      <c r="F1148" s="272"/>
      <c r="G1148" s="272"/>
      <c r="H1148" s="273" t="s">
        <v>164</v>
      </c>
      <c r="I1148" s="274" t="s">
        <v>163</v>
      </c>
      <c r="J1148" s="214"/>
      <c r="K1148" s="214"/>
      <c r="L1148" s="214"/>
      <c r="M1148" s="214"/>
      <c r="N1148" s="214"/>
      <c r="O1148" s="214"/>
      <c r="P1148" s="214"/>
      <c r="Q1148" s="214"/>
      <c r="R1148" s="214"/>
      <c r="S1148" s="214"/>
      <c r="T1148" s="214"/>
      <c r="U1148" s="214"/>
      <c r="V1148" s="214"/>
      <c r="W1148" s="214"/>
      <c r="X1148" s="214"/>
      <c r="Y1148" s="214"/>
      <c r="Z1148" s="214"/>
      <c r="AA1148" s="214"/>
      <c r="AB1148" s="214"/>
      <c r="AC1148" s="214"/>
    </row>
    <row r="1149">
      <c r="A1149" s="236"/>
      <c r="B1149" s="237"/>
      <c r="C1149" s="237"/>
      <c r="D1149" s="232" t="s">
        <v>134</v>
      </c>
      <c r="E1149" s="232">
        <v>1.0</v>
      </c>
      <c r="F1149" s="254"/>
      <c r="G1149" s="233"/>
      <c r="H1149" s="234" t="s">
        <v>135</v>
      </c>
      <c r="I1149" s="235" t="s">
        <v>105</v>
      </c>
      <c r="J1149" s="214"/>
      <c r="K1149" s="214"/>
      <c r="L1149" s="214"/>
      <c r="M1149" s="214"/>
      <c r="N1149" s="214"/>
      <c r="O1149" s="214"/>
      <c r="P1149" s="214"/>
      <c r="Q1149" s="214"/>
      <c r="R1149" s="214"/>
      <c r="S1149" s="214"/>
      <c r="T1149" s="214"/>
      <c r="U1149" s="214"/>
      <c r="V1149" s="214"/>
      <c r="W1149" s="214"/>
      <c r="X1149" s="214"/>
      <c r="Y1149" s="214"/>
      <c r="Z1149" s="214"/>
      <c r="AA1149" s="214"/>
      <c r="AB1149" s="214"/>
      <c r="AC1149" s="214"/>
    </row>
    <row r="1150">
      <c r="A1150" s="242" t="s">
        <v>771</v>
      </c>
      <c r="B1150" s="243" t="s">
        <v>772</v>
      </c>
      <c r="C1150" s="416">
        <f>sum(E1150:E1152)</f>
        <v>6</v>
      </c>
      <c r="D1150" s="308" t="s">
        <v>120</v>
      </c>
      <c r="E1150" s="308">
        <v>1.0</v>
      </c>
      <c r="F1150" s="309"/>
      <c r="G1150" s="309"/>
      <c r="H1150" s="310" t="s">
        <v>289</v>
      </c>
      <c r="I1150" s="311" t="s">
        <v>105</v>
      </c>
      <c r="J1150" s="214"/>
      <c r="K1150" s="214"/>
      <c r="L1150" s="214"/>
      <c r="M1150" s="214"/>
      <c r="N1150" s="214"/>
      <c r="O1150" s="214"/>
      <c r="P1150" s="214"/>
      <c r="Q1150" s="214"/>
      <c r="R1150" s="214"/>
      <c r="S1150" s="214"/>
      <c r="T1150" s="214"/>
      <c r="U1150" s="214"/>
      <c r="V1150" s="214"/>
      <c r="W1150" s="214"/>
      <c r="X1150" s="214"/>
      <c r="Y1150" s="214"/>
      <c r="Z1150" s="214"/>
      <c r="AA1150" s="214"/>
      <c r="AB1150" s="214"/>
      <c r="AC1150" s="214"/>
    </row>
    <row r="1151">
      <c r="A1151" s="222"/>
      <c r="D1151" s="369" t="s">
        <v>22</v>
      </c>
      <c r="E1151" s="369">
        <v>2.0</v>
      </c>
      <c r="F1151" s="371"/>
      <c r="G1151" s="371"/>
      <c r="H1151" s="372" t="s">
        <v>265</v>
      </c>
      <c r="I1151" s="373" t="s">
        <v>23</v>
      </c>
      <c r="J1151" s="214"/>
      <c r="K1151" s="214"/>
      <c r="L1151" s="214"/>
      <c r="M1151" s="214"/>
      <c r="N1151" s="214"/>
      <c r="O1151" s="214"/>
      <c r="P1151" s="214"/>
      <c r="Q1151" s="214"/>
      <c r="R1151" s="214"/>
      <c r="S1151" s="214"/>
      <c r="T1151" s="214"/>
      <c r="U1151" s="214"/>
      <c r="V1151" s="214"/>
      <c r="W1151" s="214"/>
      <c r="X1151" s="214"/>
      <c r="Y1151" s="214"/>
      <c r="Z1151" s="214"/>
      <c r="AA1151" s="214"/>
      <c r="AB1151" s="214"/>
      <c r="AC1151" s="214"/>
    </row>
    <row r="1152">
      <c r="A1152" s="236"/>
      <c r="B1152" s="237"/>
      <c r="C1152" s="237"/>
      <c r="D1152" s="287" t="s">
        <v>773</v>
      </c>
      <c r="E1152" s="287">
        <v>3.0</v>
      </c>
      <c r="F1152" s="288"/>
      <c r="G1152" s="288"/>
      <c r="H1152" s="289" t="s">
        <v>774</v>
      </c>
      <c r="I1152" s="290" t="s">
        <v>105</v>
      </c>
      <c r="J1152" s="214"/>
      <c r="K1152" s="214"/>
      <c r="L1152" s="214"/>
      <c r="M1152" s="214"/>
      <c r="N1152" s="214"/>
      <c r="O1152" s="214"/>
      <c r="P1152" s="214"/>
      <c r="Q1152" s="214"/>
      <c r="R1152" s="214"/>
      <c r="S1152" s="214"/>
      <c r="T1152" s="214"/>
      <c r="U1152" s="214"/>
      <c r="V1152" s="214"/>
      <c r="W1152" s="214"/>
      <c r="X1152" s="214"/>
      <c r="Y1152" s="214"/>
      <c r="Z1152" s="214"/>
      <c r="AA1152" s="214"/>
      <c r="AB1152" s="214"/>
      <c r="AC1152" s="214"/>
    </row>
    <row r="1153">
      <c r="A1153" s="408" t="s">
        <v>775</v>
      </c>
      <c r="B1153" s="422" t="s">
        <v>776</v>
      </c>
      <c r="C1153" s="532">
        <f>sum(E1153:E1156)</f>
        <v>6</v>
      </c>
      <c r="D1153" s="260" t="s">
        <v>91</v>
      </c>
      <c r="E1153" s="260">
        <v>1.0</v>
      </c>
      <c r="F1153" s="261"/>
      <c r="G1153" s="261"/>
      <c r="H1153" s="463" t="s">
        <v>92</v>
      </c>
      <c r="I1153" s="263" t="s">
        <v>65</v>
      </c>
      <c r="J1153" s="214"/>
      <c r="K1153" s="214"/>
      <c r="L1153" s="214"/>
      <c r="M1153" s="214"/>
      <c r="N1153" s="214"/>
      <c r="O1153" s="214"/>
      <c r="P1153" s="214"/>
      <c r="Q1153" s="214"/>
      <c r="R1153" s="214"/>
      <c r="S1153" s="214"/>
      <c r="T1153" s="214"/>
      <c r="U1153" s="214"/>
      <c r="V1153" s="214"/>
      <c r="W1153" s="214"/>
      <c r="X1153" s="214"/>
      <c r="Y1153" s="214"/>
      <c r="Z1153" s="214"/>
      <c r="AA1153" s="214"/>
      <c r="AB1153" s="214"/>
      <c r="AC1153" s="214"/>
    </row>
    <row r="1154">
      <c r="A1154" s="222"/>
      <c r="D1154" s="369" t="s">
        <v>26</v>
      </c>
      <c r="E1154" s="369">
        <v>1.0</v>
      </c>
      <c r="F1154" s="370"/>
      <c r="G1154" s="370"/>
      <c r="H1154" s="372" t="s">
        <v>27</v>
      </c>
      <c r="I1154" s="424" t="s">
        <v>23</v>
      </c>
      <c r="J1154" s="214"/>
      <c r="K1154" s="214"/>
      <c r="L1154" s="214"/>
      <c r="M1154" s="214"/>
      <c r="N1154" s="214"/>
      <c r="O1154" s="214"/>
      <c r="P1154" s="214"/>
      <c r="Q1154" s="214"/>
      <c r="R1154" s="214"/>
      <c r="S1154" s="214"/>
      <c r="T1154" s="214"/>
      <c r="U1154" s="214"/>
      <c r="V1154" s="214"/>
      <c r="W1154" s="214"/>
      <c r="X1154" s="214"/>
      <c r="Y1154" s="214"/>
      <c r="Z1154" s="214"/>
      <c r="AA1154" s="214"/>
      <c r="AB1154" s="214"/>
      <c r="AC1154" s="214"/>
    </row>
    <row r="1155">
      <c r="A1155" s="222"/>
      <c r="D1155" s="271" t="s">
        <v>162</v>
      </c>
      <c r="E1155" s="271">
        <v>2.0</v>
      </c>
      <c r="F1155" s="272"/>
      <c r="G1155" s="272"/>
      <c r="H1155" s="273" t="s">
        <v>164</v>
      </c>
      <c r="I1155" s="393" t="s">
        <v>163</v>
      </c>
      <c r="J1155" s="214"/>
      <c r="K1155" s="214"/>
      <c r="L1155" s="214"/>
      <c r="M1155" s="214"/>
      <c r="N1155" s="214"/>
      <c r="O1155" s="214"/>
      <c r="P1155" s="214"/>
      <c r="Q1155" s="214"/>
      <c r="R1155" s="214"/>
      <c r="S1155" s="214"/>
      <c r="T1155" s="214"/>
      <c r="U1155" s="214"/>
      <c r="V1155" s="214"/>
      <c r="W1155" s="214"/>
      <c r="X1155" s="214"/>
      <c r="Y1155" s="214"/>
      <c r="Z1155" s="214"/>
      <c r="AA1155" s="214"/>
      <c r="AB1155" s="214"/>
      <c r="AC1155" s="214"/>
    </row>
    <row r="1156">
      <c r="A1156" s="236"/>
      <c r="B1156" s="237"/>
      <c r="C1156" s="237"/>
      <c r="D1156" s="351" t="s">
        <v>150</v>
      </c>
      <c r="E1156" s="351">
        <v>2.0</v>
      </c>
      <c r="F1156" s="436"/>
      <c r="G1156" s="321"/>
      <c r="H1156" s="352" t="s">
        <v>151</v>
      </c>
      <c r="I1156" s="607" t="s">
        <v>144</v>
      </c>
      <c r="J1156" s="214"/>
      <c r="K1156" s="214"/>
      <c r="L1156" s="214"/>
      <c r="M1156" s="214"/>
      <c r="N1156" s="214"/>
      <c r="O1156" s="214"/>
      <c r="P1156" s="214"/>
      <c r="Q1156" s="214"/>
      <c r="R1156" s="214"/>
      <c r="S1156" s="214"/>
      <c r="T1156" s="214"/>
      <c r="U1156" s="214"/>
      <c r="V1156" s="214"/>
      <c r="W1156" s="214"/>
      <c r="X1156" s="214"/>
      <c r="Y1156" s="214"/>
      <c r="Z1156" s="214"/>
      <c r="AA1156" s="214"/>
      <c r="AB1156" s="214"/>
      <c r="AC1156" s="214"/>
    </row>
    <row r="1157">
      <c r="A1157" s="242" t="s">
        <v>777</v>
      </c>
      <c r="B1157" s="243" t="s">
        <v>778</v>
      </c>
      <c r="C1157" s="416">
        <f>sum(E1157:E1159)</f>
        <v>6</v>
      </c>
      <c r="D1157" s="245" t="s">
        <v>49</v>
      </c>
      <c r="E1157" s="245">
        <v>2.0</v>
      </c>
      <c r="F1157" s="246"/>
      <c r="G1157" s="246"/>
      <c r="H1157" s="247" t="s">
        <v>50</v>
      </c>
      <c r="I1157" s="248" t="s">
        <v>43</v>
      </c>
      <c r="J1157" s="214"/>
      <c r="K1157" s="214"/>
      <c r="L1157" s="214"/>
      <c r="M1157" s="214"/>
      <c r="N1157" s="214"/>
      <c r="O1157" s="214"/>
      <c r="P1157" s="214"/>
      <c r="Q1157" s="214"/>
      <c r="R1157" s="214"/>
      <c r="S1157" s="214"/>
      <c r="T1157" s="214"/>
      <c r="U1157" s="214"/>
      <c r="V1157" s="214"/>
      <c r="W1157" s="214"/>
      <c r="X1157" s="214"/>
      <c r="Y1157" s="214"/>
      <c r="Z1157" s="214"/>
      <c r="AA1157" s="214"/>
      <c r="AB1157" s="214"/>
      <c r="AC1157" s="214"/>
    </row>
    <row r="1158">
      <c r="A1158" s="222"/>
      <c r="D1158" s="227" t="s">
        <v>11</v>
      </c>
      <c r="E1158" s="227">
        <v>2.0</v>
      </c>
      <c r="F1158" s="327"/>
      <c r="G1158" s="327"/>
      <c r="H1158" s="229" t="s">
        <v>294</v>
      </c>
      <c r="I1158" s="392" t="s">
        <v>7</v>
      </c>
      <c r="J1158" s="214"/>
      <c r="K1158" s="214"/>
      <c r="L1158" s="214"/>
      <c r="M1158" s="214"/>
      <c r="N1158" s="214"/>
      <c r="O1158" s="214"/>
      <c r="P1158" s="214"/>
      <c r="Q1158" s="214"/>
      <c r="R1158" s="214"/>
      <c r="S1158" s="214"/>
      <c r="T1158" s="214"/>
      <c r="U1158" s="214"/>
      <c r="V1158" s="214"/>
      <c r="W1158" s="214"/>
      <c r="X1158" s="214"/>
      <c r="Y1158" s="214"/>
      <c r="Z1158" s="214"/>
      <c r="AA1158" s="214"/>
      <c r="AB1158" s="214"/>
      <c r="AC1158" s="214"/>
    </row>
    <row r="1159">
      <c r="A1159" s="236"/>
      <c r="B1159" s="237"/>
      <c r="C1159" s="237"/>
      <c r="D1159" s="430" t="s">
        <v>97</v>
      </c>
      <c r="E1159" s="430">
        <v>2.0</v>
      </c>
      <c r="F1159" s="450"/>
      <c r="G1159" s="431"/>
      <c r="H1159" s="432" t="s">
        <v>99</v>
      </c>
      <c r="I1159" s="433" t="s">
        <v>98</v>
      </c>
      <c r="J1159" s="214"/>
      <c r="K1159" s="214"/>
      <c r="L1159" s="214"/>
      <c r="M1159" s="214"/>
      <c r="N1159" s="214"/>
      <c r="O1159" s="214"/>
      <c r="P1159" s="214"/>
      <c r="Q1159" s="214"/>
      <c r="R1159" s="214"/>
      <c r="S1159" s="214"/>
      <c r="T1159" s="214"/>
      <c r="U1159" s="214"/>
      <c r="V1159" s="214"/>
      <c r="W1159" s="214"/>
      <c r="X1159" s="214"/>
      <c r="Y1159" s="214"/>
      <c r="Z1159" s="214"/>
      <c r="AA1159" s="214"/>
      <c r="AB1159" s="214"/>
      <c r="AC1159" s="214"/>
    </row>
    <row r="1160">
      <c r="A1160" s="242" t="s">
        <v>779</v>
      </c>
      <c r="B1160" s="216" t="s">
        <v>780</v>
      </c>
      <c r="C1160" s="416">
        <f>sum(E1160:E1163)</f>
        <v>6</v>
      </c>
      <c r="D1160" s="535" t="s">
        <v>159</v>
      </c>
      <c r="E1160" s="535">
        <v>1.0</v>
      </c>
      <c r="F1160" s="525"/>
      <c r="G1160" s="522"/>
      <c r="H1160" s="536" t="s">
        <v>160</v>
      </c>
      <c r="I1160" s="538" t="s">
        <v>144</v>
      </c>
      <c r="J1160" s="214"/>
      <c r="K1160" s="214"/>
      <c r="L1160" s="214"/>
      <c r="M1160" s="214"/>
      <c r="N1160" s="214"/>
      <c r="O1160" s="214"/>
      <c r="P1160" s="214"/>
      <c r="Q1160" s="214"/>
      <c r="R1160" s="214"/>
      <c r="S1160" s="214"/>
      <c r="T1160" s="214"/>
      <c r="U1160" s="214"/>
      <c r="V1160" s="214"/>
      <c r="W1160" s="214"/>
      <c r="X1160" s="214"/>
      <c r="Y1160" s="214"/>
      <c r="Z1160" s="214"/>
      <c r="AA1160" s="214"/>
      <c r="AB1160" s="214"/>
      <c r="AC1160" s="214"/>
    </row>
    <row r="1161">
      <c r="A1161" s="222"/>
      <c r="D1161" s="271" t="s">
        <v>162</v>
      </c>
      <c r="E1161" s="271">
        <v>2.0</v>
      </c>
      <c r="F1161" s="317"/>
      <c r="G1161" s="272"/>
      <c r="H1161" s="273" t="s">
        <v>164</v>
      </c>
      <c r="I1161" s="274" t="s">
        <v>163</v>
      </c>
      <c r="J1161" s="214"/>
      <c r="K1161" s="214"/>
      <c r="L1161" s="214"/>
      <c r="M1161" s="214"/>
      <c r="N1161" s="214"/>
      <c r="O1161" s="214"/>
      <c r="P1161" s="214"/>
      <c r="Q1161" s="214"/>
      <c r="R1161" s="214"/>
      <c r="S1161" s="214"/>
      <c r="T1161" s="214"/>
      <c r="U1161" s="214"/>
      <c r="V1161" s="214"/>
      <c r="W1161" s="214"/>
      <c r="X1161" s="214"/>
      <c r="Y1161" s="214"/>
      <c r="Z1161" s="214"/>
      <c r="AA1161" s="214"/>
      <c r="AB1161" s="214"/>
      <c r="AC1161" s="214"/>
    </row>
    <row r="1162">
      <c r="A1162" s="222"/>
      <c r="D1162" s="339" t="s">
        <v>104</v>
      </c>
      <c r="E1162" s="339">
        <v>2.0</v>
      </c>
      <c r="F1162" s="254"/>
      <c r="G1162" s="233"/>
      <c r="H1162" s="340" t="s">
        <v>106</v>
      </c>
      <c r="I1162" s="298" t="s">
        <v>105</v>
      </c>
      <c r="J1162" s="214"/>
      <c r="K1162" s="214"/>
      <c r="L1162" s="214"/>
      <c r="M1162" s="214"/>
      <c r="N1162" s="214"/>
      <c r="O1162" s="214"/>
      <c r="P1162" s="214"/>
      <c r="Q1162" s="214"/>
      <c r="R1162" s="214"/>
      <c r="S1162" s="214"/>
      <c r="T1162" s="214"/>
      <c r="U1162" s="214"/>
      <c r="V1162" s="214"/>
      <c r="W1162" s="214"/>
      <c r="X1162" s="214"/>
      <c r="Y1162" s="214"/>
      <c r="Z1162" s="214"/>
      <c r="AA1162" s="214"/>
      <c r="AB1162" s="214"/>
      <c r="AC1162" s="214"/>
    </row>
    <row r="1163">
      <c r="A1163" s="236"/>
      <c r="B1163" s="237"/>
      <c r="C1163" s="237"/>
      <c r="D1163" s="287" t="s">
        <v>120</v>
      </c>
      <c r="E1163" s="287">
        <v>1.0</v>
      </c>
      <c r="F1163" s="404"/>
      <c r="G1163" s="404"/>
      <c r="H1163" s="289" t="s">
        <v>121</v>
      </c>
      <c r="I1163" s="290" t="s">
        <v>105</v>
      </c>
      <c r="J1163" s="214"/>
      <c r="K1163" s="214"/>
      <c r="L1163" s="214"/>
      <c r="M1163" s="214"/>
      <c r="N1163" s="214"/>
      <c r="O1163" s="214"/>
      <c r="P1163" s="214"/>
      <c r="Q1163" s="214"/>
      <c r="R1163" s="214"/>
      <c r="S1163" s="214"/>
      <c r="T1163" s="214"/>
      <c r="U1163" s="214"/>
      <c r="V1163" s="214"/>
      <c r="W1163" s="214"/>
      <c r="X1163" s="214"/>
      <c r="Y1163" s="214"/>
      <c r="Z1163" s="214"/>
      <c r="AA1163" s="214"/>
      <c r="AB1163" s="214"/>
      <c r="AC1163" s="214"/>
    </row>
    <row r="1164">
      <c r="A1164" s="242" t="s">
        <v>781</v>
      </c>
      <c r="B1164" s="243" t="s">
        <v>782</v>
      </c>
      <c r="C1164" s="416">
        <f>sum(E1164:E1168)</f>
        <v>6</v>
      </c>
      <c r="D1164" s="515" t="s">
        <v>85</v>
      </c>
      <c r="E1164" s="515">
        <v>1.0</v>
      </c>
      <c r="F1164" s="293"/>
      <c r="G1164" s="324"/>
      <c r="H1164" s="584" t="s">
        <v>86</v>
      </c>
      <c r="I1164" s="332" t="s">
        <v>65</v>
      </c>
      <c r="J1164" s="214"/>
      <c r="K1164" s="214"/>
      <c r="L1164" s="214"/>
      <c r="M1164" s="214"/>
      <c r="N1164" s="214"/>
      <c r="O1164" s="214"/>
      <c r="P1164" s="214"/>
      <c r="Q1164" s="214"/>
      <c r="R1164" s="214"/>
      <c r="S1164" s="214"/>
      <c r="T1164" s="214"/>
      <c r="U1164" s="214"/>
      <c r="V1164" s="214"/>
      <c r="W1164" s="214"/>
      <c r="X1164" s="214"/>
      <c r="Y1164" s="214"/>
      <c r="Z1164" s="214"/>
      <c r="AA1164" s="214"/>
      <c r="AB1164" s="214"/>
      <c r="AC1164" s="214"/>
    </row>
    <row r="1165">
      <c r="A1165" s="222"/>
      <c r="D1165" s="232" t="s">
        <v>104</v>
      </c>
      <c r="E1165" s="232">
        <v>2.0</v>
      </c>
      <c r="F1165" s="233"/>
      <c r="G1165" s="233"/>
      <c r="H1165" s="234" t="s">
        <v>106</v>
      </c>
      <c r="I1165" s="235" t="s">
        <v>105</v>
      </c>
      <c r="J1165" s="214"/>
      <c r="K1165" s="214"/>
      <c r="L1165" s="214"/>
      <c r="M1165" s="214"/>
      <c r="N1165" s="214"/>
      <c r="O1165" s="214"/>
      <c r="P1165" s="214"/>
      <c r="Q1165" s="214"/>
      <c r="R1165" s="214"/>
      <c r="S1165" s="214"/>
      <c r="T1165" s="214"/>
      <c r="U1165" s="214"/>
      <c r="V1165" s="214"/>
      <c r="W1165" s="214"/>
      <c r="X1165" s="214"/>
      <c r="Y1165" s="214"/>
      <c r="Z1165" s="214"/>
      <c r="AA1165" s="214"/>
      <c r="AB1165" s="214"/>
      <c r="AC1165" s="214"/>
    </row>
    <row r="1166">
      <c r="A1166" s="222"/>
      <c r="D1166" s="232" t="s">
        <v>131</v>
      </c>
      <c r="E1166" s="232">
        <v>1.0</v>
      </c>
      <c r="F1166" s="254"/>
      <c r="G1166" s="254"/>
      <c r="H1166" s="234" t="s">
        <v>132</v>
      </c>
      <c r="I1166" s="298" t="s">
        <v>105</v>
      </c>
      <c r="J1166" s="214"/>
      <c r="K1166" s="214"/>
      <c r="L1166" s="214"/>
      <c r="M1166" s="214"/>
      <c r="N1166" s="214"/>
      <c r="O1166" s="214"/>
      <c r="P1166" s="214"/>
      <c r="Q1166" s="214"/>
      <c r="R1166" s="214"/>
      <c r="S1166" s="214"/>
      <c r="T1166" s="214"/>
      <c r="U1166" s="214"/>
      <c r="V1166" s="214"/>
      <c r="W1166" s="214"/>
      <c r="X1166" s="214"/>
      <c r="Y1166" s="214"/>
      <c r="Z1166" s="214"/>
      <c r="AA1166" s="214"/>
      <c r="AB1166" s="214"/>
      <c r="AC1166" s="214"/>
    </row>
    <row r="1167">
      <c r="A1167" s="222"/>
      <c r="D1167" s="299" t="s">
        <v>159</v>
      </c>
      <c r="E1167" s="299">
        <v>1.0</v>
      </c>
      <c r="F1167" s="250"/>
      <c r="G1167" s="250"/>
      <c r="H1167" s="312" t="s">
        <v>160</v>
      </c>
      <c r="I1167" s="253" t="s">
        <v>144</v>
      </c>
      <c r="J1167" s="214"/>
      <c r="K1167" s="214"/>
      <c r="L1167" s="214"/>
      <c r="M1167" s="214"/>
      <c r="N1167" s="214"/>
      <c r="O1167" s="214"/>
      <c r="P1167" s="214"/>
      <c r="Q1167" s="214"/>
      <c r="R1167" s="214"/>
      <c r="S1167" s="214"/>
      <c r="T1167" s="214"/>
      <c r="U1167" s="214"/>
      <c r="V1167" s="214"/>
      <c r="W1167" s="214"/>
      <c r="X1167" s="214"/>
      <c r="Y1167" s="214"/>
      <c r="Z1167" s="214"/>
      <c r="AA1167" s="214"/>
      <c r="AB1167" s="214"/>
      <c r="AC1167" s="214"/>
    </row>
    <row r="1168">
      <c r="A1168" s="236"/>
      <c r="B1168" s="237"/>
      <c r="C1168" s="237"/>
      <c r="D1168" s="302" t="s">
        <v>52</v>
      </c>
      <c r="E1168" s="302">
        <v>1.0</v>
      </c>
      <c r="F1168" s="564"/>
      <c r="G1168" s="303"/>
      <c r="H1168" s="304" t="s">
        <v>53</v>
      </c>
      <c r="I1168" s="485" t="s">
        <v>43</v>
      </c>
      <c r="J1168" s="214"/>
      <c r="K1168" s="214"/>
      <c r="L1168" s="214"/>
      <c r="M1168" s="214"/>
      <c r="N1168" s="214"/>
      <c r="O1168" s="214"/>
      <c r="P1168" s="214"/>
      <c r="Q1168" s="214"/>
      <c r="R1168" s="214"/>
      <c r="S1168" s="214"/>
      <c r="T1168" s="214"/>
      <c r="U1168" s="214"/>
      <c r="V1168" s="214"/>
      <c r="W1168" s="214"/>
      <c r="X1168" s="214"/>
      <c r="Y1168" s="214"/>
      <c r="Z1168" s="214"/>
      <c r="AA1168" s="214"/>
      <c r="AB1168" s="214"/>
      <c r="AC1168" s="214"/>
    </row>
    <row r="1169">
      <c r="A1169" s="242" t="s">
        <v>783</v>
      </c>
      <c r="B1169" s="243" t="s">
        <v>550</v>
      </c>
      <c r="C1169" s="416">
        <f>sum(E1169:E1171)</f>
        <v>6</v>
      </c>
      <c r="D1169" s="335" t="s">
        <v>162</v>
      </c>
      <c r="E1169" s="335">
        <v>2.0</v>
      </c>
      <c r="F1169" s="354"/>
      <c r="G1169" s="354"/>
      <c r="H1169" s="337" t="s">
        <v>164</v>
      </c>
      <c r="I1169" s="355" t="s">
        <v>163</v>
      </c>
      <c r="J1169" s="214"/>
      <c r="K1169" s="214"/>
      <c r="L1169" s="214"/>
      <c r="M1169" s="214"/>
      <c r="N1169" s="214"/>
      <c r="O1169" s="214"/>
      <c r="P1169" s="214"/>
      <c r="Q1169" s="214"/>
      <c r="R1169" s="214"/>
      <c r="S1169" s="214"/>
      <c r="T1169" s="214"/>
      <c r="U1169" s="214"/>
      <c r="V1169" s="214"/>
      <c r="W1169" s="214"/>
      <c r="X1169" s="214"/>
      <c r="Y1169" s="214"/>
      <c r="Z1169" s="214"/>
      <c r="AA1169" s="214"/>
      <c r="AB1169" s="214"/>
      <c r="AC1169" s="214"/>
    </row>
    <row r="1170">
      <c r="A1170" s="222"/>
      <c r="D1170" s="286" t="s">
        <v>64</v>
      </c>
      <c r="E1170" s="286">
        <v>3.0</v>
      </c>
      <c r="F1170" s="318"/>
      <c r="G1170" s="261"/>
      <c r="H1170" s="262" t="s">
        <v>66</v>
      </c>
      <c r="I1170" s="263" t="s">
        <v>65</v>
      </c>
      <c r="J1170" s="214"/>
      <c r="K1170" s="214"/>
      <c r="L1170" s="214"/>
      <c r="M1170" s="214"/>
      <c r="N1170" s="214"/>
      <c r="O1170" s="214"/>
      <c r="P1170" s="214"/>
      <c r="Q1170" s="214"/>
      <c r="R1170" s="214"/>
      <c r="S1170" s="214"/>
      <c r="T1170" s="214"/>
      <c r="U1170" s="214"/>
      <c r="V1170" s="214"/>
      <c r="W1170" s="214"/>
      <c r="X1170" s="214"/>
      <c r="Y1170" s="214"/>
      <c r="Z1170" s="214"/>
      <c r="AA1170" s="214"/>
      <c r="AB1170" s="214"/>
      <c r="AC1170" s="214"/>
    </row>
    <row r="1171">
      <c r="A1171" s="236"/>
      <c r="B1171" s="237"/>
      <c r="C1171" s="237"/>
      <c r="D1171" s="232" t="s">
        <v>120</v>
      </c>
      <c r="E1171" s="232">
        <v>1.0</v>
      </c>
      <c r="F1171" s="233"/>
      <c r="G1171" s="233"/>
      <c r="H1171" s="234" t="s">
        <v>289</v>
      </c>
      <c r="I1171" s="235" t="s">
        <v>105</v>
      </c>
      <c r="J1171" s="214"/>
      <c r="K1171" s="214"/>
      <c r="L1171" s="214"/>
      <c r="M1171" s="214"/>
      <c r="N1171" s="214"/>
      <c r="O1171" s="214"/>
      <c r="P1171" s="214"/>
      <c r="Q1171" s="214"/>
      <c r="R1171" s="214"/>
      <c r="S1171" s="214"/>
      <c r="T1171" s="214"/>
      <c r="U1171" s="214"/>
      <c r="V1171" s="214"/>
      <c r="W1171" s="214"/>
      <c r="X1171" s="214"/>
      <c r="Y1171" s="214"/>
      <c r="Z1171" s="214"/>
      <c r="AA1171" s="214"/>
      <c r="AB1171" s="214"/>
      <c r="AC1171" s="214"/>
    </row>
    <row r="1172">
      <c r="A1172" s="242" t="s">
        <v>784</v>
      </c>
      <c r="B1172" s="216" t="s">
        <v>785</v>
      </c>
      <c r="C1172" s="416">
        <f>sum(E1172:E1176)</f>
        <v>6</v>
      </c>
      <c r="D1172" s="512" t="s">
        <v>39</v>
      </c>
      <c r="E1172" s="512">
        <v>1.0</v>
      </c>
      <c r="F1172" s="488"/>
      <c r="G1172" s="489"/>
      <c r="H1172" s="513" t="s">
        <v>40</v>
      </c>
      <c r="I1172" s="514" t="s">
        <v>30</v>
      </c>
      <c r="J1172" s="214"/>
      <c r="K1172" s="214"/>
      <c r="L1172" s="214"/>
      <c r="M1172" s="214"/>
      <c r="N1172" s="214"/>
      <c r="O1172" s="214"/>
      <c r="P1172" s="214"/>
      <c r="Q1172" s="214"/>
      <c r="R1172" s="214"/>
      <c r="S1172" s="214"/>
      <c r="T1172" s="214"/>
      <c r="U1172" s="214"/>
      <c r="V1172" s="214"/>
      <c r="W1172" s="214"/>
      <c r="X1172" s="214"/>
      <c r="Y1172" s="214"/>
      <c r="Z1172" s="214"/>
      <c r="AA1172" s="214"/>
      <c r="AB1172" s="214"/>
      <c r="AC1172" s="214"/>
    </row>
    <row r="1173">
      <c r="A1173" s="222"/>
      <c r="D1173" s="279" t="s">
        <v>42</v>
      </c>
      <c r="E1173" s="279">
        <v>2.0</v>
      </c>
      <c r="F1173" s="280"/>
      <c r="G1173" s="280"/>
      <c r="H1173" s="281" t="s">
        <v>44</v>
      </c>
      <c r="I1173" s="528" t="s">
        <v>43</v>
      </c>
      <c r="J1173" s="214"/>
      <c r="K1173" s="214"/>
      <c r="L1173" s="214"/>
      <c r="M1173" s="214"/>
      <c r="N1173" s="214"/>
      <c r="O1173" s="214"/>
      <c r="P1173" s="214"/>
      <c r="Q1173" s="214"/>
      <c r="R1173" s="214"/>
      <c r="S1173" s="214"/>
      <c r="T1173" s="214"/>
      <c r="U1173" s="214"/>
      <c r="V1173" s="214"/>
      <c r="W1173" s="214"/>
      <c r="X1173" s="214"/>
      <c r="Y1173" s="214"/>
      <c r="Z1173" s="214"/>
      <c r="AA1173" s="214"/>
      <c r="AB1173" s="214"/>
      <c r="AC1173" s="214"/>
    </row>
    <row r="1174">
      <c r="A1174" s="222"/>
      <c r="D1174" s="402" t="s">
        <v>172</v>
      </c>
      <c r="E1174" s="402">
        <v>1.0</v>
      </c>
      <c r="F1174" s="317"/>
      <c r="G1174" s="272"/>
      <c r="H1174" s="403" t="s">
        <v>389</v>
      </c>
      <c r="I1174" s="393" t="s">
        <v>163</v>
      </c>
      <c r="J1174" s="214"/>
      <c r="K1174" s="214"/>
      <c r="L1174" s="214"/>
      <c r="M1174" s="214"/>
      <c r="N1174" s="214"/>
      <c r="O1174" s="214"/>
      <c r="P1174" s="214"/>
      <c r="Q1174" s="214"/>
      <c r="R1174" s="214"/>
      <c r="S1174" s="214"/>
      <c r="T1174" s="214"/>
      <c r="U1174" s="214"/>
      <c r="V1174" s="214"/>
      <c r="W1174" s="214"/>
      <c r="X1174" s="214"/>
      <c r="Y1174" s="214"/>
      <c r="Z1174" s="214"/>
      <c r="AA1174" s="214"/>
      <c r="AB1174" s="214"/>
      <c r="AC1174" s="214"/>
    </row>
    <row r="1175">
      <c r="A1175" s="222"/>
      <c r="D1175" s="232" t="s">
        <v>111</v>
      </c>
      <c r="E1175" s="232">
        <v>1.0</v>
      </c>
      <c r="F1175" s="254"/>
      <c r="G1175" s="233"/>
      <c r="H1175" s="234" t="s">
        <v>112</v>
      </c>
      <c r="I1175" s="516" t="s">
        <v>105</v>
      </c>
      <c r="J1175" s="214"/>
      <c r="K1175" s="214"/>
      <c r="L1175" s="214"/>
      <c r="M1175" s="214"/>
      <c r="N1175" s="214"/>
      <c r="O1175" s="214"/>
      <c r="P1175" s="214"/>
      <c r="Q1175" s="214"/>
      <c r="R1175" s="214"/>
      <c r="S1175" s="214"/>
      <c r="T1175" s="214"/>
      <c r="U1175" s="214"/>
      <c r="V1175" s="214"/>
      <c r="W1175" s="214"/>
      <c r="X1175" s="214"/>
      <c r="Y1175" s="214"/>
      <c r="Z1175" s="214"/>
      <c r="AA1175" s="214"/>
      <c r="AB1175" s="214"/>
      <c r="AC1175" s="214"/>
    </row>
    <row r="1176">
      <c r="A1176" s="236"/>
      <c r="B1176" s="237"/>
      <c r="C1176" s="237"/>
      <c r="D1176" s="287" t="s">
        <v>123</v>
      </c>
      <c r="E1176" s="287">
        <v>1.0</v>
      </c>
      <c r="F1176" s="288"/>
      <c r="G1176" s="288"/>
      <c r="H1176" s="289" t="s">
        <v>124</v>
      </c>
      <c r="I1176" s="290" t="s">
        <v>105</v>
      </c>
      <c r="J1176" s="214"/>
      <c r="K1176" s="214"/>
      <c r="L1176" s="214"/>
      <c r="M1176" s="214"/>
      <c r="N1176" s="214"/>
      <c r="O1176" s="214"/>
      <c r="P1176" s="214"/>
      <c r="Q1176" s="214"/>
      <c r="R1176" s="214"/>
      <c r="S1176" s="214"/>
      <c r="T1176" s="214"/>
      <c r="U1176" s="214"/>
      <c r="V1176" s="214"/>
      <c r="W1176" s="214"/>
      <c r="X1176" s="214"/>
      <c r="Y1176" s="214"/>
      <c r="Z1176" s="214"/>
      <c r="AA1176" s="214"/>
      <c r="AB1176" s="214"/>
      <c r="AC1176" s="214"/>
    </row>
    <row r="1177">
      <c r="A1177" s="408" t="s">
        <v>786</v>
      </c>
      <c r="B1177" s="409" t="s">
        <v>518</v>
      </c>
      <c r="C1177" s="532">
        <f>sum(E1177:E1179)</f>
        <v>6</v>
      </c>
      <c r="D1177" s="286" t="s">
        <v>229</v>
      </c>
      <c r="E1177" s="286">
        <v>2.0</v>
      </c>
      <c r="F1177" s="261"/>
      <c r="G1177" s="261"/>
      <c r="H1177" s="262" t="s">
        <v>69</v>
      </c>
      <c r="I1177" s="263" t="s">
        <v>65</v>
      </c>
      <c r="J1177" s="214"/>
      <c r="K1177" s="214"/>
      <c r="L1177" s="214"/>
      <c r="M1177" s="214"/>
      <c r="N1177" s="214"/>
      <c r="O1177" s="214"/>
      <c r="P1177" s="214"/>
      <c r="Q1177" s="214"/>
      <c r="R1177" s="214"/>
      <c r="S1177" s="214"/>
      <c r="T1177" s="214"/>
      <c r="U1177" s="214"/>
      <c r="V1177" s="214"/>
      <c r="W1177" s="214"/>
      <c r="X1177" s="214"/>
      <c r="Y1177" s="214"/>
      <c r="Z1177" s="214"/>
      <c r="AA1177" s="214"/>
      <c r="AB1177" s="214"/>
      <c r="AC1177" s="214"/>
    </row>
    <row r="1178">
      <c r="A1178" s="222"/>
      <c r="D1178" s="333" t="s">
        <v>97</v>
      </c>
      <c r="E1178" s="333">
        <v>2.0</v>
      </c>
      <c r="F1178" s="276"/>
      <c r="G1178" s="276"/>
      <c r="H1178" s="334" t="s">
        <v>99</v>
      </c>
      <c r="I1178" s="278" t="s">
        <v>98</v>
      </c>
      <c r="J1178" s="214"/>
      <c r="K1178" s="214"/>
      <c r="L1178" s="214"/>
      <c r="M1178" s="214"/>
      <c r="N1178" s="214"/>
      <c r="O1178" s="214"/>
      <c r="P1178" s="214"/>
      <c r="Q1178" s="214"/>
      <c r="R1178" s="214"/>
      <c r="S1178" s="214"/>
      <c r="T1178" s="214"/>
      <c r="U1178" s="214"/>
      <c r="V1178" s="214"/>
      <c r="W1178" s="214"/>
      <c r="X1178" s="214"/>
      <c r="Y1178" s="214"/>
      <c r="Z1178" s="214"/>
      <c r="AA1178" s="214"/>
      <c r="AB1178" s="214"/>
      <c r="AC1178" s="214"/>
    </row>
    <row r="1179">
      <c r="A1179" s="236"/>
      <c r="B1179" s="237"/>
      <c r="C1179" s="237"/>
      <c r="D1179" s="264" t="s">
        <v>162</v>
      </c>
      <c r="E1179" s="264">
        <v>2.0</v>
      </c>
      <c r="F1179" s="479"/>
      <c r="G1179" s="479"/>
      <c r="H1179" s="266" t="s">
        <v>164</v>
      </c>
      <c r="I1179" s="267" t="s">
        <v>163</v>
      </c>
      <c r="J1179" s="214"/>
      <c r="K1179" s="214"/>
      <c r="L1179" s="214"/>
      <c r="M1179" s="214"/>
      <c r="N1179" s="214"/>
      <c r="O1179" s="214"/>
      <c r="P1179" s="214"/>
      <c r="Q1179" s="214"/>
      <c r="R1179" s="214"/>
      <c r="S1179" s="214"/>
      <c r="T1179" s="214"/>
      <c r="U1179" s="214"/>
      <c r="V1179" s="214"/>
      <c r="W1179" s="214"/>
      <c r="X1179" s="214"/>
      <c r="Y1179" s="214"/>
      <c r="Z1179" s="214"/>
      <c r="AA1179" s="214"/>
      <c r="AB1179" s="214"/>
      <c r="AC1179" s="214"/>
    </row>
    <row r="1180">
      <c r="A1180" s="242" t="s">
        <v>787</v>
      </c>
      <c r="B1180" s="243" t="s">
        <v>788</v>
      </c>
      <c r="C1180" s="416">
        <f>sum(E1180:E1182)</f>
        <v>6</v>
      </c>
      <c r="D1180" s="426" t="s">
        <v>22</v>
      </c>
      <c r="E1180" s="426">
        <v>2.0</v>
      </c>
      <c r="F1180" s="397"/>
      <c r="G1180" s="397"/>
      <c r="H1180" s="427" t="s">
        <v>265</v>
      </c>
      <c r="I1180" s="428" t="s">
        <v>23</v>
      </c>
      <c r="J1180" s="214"/>
      <c r="K1180" s="214"/>
      <c r="L1180" s="214"/>
      <c r="M1180" s="214"/>
      <c r="N1180" s="214"/>
      <c r="O1180" s="214"/>
      <c r="P1180" s="214"/>
      <c r="Q1180" s="214"/>
      <c r="R1180" s="214"/>
      <c r="S1180" s="214"/>
      <c r="T1180" s="214"/>
      <c r="U1180" s="214"/>
      <c r="V1180" s="214"/>
      <c r="W1180" s="214"/>
      <c r="X1180" s="214"/>
      <c r="Y1180" s="214"/>
      <c r="Z1180" s="214"/>
      <c r="AA1180" s="214"/>
      <c r="AB1180" s="214"/>
      <c r="AC1180" s="214"/>
    </row>
    <row r="1181">
      <c r="A1181" s="222"/>
      <c r="D1181" s="387" t="s">
        <v>49</v>
      </c>
      <c r="E1181" s="387">
        <v>2.0</v>
      </c>
      <c r="F1181" s="316"/>
      <c r="G1181" s="280"/>
      <c r="H1181" s="388" t="s">
        <v>50</v>
      </c>
      <c r="I1181" s="448" t="s">
        <v>43</v>
      </c>
      <c r="J1181" s="214"/>
      <c r="K1181" s="214"/>
      <c r="L1181" s="214"/>
      <c r="M1181" s="214"/>
      <c r="N1181" s="214"/>
      <c r="O1181" s="214"/>
      <c r="P1181" s="214"/>
      <c r="Q1181" s="214"/>
      <c r="R1181" s="214"/>
      <c r="S1181" s="214"/>
      <c r="T1181" s="214"/>
      <c r="U1181" s="214"/>
      <c r="V1181" s="214"/>
      <c r="W1181" s="214"/>
      <c r="X1181" s="214"/>
      <c r="Y1181" s="214"/>
      <c r="Z1181" s="214"/>
      <c r="AA1181" s="214"/>
      <c r="AB1181" s="214"/>
      <c r="AC1181" s="214"/>
    </row>
    <row r="1182">
      <c r="A1182" s="236"/>
      <c r="B1182" s="237"/>
      <c r="C1182" s="237"/>
      <c r="D1182" s="264" t="s">
        <v>162</v>
      </c>
      <c r="E1182" s="264">
        <v>2.0</v>
      </c>
      <c r="F1182" s="479"/>
      <c r="G1182" s="479"/>
      <c r="H1182" s="266" t="s">
        <v>164</v>
      </c>
      <c r="I1182" s="480" t="s">
        <v>163</v>
      </c>
      <c r="J1182" s="214"/>
      <c r="K1182" s="214"/>
      <c r="L1182" s="214"/>
      <c r="M1182" s="214"/>
      <c r="N1182" s="214"/>
      <c r="O1182" s="214"/>
      <c r="P1182" s="214"/>
      <c r="Q1182" s="214"/>
      <c r="R1182" s="214"/>
      <c r="S1182" s="214"/>
      <c r="T1182" s="214"/>
      <c r="U1182" s="214"/>
      <c r="V1182" s="214"/>
      <c r="W1182" s="214"/>
      <c r="X1182" s="214"/>
      <c r="Y1182" s="214"/>
      <c r="Z1182" s="214"/>
      <c r="AA1182" s="214"/>
      <c r="AB1182" s="214"/>
      <c r="AC1182" s="214"/>
    </row>
    <row r="1183">
      <c r="A1183" s="242" t="s">
        <v>789</v>
      </c>
      <c r="B1183" s="216" t="s">
        <v>790</v>
      </c>
      <c r="C1183" s="416">
        <f>sum(E1183:E1186)</f>
        <v>6</v>
      </c>
      <c r="D1183" s="426" t="s">
        <v>22</v>
      </c>
      <c r="E1183" s="426">
        <v>2.0</v>
      </c>
      <c r="F1183" s="397"/>
      <c r="G1183" s="397"/>
      <c r="H1183" s="427" t="s">
        <v>265</v>
      </c>
      <c r="I1183" s="428" t="s">
        <v>23</v>
      </c>
      <c r="J1183" s="214"/>
      <c r="K1183" s="214"/>
      <c r="L1183" s="214"/>
      <c r="M1183" s="214"/>
      <c r="N1183" s="214"/>
      <c r="O1183" s="214"/>
      <c r="P1183" s="214"/>
      <c r="Q1183" s="214"/>
      <c r="R1183" s="214"/>
      <c r="S1183" s="214"/>
      <c r="T1183" s="214"/>
      <c r="U1183" s="214"/>
      <c r="V1183" s="214"/>
      <c r="W1183" s="214"/>
      <c r="X1183" s="214"/>
      <c r="Y1183" s="214"/>
      <c r="Z1183" s="214"/>
      <c r="AA1183" s="214"/>
      <c r="AB1183" s="214"/>
      <c r="AC1183" s="214"/>
    </row>
    <row r="1184">
      <c r="A1184" s="222"/>
      <c r="D1184" s="286" t="s">
        <v>229</v>
      </c>
      <c r="E1184" s="286">
        <v>2.0</v>
      </c>
      <c r="F1184" s="261"/>
      <c r="G1184" s="261"/>
      <c r="H1184" s="262" t="s">
        <v>69</v>
      </c>
      <c r="I1184" s="263" t="s">
        <v>65</v>
      </c>
      <c r="J1184" s="214"/>
      <c r="K1184" s="214"/>
      <c r="L1184" s="214"/>
      <c r="M1184" s="214"/>
      <c r="N1184" s="214"/>
      <c r="O1184" s="214"/>
      <c r="P1184" s="214"/>
      <c r="Q1184" s="214"/>
      <c r="R1184" s="214"/>
      <c r="S1184" s="214"/>
      <c r="T1184" s="214"/>
      <c r="U1184" s="214"/>
      <c r="V1184" s="214"/>
      <c r="W1184" s="214"/>
      <c r="X1184" s="214"/>
      <c r="Y1184" s="214"/>
      <c r="Z1184" s="214"/>
      <c r="AA1184" s="214"/>
      <c r="AB1184" s="214"/>
      <c r="AC1184" s="214"/>
    </row>
    <row r="1185">
      <c r="A1185" s="222"/>
      <c r="D1185" s="232" t="s">
        <v>129</v>
      </c>
      <c r="E1185" s="232">
        <v>1.0</v>
      </c>
      <c r="F1185" s="254"/>
      <c r="G1185" s="233"/>
      <c r="H1185" s="234" t="s">
        <v>130</v>
      </c>
      <c r="I1185" s="235" t="s">
        <v>105</v>
      </c>
      <c r="J1185" s="214"/>
      <c r="K1185" s="214"/>
      <c r="L1185" s="214"/>
      <c r="M1185" s="214"/>
      <c r="N1185" s="214"/>
      <c r="O1185" s="214"/>
      <c r="P1185" s="214"/>
      <c r="Q1185" s="214"/>
      <c r="R1185" s="214"/>
      <c r="S1185" s="214"/>
      <c r="T1185" s="214"/>
      <c r="U1185" s="214"/>
      <c r="V1185" s="214"/>
      <c r="W1185" s="214"/>
      <c r="X1185" s="214"/>
      <c r="Y1185" s="214"/>
      <c r="Z1185" s="214"/>
      <c r="AA1185" s="214"/>
      <c r="AB1185" s="214"/>
      <c r="AC1185" s="214"/>
    </row>
    <row r="1186">
      <c r="A1186" s="236"/>
      <c r="B1186" s="237"/>
      <c r="C1186" s="237"/>
      <c r="D1186" s="264" t="s">
        <v>169</v>
      </c>
      <c r="E1186" s="264">
        <v>1.0</v>
      </c>
      <c r="F1186" s="479"/>
      <c r="G1186" s="479"/>
      <c r="H1186" s="266" t="s">
        <v>170</v>
      </c>
      <c r="I1186" s="647" t="s">
        <v>163</v>
      </c>
      <c r="J1186" s="214"/>
      <c r="K1186" s="214"/>
      <c r="L1186" s="214"/>
      <c r="M1186" s="214"/>
      <c r="N1186" s="214"/>
      <c r="O1186" s="214"/>
      <c r="P1186" s="214"/>
      <c r="Q1186" s="214"/>
      <c r="R1186" s="214"/>
      <c r="S1186" s="214"/>
      <c r="T1186" s="214"/>
      <c r="U1186" s="214"/>
      <c r="V1186" s="214"/>
      <c r="W1186" s="214"/>
      <c r="X1186" s="214"/>
      <c r="Y1186" s="214"/>
      <c r="Z1186" s="214"/>
      <c r="AA1186" s="214"/>
      <c r="AB1186" s="214"/>
      <c r="AC1186" s="214"/>
    </row>
    <row r="1187">
      <c r="A1187" s="242" t="s">
        <v>791</v>
      </c>
      <c r="B1187" s="243" t="s">
        <v>792</v>
      </c>
      <c r="C1187" s="416">
        <f>sum(E1187:E1190)</f>
        <v>6</v>
      </c>
      <c r="D1187" s="565" t="s">
        <v>11</v>
      </c>
      <c r="E1187" s="565">
        <v>2.0</v>
      </c>
      <c r="F1187" s="357"/>
      <c r="G1187" s="357"/>
      <c r="H1187" s="566" t="s">
        <v>294</v>
      </c>
      <c r="I1187" s="359" t="s">
        <v>7</v>
      </c>
      <c r="J1187" s="214"/>
      <c r="K1187" s="214"/>
      <c r="L1187" s="214"/>
      <c r="M1187" s="214"/>
      <c r="N1187" s="214"/>
      <c r="O1187" s="214"/>
      <c r="P1187" s="214"/>
      <c r="Q1187" s="214"/>
      <c r="R1187" s="214"/>
      <c r="S1187" s="214"/>
      <c r="T1187" s="214"/>
      <c r="U1187" s="214"/>
      <c r="V1187" s="214"/>
      <c r="W1187" s="214"/>
      <c r="X1187" s="214"/>
      <c r="Y1187" s="214"/>
      <c r="Z1187" s="214"/>
      <c r="AA1187" s="214"/>
      <c r="AB1187" s="214"/>
      <c r="AC1187" s="214"/>
    </row>
    <row r="1188">
      <c r="A1188" s="222"/>
      <c r="D1188" s="286" t="s">
        <v>229</v>
      </c>
      <c r="E1188" s="286">
        <v>2.0</v>
      </c>
      <c r="F1188" s="318"/>
      <c r="G1188" s="318"/>
      <c r="H1188" s="262" t="s">
        <v>69</v>
      </c>
      <c r="I1188" s="263" t="s">
        <v>65</v>
      </c>
      <c r="J1188" s="214"/>
      <c r="K1188" s="214"/>
      <c r="L1188" s="214"/>
      <c r="M1188" s="214"/>
      <c r="N1188" s="214"/>
      <c r="O1188" s="214"/>
      <c r="P1188" s="214"/>
      <c r="Q1188" s="214"/>
      <c r="R1188" s="214"/>
      <c r="S1188" s="214"/>
      <c r="T1188" s="214"/>
      <c r="U1188" s="214"/>
      <c r="V1188" s="214"/>
      <c r="W1188" s="214"/>
      <c r="X1188" s="214"/>
      <c r="Y1188" s="214"/>
      <c r="Z1188" s="214"/>
      <c r="AA1188" s="214"/>
      <c r="AB1188" s="214"/>
      <c r="AC1188" s="214"/>
    </row>
    <row r="1189">
      <c r="A1189" s="222"/>
      <c r="D1189" s="339" t="s">
        <v>117</v>
      </c>
      <c r="E1189" s="339">
        <v>1.0</v>
      </c>
      <c r="F1189" s="254"/>
      <c r="G1189" s="233"/>
      <c r="H1189" s="340" t="s">
        <v>238</v>
      </c>
      <c r="I1189" s="298" t="s">
        <v>105</v>
      </c>
      <c r="J1189" s="214"/>
      <c r="K1189" s="214"/>
      <c r="L1189" s="214"/>
      <c r="M1189" s="214"/>
      <c r="N1189" s="214"/>
      <c r="O1189" s="214"/>
      <c r="P1189" s="214"/>
      <c r="Q1189" s="214"/>
      <c r="R1189" s="214"/>
      <c r="S1189" s="214"/>
      <c r="T1189" s="214"/>
      <c r="U1189" s="214"/>
      <c r="V1189" s="214"/>
      <c r="W1189" s="214"/>
      <c r="X1189" s="214"/>
      <c r="Y1189" s="214"/>
      <c r="Z1189" s="214"/>
      <c r="AA1189" s="214"/>
      <c r="AB1189" s="214"/>
      <c r="AC1189" s="214"/>
    </row>
    <row r="1190">
      <c r="A1190" s="236"/>
      <c r="B1190" s="237"/>
      <c r="C1190" s="237"/>
      <c r="D1190" s="302" t="s">
        <v>58</v>
      </c>
      <c r="E1190" s="302">
        <v>1.0</v>
      </c>
      <c r="F1190" s="303"/>
      <c r="G1190" s="303"/>
      <c r="H1190" s="304" t="s">
        <v>59</v>
      </c>
      <c r="I1190" s="485" t="s">
        <v>43</v>
      </c>
      <c r="J1190" s="214"/>
      <c r="K1190" s="214"/>
      <c r="L1190" s="214"/>
      <c r="M1190" s="214"/>
      <c r="N1190" s="214"/>
      <c r="O1190" s="214"/>
      <c r="P1190" s="214"/>
      <c r="Q1190" s="214"/>
      <c r="R1190" s="214"/>
      <c r="S1190" s="214"/>
      <c r="T1190" s="214"/>
      <c r="U1190" s="214"/>
      <c r="V1190" s="214"/>
      <c r="W1190" s="214"/>
      <c r="X1190" s="214"/>
      <c r="Y1190" s="214"/>
      <c r="Z1190" s="214"/>
      <c r="AA1190" s="214"/>
      <c r="AB1190" s="214"/>
      <c r="AC1190" s="214"/>
    </row>
    <row r="1191">
      <c r="A1191" s="242" t="s">
        <v>793</v>
      </c>
      <c r="B1191" s="243" t="s">
        <v>310</v>
      </c>
      <c r="C1191" s="416">
        <f>sum(E1191:E1193)</f>
        <v>6</v>
      </c>
      <c r="D1191" s="515" t="s">
        <v>76</v>
      </c>
      <c r="E1191" s="515">
        <v>2.0</v>
      </c>
      <c r="F1191" s="324"/>
      <c r="G1191" s="324"/>
      <c r="H1191" s="294" t="s">
        <v>77</v>
      </c>
      <c r="I1191" s="585" t="s">
        <v>65</v>
      </c>
      <c r="J1191" s="214"/>
      <c r="K1191" s="214"/>
      <c r="L1191" s="214"/>
      <c r="M1191" s="214"/>
      <c r="N1191" s="214"/>
      <c r="O1191" s="214"/>
      <c r="P1191" s="214"/>
      <c r="Q1191" s="214"/>
      <c r="R1191" s="214"/>
      <c r="S1191" s="214"/>
      <c r="T1191" s="214"/>
      <c r="U1191" s="214"/>
      <c r="V1191" s="214"/>
      <c r="W1191" s="214"/>
      <c r="X1191" s="214"/>
      <c r="Y1191" s="214"/>
      <c r="Z1191" s="214"/>
      <c r="AA1191" s="214"/>
      <c r="AB1191" s="214"/>
      <c r="AC1191" s="214"/>
    </row>
    <row r="1192">
      <c r="A1192" s="222"/>
      <c r="D1192" s="249" t="s">
        <v>147</v>
      </c>
      <c r="E1192" s="249">
        <v>3.0</v>
      </c>
      <c r="F1192" s="251"/>
      <c r="G1192" s="251"/>
      <c r="H1192" s="252" t="s">
        <v>145</v>
      </c>
      <c r="I1192" s="300" t="s">
        <v>144</v>
      </c>
      <c r="J1192" s="214"/>
      <c r="K1192" s="214"/>
      <c r="L1192" s="214"/>
      <c r="M1192" s="214"/>
      <c r="N1192" s="214"/>
      <c r="O1192" s="214"/>
      <c r="P1192" s="214"/>
      <c r="Q1192" s="214"/>
      <c r="R1192" s="214"/>
      <c r="S1192" s="214"/>
      <c r="T1192" s="214"/>
      <c r="U1192" s="214"/>
      <c r="V1192" s="214"/>
      <c r="W1192" s="214"/>
      <c r="X1192" s="214"/>
      <c r="Y1192" s="214"/>
      <c r="Z1192" s="214"/>
      <c r="AA1192" s="214"/>
      <c r="AB1192" s="214"/>
      <c r="AC1192" s="214"/>
    </row>
    <row r="1193">
      <c r="A1193" s="236"/>
      <c r="B1193" s="237"/>
      <c r="C1193" s="237"/>
      <c r="D1193" s="256" t="s">
        <v>189</v>
      </c>
      <c r="E1193" s="256">
        <v>1.0</v>
      </c>
      <c r="F1193" s="257"/>
      <c r="G1193" s="257"/>
      <c r="H1193" s="258" t="s">
        <v>190</v>
      </c>
      <c r="I1193" s="315" t="s">
        <v>186</v>
      </c>
      <c r="J1193" s="214"/>
      <c r="K1193" s="214"/>
      <c r="L1193" s="214"/>
      <c r="M1193" s="214"/>
      <c r="N1193" s="214"/>
      <c r="O1193" s="214"/>
      <c r="P1193" s="214"/>
      <c r="Q1193" s="214"/>
      <c r="R1193" s="214"/>
      <c r="S1193" s="214"/>
      <c r="T1193" s="214"/>
      <c r="U1193" s="214"/>
      <c r="V1193" s="214"/>
      <c r="W1193" s="214"/>
      <c r="X1193" s="214"/>
      <c r="Y1193" s="214"/>
      <c r="Z1193" s="214"/>
      <c r="AA1193" s="214"/>
      <c r="AB1193" s="214"/>
      <c r="AC1193" s="214"/>
    </row>
    <row r="1194">
      <c r="A1194" s="242" t="s">
        <v>794</v>
      </c>
      <c r="B1194" s="243" t="s">
        <v>795</v>
      </c>
      <c r="C1194" s="416">
        <f>sum(E1194:E1197)</f>
        <v>6</v>
      </c>
      <c r="D1194" s="245" t="s">
        <v>52</v>
      </c>
      <c r="E1194" s="245">
        <v>1.0</v>
      </c>
      <c r="F1194" s="412"/>
      <c r="G1194" s="246"/>
      <c r="H1194" s="247" t="s">
        <v>53</v>
      </c>
      <c r="I1194" s="248" t="s">
        <v>43</v>
      </c>
      <c r="J1194" s="214"/>
      <c r="K1194" s="214"/>
      <c r="L1194" s="214"/>
      <c r="M1194" s="214"/>
      <c r="N1194" s="214"/>
      <c r="O1194" s="214"/>
      <c r="P1194" s="214"/>
      <c r="Q1194" s="214"/>
      <c r="R1194" s="214"/>
      <c r="S1194" s="214"/>
      <c r="T1194" s="214"/>
      <c r="U1194" s="214"/>
      <c r="V1194" s="214"/>
      <c r="W1194" s="214"/>
      <c r="X1194" s="214"/>
      <c r="Y1194" s="214"/>
      <c r="Z1194" s="214"/>
      <c r="AA1194" s="214"/>
      <c r="AB1194" s="214"/>
      <c r="AC1194" s="214"/>
    </row>
    <row r="1195">
      <c r="A1195" s="222"/>
      <c r="D1195" s="286" t="s">
        <v>79</v>
      </c>
      <c r="E1195" s="286">
        <v>2.0</v>
      </c>
      <c r="F1195" s="261"/>
      <c r="G1195" s="261"/>
      <c r="H1195" s="262" t="s">
        <v>80</v>
      </c>
      <c r="I1195" s="263" t="s">
        <v>65</v>
      </c>
      <c r="J1195" s="214"/>
      <c r="K1195" s="214"/>
      <c r="L1195" s="214"/>
      <c r="M1195" s="214"/>
      <c r="N1195" s="214"/>
      <c r="O1195" s="214"/>
      <c r="P1195" s="214"/>
      <c r="Q1195" s="214"/>
      <c r="R1195" s="214"/>
      <c r="S1195" s="214"/>
      <c r="T1195" s="214"/>
      <c r="U1195" s="214"/>
      <c r="V1195" s="214"/>
      <c r="W1195" s="214"/>
      <c r="X1195" s="214"/>
      <c r="Y1195" s="214"/>
      <c r="Z1195" s="214"/>
      <c r="AA1195" s="214"/>
      <c r="AB1195" s="214"/>
      <c r="AC1195" s="214"/>
    </row>
    <row r="1196">
      <c r="A1196" s="222"/>
      <c r="D1196" s="402" t="s">
        <v>162</v>
      </c>
      <c r="E1196" s="402">
        <v>2.0</v>
      </c>
      <c r="F1196" s="317"/>
      <c r="G1196" s="272"/>
      <c r="H1196" s="403" t="s">
        <v>164</v>
      </c>
      <c r="I1196" s="393" t="s">
        <v>163</v>
      </c>
      <c r="J1196" s="214"/>
      <c r="K1196" s="214"/>
      <c r="L1196" s="214"/>
      <c r="M1196" s="214"/>
      <c r="N1196" s="214"/>
      <c r="O1196" s="214"/>
      <c r="P1196" s="214"/>
      <c r="Q1196" s="214"/>
      <c r="R1196" s="214"/>
      <c r="S1196" s="214"/>
      <c r="T1196" s="214"/>
      <c r="U1196" s="214"/>
      <c r="V1196" s="214"/>
      <c r="W1196" s="214"/>
      <c r="X1196" s="214"/>
      <c r="Y1196" s="214"/>
      <c r="Z1196" s="214"/>
      <c r="AA1196" s="214"/>
      <c r="AB1196" s="214"/>
      <c r="AC1196" s="214"/>
    </row>
    <row r="1197">
      <c r="A1197" s="236"/>
      <c r="B1197" s="237"/>
      <c r="C1197" s="237"/>
      <c r="D1197" s="287" t="s">
        <v>123</v>
      </c>
      <c r="E1197" s="287">
        <v>1.0</v>
      </c>
      <c r="F1197" s="404"/>
      <c r="G1197" s="288"/>
      <c r="H1197" s="289" t="s">
        <v>124</v>
      </c>
      <c r="I1197" s="290" t="s">
        <v>105</v>
      </c>
      <c r="J1197" s="214"/>
      <c r="K1197" s="214"/>
      <c r="L1197" s="214"/>
      <c r="M1197" s="214"/>
      <c r="N1197" s="214"/>
      <c r="O1197" s="214"/>
      <c r="P1197" s="214"/>
      <c r="Q1197" s="214"/>
      <c r="R1197" s="214"/>
      <c r="S1197" s="214"/>
      <c r="T1197" s="214"/>
      <c r="U1197" s="214"/>
      <c r="V1197" s="214"/>
      <c r="W1197" s="214"/>
      <c r="X1197" s="214"/>
      <c r="Y1197" s="214"/>
      <c r="Z1197" s="214"/>
      <c r="AA1197" s="214"/>
      <c r="AB1197" s="214"/>
      <c r="AC1197" s="214"/>
    </row>
    <row r="1198">
      <c r="A1198" s="242" t="s">
        <v>796</v>
      </c>
      <c r="B1198" s="243" t="s">
        <v>797</v>
      </c>
      <c r="C1198" s="416">
        <f>sum(E1198:E1202)</f>
        <v>6</v>
      </c>
      <c r="D1198" s="426" t="s">
        <v>22</v>
      </c>
      <c r="E1198" s="426">
        <v>2.0</v>
      </c>
      <c r="F1198" s="396"/>
      <c r="G1198" s="396"/>
      <c r="H1198" s="427" t="s">
        <v>265</v>
      </c>
      <c r="I1198" s="428" t="s">
        <v>23</v>
      </c>
      <c r="J1198" s="214"/>
      <c r="K1198" s="214"/>
      <c r="L1198" s="214"/>
      <c r="M1198" s="214"/>
      <c r="N1198" s="214"/>
      <c r="O1198" s="214"/>
      <c r="P1198" s="214"/>
      <c r="Q1198" s="214"/>
      <c r="R1198" s="214"/>
      <c r="S1198" s="214"/>
      <c r="T1198" s="214"/>
      <c r="U1198" s="214"/>
      <c r="V1198" s="214"/>
      <c r="W1198" s="214"/>
      <c r="X1198" s="214"/>
      <c r="Y1198" s="214"/>
      <c r="Z1198" s="214"/>
      <c r="AA1198" s="214"/>
      <c r="AB1198" s="214"/>
      <c r="AC1198" s="214"/>
    </row>
    <row r="1199">
      <c r="A1199" s="222"/>
      <c r="D1199" s="286" t="s">
        <v>91</v>
      </c>
      <c r="E1199" s="286">
        <v>1.0</v>
      </c>
      <c r="F1199" s="261"/>
      <c r="G1199" s="261"/>
      <c r="H1199" s="414" t="s">
        <v>92</v>
      </c>
      <c r="I1199" s="263" t="s">
        <v>65</v>
      </c>
      <c r="J1199" s="214"/>
      <c r="K1199" s="214"/>
      <c r="L1199" s="214"/>
      <c r="M1199" s="214"/>
      <c r="N1199" s="214"/>
      <c r="O1199" s="214"/>
      <c r="P1199" s="214"/>
      <c r="Q1199" s="214"/>
      <c r="R1199" s="214"/>
      <c r="S1199" s="214"/>
      <c r="T1199" s="214"/>
      <c r="U1199" s="214"/>
      <c r="V1199" s="214"/>
      <c r="W1199" s="214"/>
      <c r="X1199" s="214"/>
      <c r="Y1199" s="214"/>
      <c r="Z1199" s="214"/>
      <c r="AA1199" s="214"/>
      <c r="AB1199" s="214"/>
      <c r="AC1199" s="214"/>
    </row>
    <row r="1200">
      <c r="A1200" s="222"/>
      <c r="D1200" s="279" t="s">
        <v>55</v>
      </c>
      <c r="E1200" s="279">
        <v>1.0</v>
      </c>
      <c r="F1200" s="316"/>
      <c r="G1200" s="316"/>
      <c r="H1200" s="281" t="s">
        <v>56</v>
      </c>
      <c r="I1200" s="282" t="s">
        <v>43</v>
      </c>
      <c r="J1200" s="214"/>
      <c r="K1200" s="214"/>
      <c r="L1200" s="214"/>
      <c r="M1200" s="214"/>
      <c r="N1200" s="214"/>
      <c r="O1200" s="214"/>
      <c r="P1200" s="214"/>
      <c r="Q1200" s="214"/>
      <c r="R1200" s="214"/>
      <c r="S1200" s="214"/>
      <c r="T1200" s="214"/>
      <c r="U1200" s="214"/>
      <c r="V1200" s="214"/>
      <c r="W1200" s="214"/>
      <c r="X1200" s="214"/>
      <c r="Y1200" s="214"/>
      <c r="Z1200" s="214"/>
      <c r="AA1200" s="214"/>
      <c r="AB1200" s="214"/>
      <c r="AC1200" s="214"/>
    </row>
    <row r="1201">
      <c r="A1201" s="222"/>
      <c r="D1201" s="232" t="s">
        <v>137</v>
      </c>
      <c r="E1201" s="232">
        <v>1.0</v>
      </c>
      <c r="F1201" s="233"/>
      <c r="G1201" s="233"/>
      <c r="H1201" s="234" t="s">
        <v>138</v>
      </c>
      <c r="I1201" s="235" t="s">
        <v>105</v>
      </c>
      <c r="J1201" s="214"/>
      <c r="K1201" s="214"/>
      <c r="L1201" s="214"/>
      <c r="M1201" s="214"/>
      <c r="N1201" s="214"/>
      <c r="O1201" s="214"/>
      <c r="P1201" s="214"/>
      <c r="Q1201" s="214"/>
      <c r="R1201" s="214"/>
      <c r="S1201" s="214"/>
      <c r="T1201" s="214"/>
      <c r="U1201" s="214"/>
      <c r="V1201" s="214"/>
      <c r="W1201" s="214"/>
      <c r="X1201" s="214"/>
      <c r="Y1201" s="214"/>
      <c r="Z1201" s="214"/>
      <c r="AA1201" s="214"/>
      <c r="AB1201" s="214"/>
      <c r="AC1201" s="214"/>
    </row>
    <row r="1202">
      <c r="A1202" s="236"/>
      <c r="B1202" s="237"/>
      <c r="C1202" s="237"/>
      <c r="D1202" s="459" t="s">
        <v>140</v>
      </c>
      <c r="E1202" s="459">
        <v>1.0</v>
      </c>
      <c r="F1202" s="404"/>
      <c r="G1202" s="288"/>
      <c r="H1202" s="460" t="s">
        <v>141</v>
      </c>
      <c r="I1202" s="461" t="s">
        <v>105</v>
      </c>
      <c r="J1202" s="214"/>
      <c r="K1202" s="214"/>
      <c r="L1202" s="214"/>
      <c r="M1202" s="214"/>
      <c r="N1202" s="214"/>
      <c r="O1202" s="214"/>
      <c r="P1202" s="214"/>
      <c r="Q1202" s="214"/>
      <c r="R1202" s="214"/>
      <c r="S1202" s="214"/>
      <c r="T1202" s="214"/>
      <c r="U1202" s="214"/>
      <c r="V1202" s="214"/>
      <c r="W1202" s="214"/>
      <c r="X1202" s="214"/>
      <c r="Y1202" s="214"/>
      <c r="Z1202" s="214"/>
      <c r="AA1202" s="214"/>
      <c r="AB1202" s="214"/>
      <c r="AC1202" s="214"/>
    </row>
    <row r="1203">
      <c r="A1203" s="242" t="s">
        <v>798</v>
      </c>
      <c r="B1203" s="243" t="s">
        <v>452</v>
      </c>
      <c r="C1203" s="416">
        <f>sum(E1203:E1205)</f>
        <v>6</v>
      </c>
      <c r="D1203" s="475" t="s">
        <v>101</v>
      </c>
      <c r="E1203" s="475">
        <v>2.0</v>
      </c>
      <c r="F1203" s="481"/>
      <c r="G1203" s="481"/>
      <c r="H1203" s="476" t="s">
        <v>102</v>
      </c>
      <c r="I1203" s="493" t="s">
        <v>98</v>
      </c>
      <c r="J1203" s="214"/>
      <c r="K1203" s="214"/>
      <c r="L1203" s="214"/>
      <c r="M1203" s="214"/>
      <c r="N1203" s="214"/>
      <c r="O1203" s="214"/>
      <c r="P1203" s="214"/>
      <c r="Q1203" s="214"/>
      <c r="R1203" s="214"/>
      <c r="S1203" s="214"/>
      <c r="T1203" s="214"/>
      <c r="U1203" s="214"/>
      <c r="V1203" s="214"/>
      <c r="W1203" s="214"/>
      <c r="X1203" s="214"/>
      <c r="Y1203" s="214"/>
      <c r="Z1203" s="214"/>
      <c r="AA1203" s="214"/>
      <c r="AB1203" s="214"/>
      <c r="AC1203" s="214"/>
    </row>
    <row r="1204">
      <c r="A1204" s="222"/>
      <c r="D1204" s="286" t="s">
        <v>70</v>
      </c>
      <c r="E1204" s="286">
        <v>2.0</v>
      </c>
      <c r="F1204" s="318"/>
      <c r="G1204" s="318"/>
      <c r="H1204" s="262" t="s">
        <v>237</v>
      </c>
      <c r="I1204" s="319" t="s">
        <v>65</v>
      </c>
      <c r="J1204" s="214"/>
      <c r="K1204" s="214"/>
      <c r="L1204" s="214"/>
      <c r="M1204" s="214"/>
      <c r="N1204" s="214"/>
      <c r="O1204" s="214"/>
      <c r="P1204" s="214"/>
      <c r="Q1204" s="214"/>
      <c r="R1204" s="214"/>
      <c r="S1204" s="214"/>
      <c r="T1204" s="214"/>
      <c r="U1204" s="214"/>
      <c r="V1204" s="214"/>
      <c r="W1204" s="214"/>
      <c r="X1204" s="214"/>
      <c r="Y1204" s="214"/>
      <c r="Z1204" s="214"/>
      <c r="AA1204" s="214"/>
      <c r="AB1204" s="214"/>
      <c r="AC1204" s="214"/>
    </row>
    <row r="1205">
      <c r="A1205" s="236"/>
      <c r="B1205" s="237"/>
      <c r="C1205" s="237"/>
      <c r="D1205" s="264" t="s">
        <v>162</v>
      </c>
      <c r="E1205" s="264">
        <v>2.0</v>
      </c>
      <c r="F1205" s="479"/>
      <c r="G1205" s="479"/>
      <c r="H1205" s="266" t="s">
        <v>164</v>
      </c>
      <c r="I1205" s="267" t="s">
        <v>163</v>
      </c>
      <c r="J1205" s="214"/>
      <c r="K1205" s="214"/>
      <c r="L1205" s="214"/>
      <c r="M1205" s="214"/>
      <c r="N1205" s="214"/>
      <c r="O1205" s="214"/>
      <c r="P1205" s="214"/>
      <c r="Q1205" s="214"/>
      <c r="R1205" s="214"/>
      <c r="S1205" s="214"/>
      <c r="T1205" s="214"/>
      <c r="U1205" s="214"/>
      <c r="V1205" s="214"/>
      <c r="W1205" s="214"/>
      <c r="X1205" s="214"/>
      <c r="Y1205" s="214"/>
      <c r="Z1205" s="214"/>
      <c r="AA1205" s="214"/>
      <c r="AB1205" s="214"/>
      <c r="AC1205" s="214"/>
    </row>
    <row r="1206">
      <c r="A1206" s="242" t="s">
        <v>799</v>
      </c>
      <c r="B1206" s="243" t="s">
        <v>431</v>
      </c>
      <c r="C1206" s="416">
        <f>sum(E1206:E1209)</f>
        <v>6</v>
      </c>
      <c r="D1206" s="390" t="s">
        <v>49</v>
      </c>
      <c r="E1206" s="390">
        <v>2.0</v>
      </c>
      <c r="F1206" s="246"/>
      <c r="G1206" s="246"/>
      <c r="H1206" s="391" t="s">
        <v>50</v>
      </c>
      <c r="I1206" s="248" t="s">
        <v>43</v>
      </c>
      <c r="J1206" s="214"/>
      <c r="K1206" s="214"/>
      <c r="L1206" s="214"/>
      <c r="M1206" s="214"/>
      <c r="N1206" s="214"/>
      <c r="O1206" s="214"/>
      <c r="P1206" s="214"/>
      <c r="Q1206" s="214"/>
      <c r="R1206" s="214"/>
      <c r="S1206" s="214"/>
      <c r="T1206" s="214"/>
      <c r="U1206" s="214"/>
      <c r="V1206" s="214"/>
      <c r="W1206" s="214"/>
      <c r="X1206" s="214"/>
      <c r="Y1206" s="214"/>
      <c r="Z1206" s="214"/>
      <c r="AA1206" s="214"/>
      <c r="AB1206" s="214"/>
      <c r="AC1206" s="214"/>
    </row>
    <row r="1207">
      <c r="A1207" s="222"/>
      <c r="D1207" s="271" t="s">
        <v>162</v>
      </c>
      <c r="E1207" s="271">
        <v>2.0</v>
      </c>
      <c r="F1207" s="317"/>
      <c r="G1207" s="272"/>
      <c r="H1207" s="273" t="s">
        <v>164</v>
      </c>
      <c r="I1207" s="274" t="s">
        <v>163</v>
      </c>
      <c r="J1207" s="214"/>
      <c r="K1207" s="214"/>
      <c r="L1207" s="214"/>
      <c r="M1207" s="214"/>
      <c r="N1207" s="214"/>
      <c r="O1207" s="214"/>
      <c r="P1207" s="214"/>
      <c r="Q1207" s="214"/>
      <c r="R1207" s="214"/>
      <c r="S1207" s="214"/>
      <c r="T1207" s="214"/>
      <c r="U1207" s="214"/>
      <c r="V1207" s="214"/>
      <c r="W1207" s="214"/>
      <c r="X1207" s="214"/>
      <c r="Y1207" s="214"/>
      <c r="Z1207" s="214"/>
      <c r="AA1207" s="214"/>
      <c r="AB1207" s="214"/>
      <c r="AC1207" s="214"/>
    </row>
    <row r="1208">
      <c r="A1208" s="222"/>
      <c r="D1208" s="339" t="s">
        <v>134</v>
      </c>
      <c r="E1208" s="339">
        <v>1.0</v>
      </c>
      <c r="F1208" s="254"/>
      <c r="G1208" s="233"/>
      <c r="H1208" s="340" t="s">
        <v>135</v>
      </c>
      <c r="I1208" s="298" t="s">
        <v>105</v>
      </c>
      <c r="J1208" s="214"/>
      <c r="K1208" s="214"/>
      <c r="L1208" s="214"/>
      <c r="M1208" s="214"/>
      <c r="N1208" s="214"/>
      <c r="O1208" s="214"/>
      <c r="P1208" s="214"/>
      <c r="Q1208" s="214"/>
      <c r="R1208" s="214"/>
      <c r="S1208" s="214"/>
      <c r="T1208" s="214"/>
      <c r="U1208" s="214"/>
      <c r="V1208" s="214"/>
      <c r="W1208" s="214"/>
      <c r="X1208" s="214"/>
      <c r="Y1208" s="214"/>
      <c r="Z1208" s="214"/>
      <c r="AA1208" s="214"/>
      <c r="AB1208" s="214"/>
      <c r="AC1208" s="214"/>
    </row>
    <row r="1209">
      <c r="A1209" s="236"/>
      <c r="B1209" s="237"/>
      <c r="C1209" s="237"/>
      <c r="D1209" s="459" t="s">
        <v>120</v>
      </c>
      <c r="E1209" s="459">
        <v>1.0</v>
      </c>
      <c r="F1209" s="404"/>
      <c r="G1209" s="288"/>
      <c r="H1209" s="460" t="s">
        <v>121</v>
      </c>
      <c r="I1209" s="461" t="s">
        <v>105</v>
      </c>
      <c r="J1209" s="214"/>
      <c r="K1209" s="214"/>
      <c r="L1209" s="214"/>
      <c r="M1209" s="214"/>
      <c r="N1209" s="214"/>
      <c r="O1209" s="214"/>
      <c r="P1209" s="214"/>
      <c r="Q1209" s="214"/>
      <c r="R1209" s="214"/>
      <c r="S1209" s="214"/>
      <c r="T1209" s="214"/>
      <c r="U1209" s="214"/>
      <c r="V1209" s="214"/>
      <c r="W1209" s="214"/>
      <c r="X1209" s="214"/>
      <c r="Y1209" s="214"/>
      <c r="Z1209" s="214"/>
      <c r="AA1209" s="214"/>
      <c r="AB1209" s="214"/>
      <c r="AC1209" s="214"/>
    </row>
    <row r="1210">
      <c r="A1210" s="242" t="s">
        <v>800</v>
      </c>
      <c r="B1210" s="243" t="s">
        <v>801</v>
      </c>
      <c r="C1210" s="416">
        <f>sum(E1210:E1213)</f>
        <v>6</v>
      </c>
      <c r="D1210" s="308" t="s">
        <v>134</v>
      </c>
      <c r="E1210" s="308">
        <v>1.0</v>
      </c>
      <c r="F1210" s="309"/>
      <c r="G1210" s="309"/>
      <c r="H1210" s="310" t="s">
        <v>135</v>
      </c>
      <c r="I1210" s="311" t="s">
        <v>105</v>
      </c>
      <c r="J1210" s="214"/>
      <c r="K1210" s="214"/>
      <c r="L1210" s="214"/>
      <c r="M1210" s="214"/>
      <c r="N1210" s="214"/>
      <c r="O1210" s="214"/>
      <c r="P1210" s="214"/>
      <c r="Q1210" s="214"/>
      <c r="R1210" s="214"/>
      <c r="S1210" s="214"/>
      <c r="T1210" s="214"/>
      <c r="U1210" s="214"/>
      <c r="V1210" s="214"/>
      <c r="W1210" s="214"/>
      <c r="X1210" s="214"/>
      <c r="Y1210" s="214"/>
      <c r="Z1210" s="214"/>
      <c r="AA1210" s="214"/>
      <c r="AB1210" s="214"/>
      <c r="AC1210" s="214"/>
    </row>
    <row r="1211">
      <c r="A1211" s="222"/>
      <c r="D1211" s="434" t="s">
        <v>39</v>
      </c>
      <c r="E1211" s="434">
        <v>1.0</v>
      </c>
      <c r="F1211" s="383"/>
      <c r="G1211" s="383"/>
      <c r="H1211" s="435" t="s">
        <v>40</v>
      </c>
      <c r="I1211" s="386" t="s">
        <v>30</v>
      </c>
      <c r="J1211" s="214"/>
      <c r="K1211" s="214"/>
      <c r="L1211" s="214"/>
      <c r="M1211" s="214"/>
      <c r="N1211" s="214"/>
      <c r="O1211" s="214"/>
      <c r="P1211" s="214"/>
      <c r="Q1211" s="214"/>
      <c r="R1211" s="214"/>
      <c r="S1211" s="214"/>
      <c r="T1211" s="214"/>
      <c r="U1211" s="214"/>
      <c r="V1211" s="214"/>
      <c r="W1211" s="214"/>
      <c r="X1211" s="214"/>
      <c r="Y1211" s="214"/>
      <c r="Z1211" s="214"/>
      <c r="AA1211" s="214"/>
      <c r="AB1211" s="214"/>
      <c r="AC1211" s="214"/>
    </row>
    <row r="1212">
      <c r="A1212" s="222"/>
      <c r="D1212" s="271" t="s">
        <v>162</v>
      </c>
      <c r="E1212" s="271">
        <v>2.0</v>
      </c>
      <c r="F1212" s="272"/>
      <c r="G1212" s="272"/>
      <c r="H1212" s="273" t="s">
        <v>164</v>
      </c>
      <c r="I1212" s="393" t="s">
        <v>163</v>
      </c>
      <c r="J1212" s="214"/>
      <c r="K1212" s="214"/>
      <c r="L1212" s="214"/>
      <c r="M1212" s="214"/>
      <c r="N1212" s="214"/>
      <c r="O1212" s="214"/>
      <c r="P1212" s="214"/>
      <c r="Q1212" s="214"/>
      <c r="R1212" s="214"/>
      <c r="S1212" s="214"/>
      <c r="T1212" s="214"/>
      <c r="U1212" s="214"/>
      <c r="V1212" s="214"/>
      <c r="W1212" s="214"/>
      <c r="X1212" s="214"/>
      <c r="Y1212" s="214"/>
      <c r="Z1212" s="214"/>
      <c r="AA1212" s="214"/>
      <c r="AB1212" s="214"/>
      <c r="AC1212" s="214"/>
    </row>
    <row r="1213">
      <c r="A1213" s="236"/>
      <c r="B1213" s="237"/>
      <c r="C1213" s="237"/>
      <c r="D1213" s="287" t="s">
        <v>802</v>
      </c>
      <c r="E1213" s="287">
        <v>2.0</v>
      </c>
      <c r="F1213" s="404"/>
      <c r="G1213" s="288"/>
      <c r="H1213" s="289" t="s">
        <v>803</v>
      </c>
      <c r="I1213" s="290" t="s">
        <v>105</v>
      </c>
      <c r="J1213" s="214"/>
      <c r="K1213" s="214"/>
      <c r="L1213" s="214"/>
      <c r="M1213" s="214"/>
      <c r="N1213" s="214"/>
      <c r="O1213" s="214"/>
      <c r="P1213" s="214"/>
      <c r="Q1213" s="214"/>
      <c r="R1213" s="214"/>
      <c r="S1213" s="214"/>
      <c r="T1213" s="214"/>
      <c r="U1213" s="214"/>
      <c r="V1213" s="214"/>
      <c r="W1213" s="214"/>
      <c r="X1213" s="214"/>
      <c r="Y1213" s="214"/>
      <c r="Z1213" s="214"/>
      <c r="AA1213" s="214"/>
      <c r="AB1213" s="214"/>
      <c r="AC1213" s="214"/>
    </row>
    <row r="1214">
      <c r="A1214" s="242" t="s">
        <v>804</v>
      </c>
      <c r="B1214" s="243" t="s">
        <v>251</v>
      </c>
      <c r="C1214" s="416">
        <f>sum(E1214:E1216)</f>
        <v>6</v>
      </c>
      <c r="D1214" s="390" t="s">
        <v>49</v>
      </c>
      <c r="E1214" s="390">
        <v>2.0</v>
      </c>
      <c r="F1214" s="246"/>
      <c r="G1214" s="246"/>
      <c r="H1214" s="391" t="s">
        <v>50</v>
      </c>
      <c r="I1214" s="248" t="s">
        <v>43</v>
      </c>
      <c r="J1214" s="214"/>
      <c r="K1214" s="214"/>
      <c r="L1214" s="214"/>
      <c r="M1214" s="214"/>
      <c r="N1214" s="214"/>
      <c r="O1214" s="214"/>
      <c r="P1214" s="214"/>
      <c r="Q1214" s="214"/>
      <c r="R1214" s="214"/>
      <c r="S1214" s="214"/>
      <c r="T1214" s="214"/>
      <c r="U1214" s="214"/>
      <c r="V1214" s="214"/>
      <c r="W1214" s="214"/>
      <c r="X1214" s="214"/>
      <c r="Y1214" s="214"/>
      <c r="Z1214" s="214"/>
      <c r="AA1214" s="214"/>
      <c r="AB1214" s="214"/>
      <c r="AC1214" s="214"/>
    </row>
    <row r="1215">
      <c r="A1215" s="222"/>
      <c r="D1215" s="232" t="s">
        <v>120</v>
      </c>
      <c r="E1215" s="232">
        <v>1.0</v>
      </c>
      <c r="F1215" s="254"/>
      <c r="G1215" s="233"/>
      <c r="H1215" s="234" t="s">
        <v>121</v>
      </c>
      <c r="I1215" s="235" t="s">
        <v>105</v>
      </c>
      <c r="J1215" s="214"/>
      <c r="K1215" s="214"/>
      <c r="L1215" s="214"/>
      <c r="M1215" s="214"/>
      <c r="N1215" s="214"/>
      <c r="O1215" s="214"/>
      <c r="P1215" s="214"/>
      <c r="Q1215" s="214"/>
      <c r="R1215" s="214"/>
      <c r="S1215" s="214"/>
      <c r="T1215" s="214"/>
      <c r="U1215" s="214"/>
      <c r="V1215" s="214"/>
      <c r="W1215" s="214"/>
      <c r="X1215" s="214"/>
      <c r="Y1215" s="214"/>
      <c r="Z1215" s="214"/>
      <c r="AA1215" s="214"/>
      <c r="AB1215" s="214"/>
      <c r="AC1215" s="214"/>
    </row>
    <row r="1216">
      <c r="A1216" s="236"/>
      <c r="B1216" s="237"/>
      <c r="C1216" s="237"/>
      <c r="D1216" s="287" t="s">
        <v>805</v>
      </c>
      <c r="E1216" s="287">
        <v>3.0</v>
      </c>
      <c r="F1216" s="288"/>
      <c r="G1216" s="288"/>
      <c r="H1216" s="289" t="s">
        <v>806</v>
      </c>
      <c r="I1216" s="290" t="s">
        <v>105</v>
      </c>
      <c r="J1216" s="214"/>
      <c r="K1216" s="214"/>
      <c r="L1216" s="214"/>
      <c r="M1216" s="214"/>
      <c r="N1216" s="214"/>
      <c r="O1216" s="214"/>
      <c r="P1216" s="214"/>
      <c r="Q1216" s="214"/>
      <c r="R1216" s="214"/>
      <c r="S1216" s="214"/>
      <c r="T1216" s="214"/>
      <c r="U1216" s="214"/>
      <c r="V1216" s="214"/>
      <c r="W1216" s="214"/>
      <c r="X1216" s="214"/>
      <c r="Y1216" s="214"/>
      <c r="Z1216" s="214"/>
      <c r="AA1216" s="214"/>
      <c r="AB1216" s="214"/>
      <c r="AC1216" s="214"/>
    </row>
    <row r="1217">
      <c r="A1217" s="242" t="s">
        <v>807</v>
      </c>
      <c r="B1217" s="243" t="s">
        <v>808</v>
      </c>
      <c r="C1217" s="416">
        <f>sum(E1217:E1219)</f>
        <v>6</v>
      </c>
      <c r="D1217" s="356" t="s">
        <v>254</v>
      </c>
      <c r="E1217" s="356">
        <v>2.0</v>
      </c>
      <c r="F1217" s="357"/>
      <c r="G1217" s="357"/>
      <c r="H1217" s="447" t="s">
        <v>255</v>
      </c>
      <c r="I1217" s="482" t="s">
        <v>7</v>
      </c>
      <c r="J1217" s="214"/>
      <c r="K1217" s="214"/>
      <c r="L1217" s="214"/>
      <c r="M1217" s="214"/>
      <c r="N1217" s="214"/>
      <c r="O1217" s="214"/>
      <c r="P1217" s="214"/>
      <c r="Q1217" s="214"/>
      <c r="R1217" s="214"/>
      <c r="S1217" s="214"/>
      <c r="T1217" s="214"/>
      <c r="U1217" s="214"/>
      <c r="V1217" s="214"/>
      <c r="W1217" s="214"/>
      <c r="X1217" s="214"/>
      <c r="Y1217" s="214"/>
      <c r="Z1217" s="214"/>
      <c r="AA1217" s="214"/>
      <c r="AB1217" s="214"/>
      <c r="AC1217" s="214"/>
    </row>
    <row r="1218">
      <c r="A1218" s="222"/>
      <c r="D1218" s="286" t="s">
        <v>229</v>
      </c>
      <c r="E1218" s="286">
        <v>2.0</v>
      </c>
      <c r="F1218" s="261"/>
      <c r="G1218" s="261"/>
      <c r="H1218" s="262" t="s">
        <v>69</v>
      </c>
      <c r="I1218" s="263" t="s">
        <v>65</v>
      </c>
      <c r="J1218" s="214"/>
      <c r="K1218" s="214"/>
      <c r="L1218" s="214"/>
      <c r="M1218" s="214"/>
      <c r="N1218" s="214"/>
      <c r="O1218" s="214"/>
      <c r="P1218" s="214"/>
      <c r="Q1218" s="214"/>
      <c r="R1218" s="214"/>
      <c r="S1218" s="214"/>
      <c r="T1218" s="214"/>
      <c r="U1218" s="214"/>
      <c r="V1218" s="214"/>
      <c r="W1218" s="214"/>
      <c r="X1218" s="214"/>
      <c r="Y1218" s="214"/>
      <c r="Z1218" s="214"/>
      <c r="AA1218" s="214"/>
      <c r="AB1218" s="214"/>
      <c r="AC1218" s="214"/>
    </row>
    <row r="1219">
      <c r="A1219" s="236"/>
      <c r="B1219" s="237"/>
      <c r="C1219" s="237"/>
      <c r="D1219" s="264" t="s">
        <v>162</v>
      </c>
      <c r="E1219" s="264">
        <v>2.0</v>
      </c>
      <c r="F1219" s="479"/>
      <c r="G1219" s="479"/>
      <c r="H1219" s="266" t="s">
        <v>164</v>
      </c>
      <c r="I1219" s="480" t="s">
        <v>163</v>
      </c>
      <c r="J1219" s="214"/>
      <c r="K1219" s="214"/>
      <c r="L1219" s="214"/>
      <c r="M1219" s="214"/>
      <c r="N1219" s="214"/>
      <c r="O1219" s="214"/>
      <c r="P1219" s="214"/>
      <c r="Q1219" s="214"/>
      <c r="R1219" s="214"/>
      <c r="S1219" s="214"/>
      <c r="T1219" s="214"/>
      <c r="U1219" s="214"/>
      <c r="V1219" s="214"/>
      <c r="W1219" s="214"/>
      <c r="X1219" s="214"/>
      <c r="Y1219" s="214"/>
      <c r="Z1219" s="214"/>
      <c r="AA1219" s="214"/>
      <c r="AB1219" s="214"/>
      <c r="AC1219" s="214"/>
    </row>
    <row r="1220">
      <c r="A1220" s="242" t="s">
        <v>809</v>
      </c>
      <c r="B1220" s="243" t="s">
        <v>810</v>
      </c>
      <c r="C1220" s="416">
        <f>sum(E1220:E1222)</f>
        <v>6</v>
      </c>
      <c r="D1220" s="292" t="s">
        <v>64</v>
      </c>
      <c r="E1220" s="292">
        <v>3.0</v>
      </c>
      <c r="F1220" s="293"/>
      <c r="G1220" s="324"/>
      <c r="H1220" s="262" t="s">
        <v>66</v>
      </c>
      <c r="I1220" s="295" t="s">
        <v>65</v>
      </c>
      <c r="J1220" s="214"/>
      <c r="K1220" s="214"/>
      <c r="L1220" s="214"/>
      <c r="M1220" s="214"/>
      <c r="N1220" s="214"/>
      <c r="O1220" s="214"/>
      <c r="P1220" s="214"/>
      <c r="Q1220" s="214"/>
      <c r="R1220" s="214"/>
      <c r="S1220" s="214"/>
      <c r="T1220" s="214"/>
      <c r="U1220" s="214"/>
      <c r="V1220" s="214"/>
      <c r="W1220" s="214"/>
      <c r="X1220" s="214"/>
      <c r="Y1220" s="214"/>
      <c r="Z1220" s="214"/>
      <c r="AA1220" s="214"/>
      <c r="AB1220" s="214"/>
      <c r="AC1220" s="214"/>
    </row>
    <row r="1221">
      <c r="A1221" s="222"/>
      <c r="D1221" s="227" t="s">
        <v>254</v>
      </c>
      <c r="E1221" s="227">
        <v>2.0</v>
      </c>
      <c r="F1221" s="327"/>
      <c r="G1221" s="228"/>
      <c r="H1221" s="229" t="s">
        <v>255</v>
      </c>
      <c r="I1221" s="230" t="s">
        <v>7</v>
      </c>
      <c r="J1221" s="214"/>
      <c r="K1221" s="214"/>
      <c r="L1221" s="214"/>
      <c r="M1221" s="214"/>
      <c r="N1221" s="214"/>
      <c r="O1221" s="214"/>
      <c r="P1221" s="214"/>
      <c r="Q1221" s="214"/>
      <c r="R1221" s="214"/>
      <c r="S1221" s="214"/>
      <c r="T1221" s="214"/>
      <c r="U1221" s="214"/>
      <c r="V1221" s="214"/>
      <c r="W1221" s="214"/>
      <c r="X1221" s="214"/>
      <c r="Y1221" s="214"/>
      <c r="Z1221" s="214"/>
      <c r="AA1221" s="214"/>
      <c r="AB1221" s="214"/>
      <c r="AC1221" s="214"/>
    </row>
    <row r="1222">
      <c r="A1222" s="236"/>
      <c r="B1222" s="237"/>
      <c r="C1222" s="237"/>
      <c r="D1222" s="287" t="s">
        <v>239</v>
      </c>
      <c r="E1222" s="287">
        <v>1.0</v>
      </c>
      <c r="F1222" s="288"/>
      <c r="G1222" s="288"/>
      <c r="H1222" s="289" t="s">
        <v>115</v>
      </c>
      <c r="I1222" s="290" t="s">
        <v>105</v>
      </c>
      <c r="J1222" s="214"/>
      <c r="K1222" s="214"/>
      <c r="L1222" s="214"/>
      <c r="M1222" s="214"/>
      <c r="N1222" s="214"/>
      <c r="O1222" s="214"/>
      <c r="P1222" s="214"/>
      <c r="Q1222" s="214"/>
      <c r="R1222" s="214"/>
      <c r="S1222" s="214"/>
      <c r="T1222" s="214"/>
      <c r="U1222" s="214"/>
      <c r="V1222" s="214"/>
      <c r="W1222" s="214"/>
      <c r="X1222" s="214"/>
      <c r="Y1222" s="214"/>
      <c r="Z1222" s="214"/>
      <c r="AA1222" s="214"/>
      <c r="AB1222" s="214"/>
      <c r="AC1222" s="214"/>
    </row>
    <row r="1223">
      <c r="A1223" s="242" t="s">
        <v>811</v>
      </c>
      <c r="B1223" s="216" t="s">
        <v>812</v>
      </c>
      <c r="C1223" s="416">
        <f>sum(E1223:E1225)</f>
        <v>6</v>
      </c>
      <c r="D1223" s="590" t="s">
        <v>162</v>
      </c>
      <c r="E1223" s="590">
        <v>2.0</v>
      </c>
      <c r="F1223" s="336"/>
      <c r="G1223" s="354"/>
      <c r="H1223" s="591" t="s">
        <v>164</v>
      </c>
      <c r="I1223" s="338" t="s">
        <v>163</v>
      </c>
      <c r="J1223" s="214"/>
      <c r="K1223" s="214"/>
      <c r="L1223" s="214"/>
      <c r="M1223" s="214"/>
      <c r="N1223" s="214"/>
      <c r="O1223" s="214"/>
      <c r="P1223" s="214"/>
      <c r="Q1223" s="214"/>
      <c r="R1223" s="214"/>
      <c r="S1223" s="214"/>
      <c r="T1223" s="214"/>
      <c r="U1223" s="214"/>
      <c r="V1223" s="214"/>
      <c r="W1223" s="214"/>
      <c r="X1223" s="214"/>
      <c r="Y1223" s="214"/>
      <c r="Z1223" s="214"/>
      <c r="AA1223" s="214"/>
      <c r="AB1223" s="214"/>
      <c r="AC1223" s="214"/>
    </row>
    <row r="1224">
      <c r="A1224" s="222"/>
      <c r="D1224" s="299" t="s">
        <v>147</v>
      </c>
      <c r="E1224" s="299">
        <v>3.0</v>
      </c>
      <c r="F1224" s="251"/>
      <c r="G1224" s="251"/>
      <c r="H1224" s="312" t="s">
        <v>145</v>
      </c>
      <c r="I1224" s="300" t="s">
        <v>144</v>
      </c>
      <c r="J1224" s="214"/>
      <c r="K1224" s="214"/>
      <c r="L1224" s="214"/>
      <c r="M1224" s="214"/>
      <c r="N1224" s="214"/>
      <c r="O1224" s="214"/>
      <c r="P1224" s="214"/>
      <c r="Q1224" s="214"/>
      <c r="R1224" s="214"/>
      <c r="S1224" s="214"/>
      <c r="T1224" s="214"/>
      <c r="U1224" s="214"/>
      <c r="V1224" s="214"/>
      <c r="W1224" s="214"/>
      <c r="X1224" s="214"/>
      <c r="Y1224" s="214"/>
      <c r="Z1224" s="214"/>
      <c r="AA1224" s="214"/>
      <c r="AB1224" s="214"/>
      <c r="AC1224" s="214"/>
    </row>
    <row r="1225">
      <c r="A1225" s="236"/>
      <c r="B1225" s="237"/>
      <c r="C1225" s="237"/>
      <c r="D1225" s="287" t="s">
        <v>239</v>
      </c>
      <c r="E1225" s="287">
        <v>1.0</v>
      </c>
      <c r="F1225" s="288"/>
      <c r="G1225" s="288"/>
      <c r="H1225" s="289" t="s">
        <v>115</v>
      </c>
      <c r="I1225" s="290" t="s">
        <v>105</v>
      </c>
      <c r="J1225" s="214"/>
      <c r="K1225" s="214"/>
      <c r="L1225" s="214"/>
      <c r="M1225" s="214"/>
      <c r="N1225" s="214"/>
      <c r="O1225" s="214"/>
      <c r="P1225" s="214"/>
      <c r="Q1225" s="214"/>
      <c r="R1225" s="214"/>
      <c r="S1225" s="214"/>
      <c r="T1225" s="214"/>
      <c r="U1225" s="214"/>
      <c r="V1225" s="214"/>
      <c r="W1225" s="214"/>
      <c r="X1225" s="214"/>
      <c r="Y1225" s="214"/>
      <c r="Z1225" s="214"/>
      <c r="AA1225" s="214"/>
      <c r="AB1225" s="214"/>
      <c r="AC1225" s="214"/>
    </row>
    <row r="1226">
      <c r="A1226" s="215" t="s">
        <v>813</v>
      </c>
      <c r="B1226" s="243" t="s">
        <v>814</v>
      </c>
      <c r="C1226" s="416">
        <f>sum(E1226:E1230)</f>
        <v>6</v>
      </c>
      <c r="D1226" s="335" t="s">
        <v>162</v>
      </c>
      <c r="E1226" s="335">
        <v>2.0</v>
      </c>
      <c r="F1226" s="354"/>
      <c r="G1226" s="354"/>
      <c r="H1226" s="337" t="s">
        <v>164</v>
      </c>
      <c r="I1226" s="355" t="s">
        <v>163</v>
      </c>
      <c r="J1226" s="214"/>
      <c r="K1226" s="214"/>
      <c r="L1226" s="214"/>
      <c r="M1226" s="214"/>
      <c r="N1226" s="214"/>
      <c r="O1226" s="214"/>
      <c r="P1226" s="214"/>
      <c r="Q1226" s="214"/>
      <c r="R1226" s="214"/>
      <c r="S1226" s="214"/>
      <c r="T1226" s="214"/>
      <c r="U1226" s="214"/>
      <c r="V1226" s="214"/>
      <c r="W1226" s="214"/>
      <c r="X1226" s="214"/>
      <c r="Y1226" s="214"/>
      <c r="Z1226" s="214"/>
      <c r="AA1226" s="214"/>
      <c r="AB1226" s="214"/>
      <c r="AC1226" s="214"/>
    </row>
    <row r="1227">
      <c r="A1227" s="222"/>
      <c r="D1227" s="286" t="s">
        <v>94</v>
      </c>
      <c r="E1227" s="286">
        <v>1.0</v>
      </c>
      <c r="F1227" s="261"/>
      <c r="G1227" s="261"/>
      <c r="H1227" s="414" t="s">
        <v>95</v>
      </c>
      <c r="I1227" s="263" t="s">
        <v>65</v>
      </c>
      <c r="J1227" s="214"/>
      <c r="K1227" s="214"/>
      <c r="L1227" s="214"/>
      <c r="M1227" s="214"/>
      <c r="N1227" s="214"/>
      <c r="O1227" s="214"/>
      <c r="P1227" s="214"/>
      <c r="Q1227" s="214"/>
      <c r="R1227" s="214"/>
      <c r="S1227" s="214"/>
      <c r="T1227" s="214"/>
      <c r="U1227" s="214"/>
      <c r="V1227" s="214"/>
      <c r="W1227" s="214"/>
      <c r="X1227" s="214"/>
      <c r="Y1227" s="214"/>
      <c r="Z1227" s="214"/>
      <c r="AA1227" s="214"/>
      <c r="AB1227" s="214"/>
      <c r="AC1227" s="214"/>
    </row>
    <row r="1228">
      <c r="A1228" s="222"/>
      <c r="D1228" s="232" t="s">
        <v>134</v>
      </c>
      <c r="E1228" s="232">
        <v>1.0</v>
      </c>
      <c r="F1228" s="233"/>
      <c r="G1228" s="233"/>
      <c r="H1228" s="234" t="s">
        <v>135</v>
      </c>
      <c r="I1228" s="235" t="s">
        <v>105</v>
      </c>
      <c r="J1228" s="214"/>
      <c r="K1228" s="214"/>
      <c r="L1228" s="214"/>
      <c r="M1228" s="214"/>
      <c r="N1228" s="214"/>
      <c r="O1228" s="214"/>
      <c r="P1228" s="214"/>
      <c r="Q1228" s="214"/>
      <c r="R1228" s="214"/>
      <c r="S1228" s="214"/>
      <c r="T1228" s="214"/>
      <c r="U1228" s="214"/>
      <c r="V1228" s="214"/>
      <c r="W1228" s="214"/>
      <c r="X1228" s="214"/>
      <c r="Y1228" s="214"/>
      <c r="Z1228" s="214"/>
      <c r="AA1228" s="214"/>
      <c r="AB1228" s="214"/>
      <c r="AC1228" s="214"/>
    </row>
    <row r="1229">
      <c r="A1229" s="222"/>
      <c r="D1229" s="434" t="s">
        <v>39</v>
      </c>
      <c r="E1229" s="434">
        <v>1.0</v>
      </c>
      <c r="F1229" s="384"/>
      <c r="G1229" s="384"/>
      <c r="H1229" s="435" t="s">
        <v>40</v>
      </c>
      <c r="I1229" s="429" t="s">
        <v>30</v>
      </c>
      <c r="J1229" s="214"/>
      <c r="K1229" s="214"/>
      <c r="L1229" s="214"/>
      <c r="M1229" s="214"/>
      <c r="N1229" s="214"/>
      <c r="O1229" s="214"/>
      <c r="P1229" s="214"/>
      <c r="Q1229" s="214"/>
      <c r="R1229" s="214"/>
      <c r="S1229" s="214"/>
      <c r="T1229" s="214"/>
      <c r="U1229" s="214"/>
      <c r="V1229" s="214"/>
      <c r="W1229" s="214"/>
      <c r="X1229" s="214"/>
      <c r="Y1229" s="214"/>
      <c r="Z1229" s="214"/>
      <c r="AA1229" s="214"/>
      <c r="AB1229" s="214"/>
      <c r="AC1229" s="214"/>
    </row>
    <row r="1230">
      <c r="A1230" s="236"/>
      <c r="B1230" s="237"/>
      <c r="C1230" s="237"/>
      <c r="D1230" s="459" t="s">
        <v>126</v>
      </c>
      <c r="E1230" s="459">
        <v>1.0</v>
      </c>
      <c r="F1230" s="288"/>
      <c r="G1230" s="288"/>
      <c r="H1230" s="460" t="s">
        <v>127</v>
      </c>
      <c r="I1230" s="290" t="s">
        <v>105</v>
      </c>
      <c r="J1230" s="214"/>
      <c r="K1230" s="214"/>
      <c r="L1230" s="214"/>
      <c r="M1230" s="214"/>
      <c r="N1230" s="214"/>
      <c r="O1230" s="214"/>
      <c r="P1230" s="214"/>
      <c r="Q1230" s="214"/>
      <c r="R1230" s="214"/>
      <c r="S1230" s="214"/>
      <c r="T1230" s="214"/>
      <c r="U1230" s="214"/>
      <c r="V1230" s="214"/>
      <c r="W1230" s="214"/>
      <c r="X1230" s="214"/>
      <c r="Y1230" s="214"/>
      <c r="Z1230" s="214"/>
      <c r="AA1230" s="214"/>
      <c r="AB1230" s="214"/>
      <c r="AC1230" s="214"/>
    </row>
    <row r="1231">
      <c r="A1231" s="242" t="s">
        <v>815</v>
      </c>
      <c r="B1231" s="243" t="s">
        <v>816</v>
      </c>
      <c r="C1231" s="416">
        <f>sum(E1231:E1234)</f>
        <v>6</v>
      </c>
      <c r="D1231" s="245" t="s">
        <v>52</v>
      </c>
      <c r="E1231" s="245">
        <v>1.0</v>
      </c>
      <c r="F1231" s="412"/>
      <c r="G1231" s="246"/>
      <c r="H1231" s="247" t="s">
        <v>53</v>
      </c>
      <c r="I1231" s="248" t="s">
        <v>43</v>
      </c>
      <c r="J1231" s="214"/>
      <c r="K1231" s="214"/>
      <c r="L1231" s="214"/>
      <c r="M1231" s="214"/>
      <c r="N1231" s="214"/>
      <c r="O1231" s="214"/>
      <c r="P1231" s="214"/>
      <c r="Q1231" s="214"/>
      <c r="R1231" s="214"/>
      <c r="S1231" s="214"/>
      <c r="T1231" s="214"/>
      <c r="U1231" s="214"/>
      <c r="V1231" s="214"/>
      <c r="W1231" s="214"/>
      <c r="X1231" s="214"/>
      <c r="Y1231" s="214"/>
      <c r="Z1231" s="214"/>
      <c r="AA1231" s="214"/>
      <c r="AB1231" s="214"/>
      <c r="AC1231" s="214"/>
    </row>
    <row r="1232">
      <c r="A1232" s="222"/>
      <c r="D1232" s="286" t="s">
        <v>82</v>
      </c>
      <c r="E1232" s="286">
        <v>1.0</v>
      </c>
      <c r="F1232" s="261"/>
      <c r="G1232" s="261"/>
      <c r="H1232" s="414" t="s">
        <v>83</v>
      </c>
      <c r="I1232" s="263" t="s">
        <v>65</v>
      </c>
      <c r="J1232" s="214"/>
      <c r="K1232" s="214"/>
      <c r="L1232" s="214"/>
      <c r="M1232" s="214"/>
      <c r="N1232" s="214"/>
      <c r="O1232" s="214"/>
      <c r="P1232" s="214"/>
      <c r="Q1232" s="214"/>
      <c r="R1232" s="214"/>
      <c r="S1232" s="214"/>
      <c r="T1232" s="214"/>
      <c r="U1232" s="214"/>
      <c r="V1232" s="214"/>
      <c r="W1232" s="214"/>
      <c r="X1232" s="214"/>
      <c r="Y1232" s="214"/>
      <c r="Z1232" s="214"/>
      <c r="AA1232" s="214"/>
      <c r="AB1232" s="214"/>
      <c r="AC1232" s="214"/>
    </row>
    <row r="1233">
      <c r="A1233" s="222"/>
      <c r="D1233" s="271" t="s">
        <v>162</v>
      </c>
      <c r="E1233" s="271">
        <v>2.0</v>
      </c>
      <c r="F1233" s="272"/>
      <c r="G1233" s="272"/>
      <c r="H1233" s="273" t="s">
        <v>164</v>
      </c>
      <c r="I1233" s="393" t="s">
        <v>163</v>
      </c>
      <c r="J1233" s="214"/>
      <c r="K1233" s="214"/>
      <c r="L1233" s="214"/>
      <c r="M1233" s="214"/>
      <c r="N1233" s="214"/>
      <c r="O1233" s="214"/>
      <c r="P1233" s="214"/>
      <c r="Q1233" s="214"/>
      <c r="R1233" s="214"/>
      <c r="S1233" s="214"/>
      <c r="T1233" s="214"/>
      <c r="U1233" s="214"/>
      <c r="V1233" s="214"/>
      <c r="W1233" s="214"/>
      <c r="X1233" s="214"/>
      <c r="Y1233" s="214"/>
      <c r="Z1233" s="214"/>
      <c r="AA1233" s="214"/>
      <c r="AB1233" s="214"/>
      <c r="AC1233" s="214"/>
    </row>
    <row r="1234">
      <c r="A1234" s="236"/>
      <c r="B1234" s="237"/>
      <c r="C1234" s="237"/>
      <c r="D1234" s="459" t="s">
        <v>108</v>
      </c>
      <c r="E1234" s="459">
        <v>2.0</v>
      </c>
      <c r="F1234" s="288"/>
      <c r="G1234" s="288"/>
      <c r="H1234" s="460" t="s">
        <v>109</v>
      </c>
      <c r="I1234" s="605" t="s">
        <v>105</v>
      </c>
      <c r="J1234" s="214"/>
      <c r="K1234" s="214"/>
      <c r="L1234" s="214"/>
      <c r="M1234" s="214"/>
      <c r="N1234" s="214"/>
      <c r="O1234" s="214"/>
      <c r="P1234" s="214"/>
      <c r="Q1234" s="214"/>
      <c r="R1234" s="214"/>
      <c r="S1234" s="214"/>
      <c r="T1234" s="214"/>
      <c r="U1234" s="214"/>
      <c r="V1234" s="214"/>
      <c r="W1234" s="214"/>
      <c r="X1234" s="214"/>
      <c r="Y1234" s="214"/>
      <c r="Z1234" s="214"/>
      <c r="AA1234" s="214"/>
      <c r="AB1234" s="214"/>
      <c r="AC1234" s="214"/>
    </row>
    <row r="1235">
      <c r="A1235" s="242" t="s">
        <v>817</v>
      </c>
      <c r="B1235" s="439" t="s">
        <v>818</v>
      </c>
      <c r="C1235" s="416">
        <f>sum(E1235:E1238)</f>
        <v>6</v>
      </c>
      <c r="D1235" s="292" t="s">
        <v>229</v>
      </c>
      <c r="E1235" s="292">
        <v>2.0</v>
      </c>
      <c r="F1235" s="324"/>
      <c r="G1235" s="324"/>
      <c r="H1235" s="294" t="s">
        <v>69</v>
      </c>
      <c r="I1235" s="457" t="s">
        <v>65</v>
      </c>
      <c r="J1235" s="214"/>
      <c r="K1235" s="214"/>
      <c r="L1235" s="214"/>
      <c r="M1235" s="214"/>
      <c r="N1235" s="214"/>
      <c r="O1235" s="214"/>
      <c r="P1235" s="214"/>
      <c r="Q1235" s="214"/>
      <c r="R1235" s="214"/>
      <c r="S1235" s="214"/>
      <c r="T1235" s="214"/>
      <c r="U1235" s="214"/>
      <c r="V1235" s="214"/>
      <c r="W1235" s="214"/>
      <c r="X1235" s="214"/>
      <c r="Y1235" s="214"/>
      <c r="Z1235" s="214"/>
      <c r="AA1235" s="214"/>
      <c r="AB1235" s="214"/>
      <c r="AC1235" s="214"/>
    </row>
    <row r="1236">
      <c r="A1236" s="222"/>
      <c r="D1236" s="271" t="s">
        <v>162</v>
      </c>
      <c r="E1236" s="271">
        <v>2.0</v>
      </c>
      <c r="F1236" s="272"/>
      <c r="G1236" s="272"/>
      <c r="H1236" s="273" t="s">
        <v>164</v>
      </c>
      <c r="I1236" s="393" t="s">
        <v>163</v>
      </c>
      <c r="J1236" s="214"/>
      <c r="K1236" s="214"/>
      <c r="L1236" s="214"/>
      <c r="M1236" s="214"/>
      <c r="N1236" s="214"/>
      <c r="O1236" s="214"/>
      <c r="P1236" s="214"/>
      <c r="Q1236" s="214"/>
      <c r="R1236" s="214"/>
      <c r="S1236" s="214"/>
      <c r="T1236" s="214"/>
      <c r="U1236" s="214"/>
      <c r="V1236" s="214"/>
      <c r="W1236" s="214"/>
      <c r="X1236" s="214"/>
      <c r="Y1236" s="214"/>
      <c r="Z1236" s="214"/>
      <c r="AA1236" s="214"/>
      <c r="AB1236" s="214"/>
      <c r="AC1236" s="214"/>
    </row>
    <row r="1237">
      <c r="A1237" s="222"/>
      <c r="D1237" s="256" t="s">
        <v>185</v>
      </c>
      <c r="E1237" s="256">
        <v>1.0</v>
      </c>
      <c r="F1237" s="301"/>
      <c r="G1237" s="257"/>
      <c r="H1237" s="258" t="s">
        <v>187</v>
      </c>
      <c r="I1237" s="259" t="s">
        <v>186</v>
      </c>
      <c r="J1237" s="214"/>
      <c r="K1237" s="214"/>
      <c r="L1237" s="214"/>
      <c r="M1237" s="214"/>
      <c r="N1237" s="214"/>
      <c r="O1237" s="214"/>
      <c r="P1237" s="214"/>
      <c r="Q1237" s="214"/>
      <c r="R1237" s="214"/>
      <c r="S1237" s="214"/>
      <c r="T1237" s="214"/>
      <c r="U1237" s="214"/>
      <c r="V1237" s="214"/>
      <c r="W1237" s="214"/>
      <c r="X1237" s="214"/>
      <c r="Y1237" s="214"/>
      <c r="Z1237" s="214"/>
      <c r="AA1237" s="214"/>
      <c r="AB1237" s="214"/>
      <c r="AC1237" s="214"/>
    </row>
    <row r="1238" ht="17.25" customHeight="1">
      <c r="A1238" s="236"/>
      <c r="B1238" s="237"/>
      <c r="C1238" s="237"/>
      <c r="D1238" s="287" t="s">
        <v>120</v>
      </c>
      <c r="E1238" s="287">
        <v>1.0</v>
      </c>
      <c r="F1238" s="288"/>
      <c r="G1238" s="288"/>
      <c r="H1238" s="289" t="s">
        <v>289</v>
      </c>
      <c r="I1238" s="290" t="s">
        <v>105</v>
      </c>
      <c r="J1238" s="214"/>
      <c r="K1238" s="214"/>
      <c r="L1238" s="214"/>
      <c r="M1238" s="214"/>
      <c r="N1238" s="214"/>
      <c r="O1238" s="214"/>
      <c r="P1238" s="214"/>
      <c r="Q1238" s="214"/>
      <c r="R1238" s="214"/>
      <c r="S1238" s="214"/>
      <c r="T1238" s="214"/>
      <c r="U1238" s="214"/>
      <c r="V1238" s="214"/>
      <c r="W1238" s="214"/>
      <c r="X1238" s="214"/>
      <c r="Y1238" s="214"/>
      <c r="Z1238" s="214"/>
      <c r="AA1238" s="214"/>
      <c r="AB1238" s="214"/>
      <c r="AC1238" s="214"/>
    </row>
    <row r="1239">
      <c r="A1239" s="242" t="s">
        <v>819</v>
      </c>
      <c r="B1239" s="243" t="s">
        <v>820</v>
      </c>
      <c r="C1239" s="416">
        <f>sum(E1239:E1242)</f>
        <v>6</v>
      </c>
      <c r="D1239" s="356" t="s">
        <v>254</v>
      </c>
      <c r="E1239" s="356">
        <v>2.0</v>
      </c>
      <c r="F1239" s="357"/>
      <c r="G1239" s="357"/>
      <c r="H1239" s="447" t="s">
        <v>255</v>
      </c>
      <c r="I1239" s="359" t="s">
        <v>7</v>
      </c>
      <c r="J1239" s="527"/>
      <c r="K1239" s="527"/>
      <c r="L1239" s="527"/>
      <c r="M1239" s="527"/>
      <c r="N1239" s="527"/>
      <c r="O1239" s="527"/>
      <c r="P1239" s="527"/>
      <c r="Q1239" s="527"/>
      <c r="R1239" s="527"/>
      <c r="S1239" s="527"/>
      <c r="T1239" s="527"/>
      <c r="U1239" s="527"/>
      <c r="V1239" s="527"/>
      <c r="W1239" s="527"/>
      <c r="X1239" s="527"/>
      <c r="Y1239" s="527"/>
      <c r="Z1239" s="527"/>
      <c r="AA1239" s="527"/>
      <c r="AB1239" s="527"/>
      <c r="AC1239" s="527"/>
    </row>
    <row r="1240">
      <c r="A1240" s="222"/>
      <c r="D1240" s="333" t="s">
        <v>97</v>
      </c>
      <c r="E1240" s="333">
        <v>2.0</v>
      </c>
      <c r="F1240" s="276"/>
      <c r="G1240" s="276"/>
      <c r="H1240" s="334" t="s">
        <v>99</v>
      </c>
      <c r="I1240" s="278" t="s">
        <v>98</v>
      </c>
      <c r="J1240" s="527"/>
      <c r="K1240" s="527"/>
      <c r="L1240" s="527"/>
      <c r="M1240" s="527"/>
      <c r="N1240" s="527"/>
      <c r="O1240" s="527"/>
      <c r="P1240" s="527"/>
      <c r="Q1240" s="527"/>
      <c r="R1240" s="527"/>
      <c r="S1240" s="527"/>
      <c r="T1240" s="527"/>
      <c r="U1240" s="527"/>
      <c r="V1240" s="527"/>
      <c r="W1240" s="527"/>
      <c r="X1240" s="527"/>
      <c r="Y1240" s="527"/>
      <c r="Z1240" s="527"/>
      <c r="AA1240" s="527"/>
      <c r="AB1240" s="527"/>
      <c r="AC1240" s="527"/>
    </row>
    <row r="1241">
      <c r="A1241" s="222"/>
      <c r="D1241" s="279" t="s">
        <v>55</v>
      </c>
      <c r="E1241" s="279">
        <v>1.0</v>
      </c>
      <c r="F1241" s="280"/>
      <c r="G1241" s="280"/>
      <c r="H1241" s="281" t="s">
        <v>56</v>
      </c>
      <c r="I1241" s="282" t="s">
        <v>43</v>
      </c>
      <c r="J1241" s="527"/>
      <c r="K1241" s="527"/>
      <c r="L1241" s="527"/>
      <c r="M1241" s="527"/>
      <c r="N1241" s="527"/>
      <c r="O1241" s="527"/>
      <c r="P1241" s="527"/>
      <c r="Q1241" s="527"/>
      <c r="R1241" s="527"/>
      <c r="S1241" s="527"/>
      <c r="T1241" s="527"/>
      <c r="U1241" s="527"/>
      <c r="V1241" s="527"/>
      <c r="W1241" s="527"/>
      <c r="X1241" s="527"/>
      <c r="Y1241" s="527"/>
      <c r="Z1241" s="527"/>
      <c r="AA1241" s="527"/>
      <c r="AB1241" s="527"/>
      <c r="AC1241" s="527"/>
    </row>
    <row r="1242">
      <c r="A1242" s="236"/>
      <c r="B1242" s="237"/>
      <c r="C1242" s="237"/>
      <c r="D1242" s="495" t="s">
        <v>189</v>
      </c>
      <c r="E1242" s="495">
        <v>1.0</v>
      </c>
      <c r="F1242" s="500"/>
      <c r="G1242" s="500"/>
      <c r="H1242" s="497" t="s">
        <v>190</v>
      </c>
      <c r="I1242" s="501" t="s">
        <v>186</v>
      </c>
      <c r="J1242" s="527"/>
      <c r="K1242" s="527"/>
      <c r="L1242" s="527"/>
      <c r="M1242" s="527"/>
      <c r="N1242" s="527"/>
      <c r="O1242" s="527"/>
      <c r="P1242" s="527"/>
      <c r="Q1242" s="527"/>
      <c r="R1242" s="527"/>
      <c r="S1242" s="527"/>
      <c r="T1242" s="527"/>
      <c r="U1242" s="527"/>
      <c r="V1242" s="527"/>
      <c r="W1242" s="527"/>
      <c r="X1242" s="527"/>
      <c r="Y1242" s="527"/>
      <c r="Z1242" s="527"/>
      <c r="AA1242" s="527"/>
      <c r="AB1242" s="527"/>
      <c r="AC1242" s="527"/>
    </row>
    <row r="1243">
      <c r="A1243" s="534" t="s">
        <v>821</v>
      </c>
      <c r="B1243" s="529" t="s">
        <v>822</v>
      </c>
      <c r="C1243" s="416">
        <f>sum(E1243:E1246)</f>
        <v>6</v>
      </c>
      <c r="D1243" s="292" t="s">
        <v>94</v>
      </c>
      <c r="E1243" s="292">
        <v>1.0</v>
      </c>
      <c r="F1243" s="293"/>
      <c r="G1243" s="293"/>
      <c r="H1243" s="486" t="s">
        <v>95</v>
      </c>
      <c r="I1243" s="457" t="s">
        <v>65</v>
      </c>
    </row>
    <row r="1244">
      <c r="A1244" s="222"/>
      <c r="D1244" s="271" t="s">
        <v>172</v>
      </c>
      <c r="E1244" s="271">
        <v>1.0</v>
      </c>
      <c r="F1244" s="317"/>
      <c r="G1244" s="317"/>
      <c r="H1244" s="273" t="s">
        <v>389</v>
      </c>
      <c r="I1244" s="274" t="s">
        <v>163</v>
      </c>
    </row>
    <row r="1245">
      <c r="A1245" s="222"/>
      <c r="D1245" s="279" t="s">
        <v>49</v>
      </c>
      <c r="E1245" s="279">
        <v>2.0</v>
      </c>
      <c r="F1245" s="280"/>
      <c r="G1245" s="280"/>
      <c r="H1245" s="281" t="s">
        <v>50</v>
      </c>
      <c r="I1245" s="282" t="s">
        <v>43</v>
      </c>
    </row>
    <row r="1246">
      <c r="A1246" s="236"/>
      <c r="B1246" s="237"/>
      <c r="C1246" s="237"/>
      <c r="D1246" s="418" t="s">
        <v>22</v>
      </c>
      <c r="E1246" s="418">
        <v>2.0</v>
      </c>
      <c r="F1246" s="539"/>
      <c r="G1246" s="419"/>
      <c r="H1246" s="420" t="s">
        <v>265</v>
      </c>
      <c r="I1246" s="421" t="s">
        <v>23</v>
      </c>
    </row>
    <row r="1247">
      <c r="A1247" s="534" t="s">
        <v>823</v>
      </c>
      <c r="B1247" s="552" t="s">
        <v>824</v>
      </c>
      <c r="C1247" s="416">
        <f>sum(E1247:E1250)</f>
        <v>6</v>
      </c>
      <c r="D1247" s="512" t="s">
        <v>39</v>
      </c>
      <c r="E1247" s="512">
        <v>1.0</v>
      </c>
      <c r="F1247" s="488"/>
      <c r="G1247" s="489"/>
      <c r="H1247" s="513" t="s">
        <v>40</v>
      </c>
      <c r="I1247" s="514" t="s">
        <v>30</v>
      </c>
    </row>
    <row r="1248">
      <c r="A1248" s="222"/>
      <c r="D1248" s="286" t="s">
        <v>70</v>
      </c>
      <c r="E1248" s="286">
        <v>2.0</v>
      </c>
      <c r="F1248" s="318"/>
      <c r="G1248" s="318"/>
      <c r="H1248" s="262" t="s">
        <v>237</v>
      </c>
      <c r="I1248" s="263" t="s">
        <v>65</v>
      </c>
    </row>
    <row r="1249">
      <c r="A1249" s="222"/>
      <c r="D1249" s="232" t="s">
        <v>120</v>
      </c>
      <c r="E1249" s="232">
        <v>1.0</v>
      </c>
      <c r="F1249" s="233"/>
      <c r="G1249" s="233"/>
      <c r="H1249" s="234" t="s">
        <v>289</v>
      </c>
      <c r="I1249" s="235" t="s">
        <v>105</v>
      </c>
    </row>
    <row r="1250">
      <c r="A1250" s="236"/>
      <c r="B1250" s="237"/>
      <c r="C1250" s="237"/>
      <c r="D1250" s="648" t="s">
        <v>825</v>
      </c>
      <c r="E1250" s="649">
        <v>2.0</v>
      </c>
      <c r="F1250" s="650"/>
      <c r="G1250" s="651"/>
      <c r="H1250" s="652" t="s">
        <v>826</v>
      </c>
      <c r="I1250" s="290" t="s">
        <v>105</v>
      </c>
    </row>
    <row r="1251">
      <c r="A1251" s="349" t="s">
        <v>827</v>
      </c>
      <c r="B1251" s="529" t="s">
        <v>452</v>
      </c>
      <c r="C1251" s="416">
        <f>sum(E1251:E1253)</f>
        <v>6</v>
      </c>
      <c r="D1251" s="292" t="s">
        <v>88</v>
      </c>
      <c r="E1251" s="292">
        <v>1.0</v>
      </c>
      <c r="F1251" s="324"/>
      <c r="G1251" s="324"/>
      <c r="H1251" s="486" t="s">
        <v>89</v>
      </c>
      <c r="I1251" s="295" t="s">
        <v>65</v>
      </c>
    </row>
    <row r="1252">
      <c r="A1252" s="222"/>
      <c r="D1252" s="333" t="s">
        <v>101</v>
      </c>
      <c r="E1252" s="333">
        <v>2.0</v>
      </c>
      <c r="F1252" s="296"/>
      <c r="G1252" s="296"/>
      <c r="H1252" s="334" t="s">
        <v>102</v>
      </c>
      <c r="I1252" s="297" t="s">
        <v>98</v>
      </c>
    </row>
    <row r="1253">
      <c r="A1253" s="236"/>
      <c r="B1253" s="237"/>
      <c r="C1253" s="237"/>
      <c r="D1253" s="320" t="s">
        <v>147</v>
      </c>
      <c r="E1253" s="320">
        <v>3.0</v>
      </c>
      <c r="F1253" s="436"/>
      <c r="G1253" s="436"/>
      <c r="H1253" s="322" t="s">
        <v>145</v>
      </c>
      <c r="I1253" s="323" t="s">
        <v>144</v>
      </c>
    </row>
    <row r="1254">
      <c r="A1254" s="349" t="s">
        <v>828</v>
      </c>
      <c r="B1254" s="529" t="s">
        <v>829</v>
      </c>
      <c r="C1254" s="416">
        <f>sum(E1254:E1258)</f>
        <v>6</v>
      </c>
      <c r="D1254" s="308" t="s">
        <v>117</v>
      </c>
      <c r="E1254" s="308">
        <v>1.0</v>
      </c>
      <c r="F1254" s="309"/>
      <c r="G1254" s="309"/>
      <c r="H1254" s="310" t="s">
        <v>238</v>
      </c>
      <c r="I1254" s="311" t="s">
        <v>105</v>
      </c>
    </row>
    <row r="1255">
      <c r="A1255" s="222"/>
      <c r="D1255" s="271" t="s">
        <v>162</v>
      </c>
      <c r="E1255" s="271">
        <v>2.0</v>
      </c>
      <c r="F1255" s="317"/>
      <c r="G1255" s="272"/>
      <c r="H1255" s="273" t="s">
        <v>164</v>
      </c>
      <c r="I1255" s="274" t="s">
        <v>163</v>
      </c>
    </row>
    <row r="1256">
      <c r="A1256" s="222"/>
      <c r="D1256" s="299" t="s">
        <v>159</v>
      </c>
      <c r="E1256" s="299">
        <v>1.0</v>
      </c>
      <c r="F1256" s="251"/>
      <c r="G1256" s="251"/>
      <c r="H1256" s="312" t="s">
        <v>160</v>
      </c>
      <c r="I1256" s="300" t="s">
        <v>144</v>
      </c>
    </row>
    <row r="1257">
      <c r="A1257" s="222"/>
      <c r="D1257" s="232" t="s">
        <v>239</v>
      </c>
      <c r="E1257" s="232">
        <v>1.0</v>
      </c>
      <c r="F1257" s="233"/>
      <c r="G1257" s="233"/>
      <c r="H1257" s="234" t="s">
        <v>115</v>
      </c>
      <c r="I1257" s="235" t="s">
        <v>105</v>
      </c>
    </row>
    <row r="1258">
      <c r="A1258" s="236"/>
      <c r="B1258" s="237"/>
      <c r="C1258" s="237"/>
      <c r="D1258" s="495" t="s">
        <v>185</v>
      </c>
      <c r="E1258" s="495">
        <v>1.0</v>
      </c>
      <c r="F1258" s="496"/>
      <c r="G1258" s="500"/>
      <c r="H1258" s="497" t="s">
        <v>187</v>
      </c>
      <c r="I1258" s="501" t="s">
        <v>186</v>
      </c>
    </row>
    <row r="1259">
      <c r="A1259" s="349" t="s">
        <v>830</v>
      </c>
      <c r="B1259" s="529" t="s">
        <v>831</v>
      </c>
      <c r="C1259" s="416">
        <f>sum(E1259:E1262)</f>
        <v>6</v>
      </c>
      <c r="D1259" s="521" t="s">
        <v>147</v>
      </c>
      <c r="E1259" s="521">
        <v>3.0</v>
      </c>
      <c r="F1259" s="525"/>
      <c r="G1259" s="525"/>
      <c r="H1259" s="523" t="s">
        <v>145</v>
      </c>
      <c r="I1259" s="538" t="s">
        <v>144</v>
      </c>
    </row>
    <row r="1260">
      <c r="A1260" s="222"/>
      <c r="D1260" s="232" t="s">
        <v>131</v>
      </c>
      <c r="E1260" s="232">
        <v>1.0</v>
      </c>
      <c r="F1260" s="233"/>
      <c r="G1260" s="233"/>
      <c r="H1260" s="234" t="s">
        <v>132</v>
      </c>
      <c r="I1260" s="235" t="s">
        <v>105</v>
      </c>
    </row>
    <row r="1261">
      <c r="A1261" s="222"/>
      <c r="D1261" s="232" t="s">
        <v>140</v>
      </c>
      <c r="E1261" s="232">
        <v>1.0</v>
      </c>
      <c r="F1261" s="233"/>
      <c r="G1261" s="233"/>
      <c r="H1261" s="234" t="s">
        <v>141</v>
      </c>
      <c r="I1261" s="235" t="s">
        <v>105</v>
      </c>
    </row>
    <row r="1262">
      <c r="A1262" s="236"/>
      <c r="B1262" s="237"/>
      <c r="C1262" s="237"/>
      <c r="D1262" s="287" t="s">
        <v>239</v>
      </c>
      <c r="E1262" s="287">
        <v>1.0</v>
      </c>
      <c r="F1262" s="288"/>
      <c r="G1262" s="288"/>
      <c r="H1262" s="289" t="s">
        <v>115</v>
      </c>
      <c r="I1262" s="290" t="s">
        <v>105</v>
      </c>
    </row>
    <row r="1263">
      <c r="A1263" s="349" t="s">
        <v>832</v>
      </c>
      <c r="B1263" s="529" t="s">
        <v>303</v>
      </c>
      <c r="C1263" s="416">
        <f>sum(E1263:E1265)</f>
        <v>6</v>
      </c>
      <c r="D1263" s="245" t="s">
        <v>49</v>
      </c>
      <c r="E1263" s="245">
        <v>2.0</v>
      </c>
      <c r="F1263" s="246"/>
      <c r="G1263" s="246"/>
      <c r="H1263" s="247" t="s">
        <v>50</v>
      </c>
      <c r="I1263" s="248" t="s">
        <v>43</v>
      </c>
    </row>
    <row r="1264">
      <c r="A1264" s="222"/>
      <c r="D1264" s="275" t="s">
        <v>97</v>
      </c>
      <c r="E1264" s="275">
        <v>2.0</v>
      </c>
      <c r="F1264" s="276"/>
      <c r="G1264" s="276"/>
      <c r="H1264" s="277" t="s">
        <v>99</v>
      </c>
      <c r="I1264" s="278" t="s">
        <v>98</v>
      </c>
    </row>
    <row r="1265">
      <c r="A1265" s="236"/>
      <c r="B1265" s="237"/>
      <c r="C1265" s="237"/>
      <c r="D1265" s="264" t="s">
        <v>162</v>
      </c>
      <c r="E1265" s="264">
        <v>2.0</v>
      </c>
      <c r="F1265" s="265"/>
      <c r="G1265" s="479"/>
      <c r="H1265" s="266" t="s">
        <v>164</v>
      </c>
      <c r="I1265" s="267" t="s">
        <v>163</v>
      </c>
    </row>
    <row r="1266">
      <c r="A1266" s="349" t="s">
        <v>833</v>
      </c>
      <c r="B1266" s="529" t="s">
        <v>834</v>
      </c>
      <c r="C1266" s="416">
        <f>sum(E1266:E1268)</f>
        <v>6</v>
      </c>
      <c r="D1266" s="356" t="s">
        <v>17</v>
      </c>
      <c r="E1266" s="356">
        <v>2.0</v>
      </c>
      <c r="F1266" s="357"/>
      <c r="G1266" s="357"/>
      <c r="H1266" s="358" t="s">
        <v>260</v>
      </c>
      <c r="I1266" s="359" t="s">
        <v>7</v>
      </c>
    </row>
    <row r="1267">
      <c r="A1267" s="222"/>
      <c r="D1267" s="279" t="s">
        <v>49</v>
      </c>
      <c r="E1267" s="279">
        <v>2.0</v>
      </c>
      <c r="F1267" s="280"/>
      <c r="G1267" s="280"/>
      <c r="H1267" s="281" t="s">
        <v>50</v>
      </c>
      <c r="I1267" s="282" t="s">
        <v>43</v>
      </c>
    </row>
    <row r="1268">
      <c r="A1268" s="236"/>
      <c r="B1268" s="237"/>
      <c r="C1268" s="237"/>
      <c r="D1268" s="264" t="s">
        <v>162</v>
      </c>
      <c r="E1268" s="264">
        <v>2.0</v>
      </c>
      <c r="F1268" s="265"/>
      <c r="G1268" s="479"/>
      <c r="H1268" s="266" t="s">
        <v>164</v>
      </c>
      <c r="I1268" s="267" t="s">
        <v>163</v>
      </c>
    </row>
    <row r="1269">
      <c r="A1269" s="349" t="s">
        <v>835</v>
      </c>
      <c r="B1269" s="529" t="s">
        <v>529</v>
      </c>
      <c r="C1269" s="416">
        <f>sum(E1269:E1272)</f>
        <v>6</v>
      </c>
      <c r="D1269" s="245" t="s">
        <v>49</v>
      </c>
      <c r="E1269" s="245">
        <v>2.0</v>
      </c>
      <c r="F1269" s="246"/>
      <c r="G1269" s="246"/>
      <c r="H1269" s="653" t="s">
        <v>47</v>
      </c>
      <c r="I1269" s="248" t="s">
        <v>43</v>
      </c>
    </row>
    <row r="1270">
      <c r="A1270" s="222"/>
      <c r="D1270" s="299" t="s">
        <v>159</v>
      </c>
      <c r="E1270" s="299">
        <v>1.0</v>
      </c>
      <c r="F1270" s="251"/>
      <c r="G1270" s="251"/>
      <c r="H1270" s="312" t="s">
        <v>160</v>
      </c>
      <c r="I1270" s="253" t="s">
        <v>144</v>
      </c>
    </row>
    <row r="1271">
      <c r="A1271" s="222"/>
      <c r="D1271" s="271" t="s">
        <v>162</v>
      </c>
      <c r="E1271" s="271">
        <v>2.0</v>
      </c>
      <c r="F1271" s="317"/>
      <c r="G1271" s="317"/>
      <c r="H1271" s="273" t="s">
        <v>164</v>
      </c>
      <c r="I1271" s="274" t="s">
        <v>163</v>
      </c>
    </row>
    <row r="1272">
      <c r="A1272" s="236"/>
      <c r="B1272" s="237"/>
      <c r="C1272" s="237"/>
      <c r="D1272" s="459" t="s">
        <v>120</v>
      </c>
      <c r="E1272" s="459">
        <v>1.0</v>
      </c>
      <c r="F1272" s="404"/>
      <c r="G1272" s="288"/>
      <c r="H1272" s="460" t="s">
        <v>121</v>
      </c>
      <c r="I1272" s="461" t="s">
        <v>105</v>
      </c>
    </row>
    <row r="1273">
      <c r="A1273" s="349" t="s">
        <v>836</v>
      </c>
      <c r="B1273" s="529" t="s">
        <v>837</v>
      </c>
      <c r="C1273" s="416">
        <f>sum(E1273:E1276)</f>
        <v>6</v>
      </c>
      <c r="D1273" s="356" t="s">
        <v>19</v>
      </c>
      <c r="E1273" s="356">
        <v>2.0</v>
      </c>
      <c r="F1273" s="357"/>
      <c r="G1273" s="357"/>
      <c r="H1273" s="447" t="s">
        <v>20</v>
      </c>
      <c r="I1273" s="359" t="s">
        <v>7</v>
      </c>
    </row>
    <row r="1274">
      <c r="A1274" s="222"/>
      <c r="D1274" s="232" t="s">
        <v>117</v>
      </c>
      <c r="E1274" s="232">
        <v>1.0</v>
      </c>
      <c r="F1274" s="233"/>
      <c r="G1274" s="233"/>
      <c r="H1274" s="234" t="s">
        <v>238</v>
      </c>
      <c r="I1274" s="235" t="s">
        <v>105</v>
      </c>
    </row>
    <row r="1275">
      <c r="A1275" s="222"/>
      <c r="D1275" s="279" t="s">
        <v>49</v>
      </c>
      <c r="E1275" s="279">
        <v>2.0</v>
      </c>
      <c r="F1275" s="280"/>
      <c r="G1275" s="280"/>
      <c r="H1275" s="281" t="s">
        <v>50</v>
      </c>
      <c r="I1275" s="282" t="s">
        <v>43</v>
      </c>
    </row>
    <row r="1276">
      <c r="A1276" s="236"/>
      <c r="B1276" s="237"/>
      <c r="C1276" s="237"/>
      <c r="D1276" s="287" t="s">
        <v>123</v>
      </c>
      <c r="E1276" s="287">
        <v>1.0</v>
      </c>
      <c r="F1276" s="288"/>
      <c r="G1276" s="288"/>
      <c r="H1276" s="289" t="s">
        <v>124</v>
      </c>
      <c r="I1276" s="290" t="s">
        <v>105</v>
      </c>
    </row>
    <row r="1277">
      <c r="A1277" s="534" t="s">
        <v>838</v>
      </c>
      <c r="B1277" s="529" t="s">
        <v>839</v>
      </c>
      <c r="C1277" s="416">
        <f>sum(E1277:E1280)</f>
        <v>6</v>
      </c>
      <c r="D1277" s="335" t="s">
        <v>166</v>
      </c>
      <c r="E1277" s="335">
        <v>2.0</v>
      </c>
      <c r="F1277" s="354"/>
      <c r="G1277" s="354"/>
      <c r="H1277" s="337" t="s">
        <v>167</v>
      </c>
      <c r="I1277" s="338" t="s">
        <v>163</v>
      </c>
    </row>
    <row r="1278">
      <c r="A1278" s="222"/>
      <c r="D1278" s="256" t="s">
        <v>189</v>
      </c>
      <c r="E1278" s="256">
        <v>1.0</v>
      </c>
      <c r="F1278" s="257"/>
      <c r="G1278" s="257"/>
      <c r="H1278" s="258" t="s">
        <v>190</v>
      </c>
      <c r="I1278" s="315" t="s">
        <v>186</v>
      </c>
    </row>
    <row r="1279">
      <c r="A1279" s="222"/>
      <c r="D1279" s="286" t="s">
        <v>76</v>
      </c>
      <c r="E1279" s="286">
        <v>2.0</v>
      </c>
      <c r="F1279" s="318"/>
      <c r="G1279" s="318"/>
      <c r="H1279" s="262" t="s">
        <v>77</v>
      </c>
      <c r="I1279" s="285" t="s">
        <v>65</v>
      </c>
    </row>
    <row r="1280">
      <c r="A1280" s="236"/>
      <c r="B1280" s="237"/>
      <c r="C1280" s="237"/>
      <c r="D1280" s="287" t="s">
        <v>117</v>
      </c>
      <c r="E1280" s="287">
        <v>1.0</v>
      </c>
      <c r="F1280" s="288"/>
      <c r="G1280" s="288"/>
      <c r="H1280" s="289" t="s">
        <v>238</v>
      </c>
      <c r="I1280" s="461" t="s">
        <v>105</v>
      </c>
    </row>
    <row r="1281">
      <c r="A1281" s="349" t="s">
        <v>840</v>
      </c>
      <c r="B1281" s="529" t="s">
        <v>629</v>
      </c>
      <c r="C1281" s="416">
        <f>sum(E1281:E1283)</f>
        <v>6</v>
      </c>
      <c r="D1281" s="356" t="s">
        <v>11</v>
      </c>
      <c r="E1281" s="356">
        <v>2.0</v>
      </c>
      <c r="F1281" s="357"/>
      <c r="G1281" s="357"/>
      <c r="H1281" s="447" t="s">
        <v>294</v>
      </c>
      <c r="I1281" s="482" t="s">
        <v>7</v>
      </c>
    </row>
    <row r="1282">
      <c r="A1282" s="222"/>
      <c r="D1282" s="271" t="s">
        <v>162</v>
      </c>
      <c r="E1282" s="271">
        <v>2.0</v>
      </c>
      <c r="F1282" s="317"/>
      <c r="G1282" s="317"/>
      <c r="H1282" s="273" t="s">
        <v>164</v>
      </c>
      <c r="I1282" s="274" t="s">
        <v>163</v>
      </c>
    </row>
    <row r="1283">
      <c r="A1283" s="236"/>
      <c r="B1283" s="237"/>
      <c r="C1283" s="237"/>
      <c r="D1283" s="459" t="s">
        <v>104</v>
      </c>
      <c r="E1283" s="459">
        <v>2.0</v>
      </c>
      <c r="F1283" s="404"/>
      <c r="G1283" s="288"/>
      <c r="H1283" s="460" t="s">
        <v>106</v>
      </c>
      <c r="I1283" s="461" t="s">
        <v>105</v>
      </c>
    </row>
    <row r="1284">
      <c r="A1284" s="349" t="s">
        <v>841</v>
      </c>
      <c r="B1284" s="529" t="s">
        <v>539</v>
      </c>
      <c r="C1284" s="416">
        <f>sum(E1284:E1286)</f>
        <v>6</v>
      </c>
      <c r="D1284" s="426" t="s">
        <v>22</v>
      </c>
      <c r="E1284" s="426">
        <v>2.0</v>
      </c>
      <c r="F1284" s="396"/>
      <c r="G1284" s="397"/>
      <c r="H1284" s="427" t="s">
        <v>265</v>
      </c>
      <c r="I1284" s="428" t="s">
        <v>23</v>
      </c>
    </row>
    <row r="1285">
      <c r="A1285" s="222"/>
      <c r="D1285" s="279" t="s">
        <v>49</v>
      </c>
      <c r="E1285" s="279">
        <v>2.0</v>
      </c>
      <c r="F1285" s="280"/>
      <c r="G1285" s="280"/>
      <c r="H1285" s="281" t="s">
        <v>50</v>
      </c>
      <c r="I1285" s="282" t="s">
        <v>43</v>
      </c>
    </row>
    <row r="1286">
      <c r="A1286" s="236"/>
      <c r="B1286" s="237"/>
      <c r="C1286" s="237"/>
      <c r="D1286" s="264" t="s">
        <v>162</v>
      </c>
      <c r="E1286" s="264">
        <v>2.0</v>
      </c>
      <c r="F1286" s="265"/>
      <c r="G1286" s="265"/>
      <c r="H1286" s="266" t="s">
        <v>164</v>
      </c>
      <c r="I1286" s="267" t="s">
        <v>163</v>
      </c>
    </row>
    <row r="1287">
      <c r="A1287" s="349" t="s">
        <v>842</v>
      </c>
      <c r="B1287" s="529" t="s">
        <v>275</v>
      </c>
      <c r="C1287" s="416">
        <f>sum(E1287:E1290)</f>
        <v>6</v>
      </c>
      <c r="D1287" s="426" t="s">
        <v>22</v>
      </c>
      <c r="E1287" s="426">
        <v>2.0</v>
      </c>
      <c r="F1287" s="396"/>
      <c r="G1287" s="397"/>
      <c r="H1287" s="427" t="s">
        <v>265</v>
      </c>
      <c r="I1287" s="428" t="s">
        <v>23</v>
      </c>
    </row>
    <row r="1288">
      <c r="A1288" s="222"/>
      <c r="D1288" s="279" t="s">
        <v>55</v>
      </c>
      <c r="E1288" s="279">
        <v>1.0</v>
      </c>
      <c r="F1288" s="280"/>
      <c r="G1288" s="280"/>
      <c r="H1288" s="281" t="s">
        <v>56</v>
      </c>
      <c r="I1288" s="282" t="s">
        <v>43</v>
      </c>
    </row>
    <row r="1289">
      <c r="A1289" s="222"/>
      <c r="D1289" s="271" t="s">
        <v>162</v>
      </c>
      <c r="E1289" s="271">
        <v>2.0</v>
      </c>
      <c r="F1289" s="272"/>
      <c r="G1289" s="272"/>
      <c r="H1289" s="273" t="s">
        <v>164</v>
      </c>
      <c r="I1289" s="393" t="s">
        <v>163</v>
      </c>
    </row>
    <row r="1290">
      <c r="A1290" s="236"/>
      <c r="B1290" s="237"/>
      <c r="C1290" s="237"/>
      <c r="D1290" s="495" t="s">
        <v>189</v>
      </c>
      <c r="E1290" s="495">
        <v>1.0</v>
      </c>
      <c r="F1290" s="500"/>
      <c r="G1290" s="500"/>
      <c r="H1290" s="497" t="s">
        <v>190</v>
      </c>
      <c r="I1290" s="501" t="s">
        <v>186</v>
      </c>
    </row>
    <row r="1291">
      <c r="A1291" s="534" t="s">
        <v>843</v>
      </c>
      <c r="B1291" s="529" t="s">
        <v>844</v>
      </c>
      <c r="C1291" s="416">
        <f>sum(E1291:AC1293)</f>
        <v>6</v>
      </c>
      <c r="D1291" s="308" t="s">
        <v>131</v>
      </c>
      <c r="E1291" s="308">
        <v>1.0</v>
      </c>
      <c r="F1291" s="309"/>
      <c r="G1291" s="309"/>
      <c r="H1291" s="310" t="s">
        <v>132</v>
      </c>
      <c r="I1291" s="311" t="s">
        <v>105</v>
      </c>
    </row>
    <row r="1292">
      <c r="A1292" s="222"/>
      <c r="D1292" s="299" t="s">
        <v>147</v>
      </c>
      <c r="E1292" s="299">
        <v>3.0</v>
      </c>
      <c r="F1292" s="250"/>
      <c r="G1292" s="250"/>
      <c r="H1292" s="312" t="s">
        <v>145</v>
      </c>
      <c r="I1292" s="300" t="s">
        <v>144</v>
      </c>
    </row>
    <row r="1293">
      <c r="A1293" s="236"/>
      <c r="B1293" s="237"/>
      <c r="C1293" s="237"/>
      <c r="D1293" s="374" t="s">
        <v>17</v>
      </c>
      <c r="E1293" s="374">
        <v>2.0</v>
      </c>
      <c r="F1293" s="375"/>
      <c r="G1293" s="375"/>
      <c r="H1293" s="458" t="s">
        <v>260</v>
      </c>
      <c r="I1293" s="377" t="s">
        <v>7</v>
      </c>
    </row>
    <row r="1294">
      <c r="A1294" s="349" t="s">
        <v>845</v>
      </c>
      <c r="B1294" s="529" t="s">
        <v>452</v>
      </c>
      <c r="C1294" s="416">
        <f>sum(E1294:E1296)</f>
        <v>6</v>
      </c>
      <c r="D1294" s="356" t="s">
        <v>254</v>
      </c>
      <c r="E1294" s="356">
        <v>2.0</v>
      </c>
      <c r="F1294" s="357"/>
      <c r="G1294" s="357"/>
      <c r="H1294" s="447" t="s">
        <v>255</v>
      </c>
      <c r="I1294" s="359" t="s">
        <v>7</v>
      </c>
    </row>
    <row r="1295">
      <c r="A1295" s="222"/>
      <c r="D1295" s="232" t="s">
        <v>117</v>
      </c>
      <c r="E1295" s="232">
        <v>1.0</v>
      </c>
      <c r="F1295" s="233"/>
      <c r="G1295" s="233"/>
      <c r="H1295" s="234" t="s">
        <v>238</v>
      </c>
      <c r="I1295" s="235" t="s">
        <v>105</v>
      </c>
    </row>
    <row r="1296">
      <c r="A1296" s="236"/>
      <c r="B1296" s="237"/>
      <c r="C1296" s="237"/>
      <c r="D1296" s="238" t="s">
        <v>64</v>
      </c>
      <c r="E1296" s="238">
        <v>3.0</v>
      </c>
      <c r="F1296" s="239"/>
      <c r="G1296" s="239"/>
      <c r="H1296" s="262" t="s">
        <v>66</v>
      </c>
      <c r="I1296" s="241" t="s">
        <v>65</v>
      </c>
    </row>
    <row r="1297">
      <c r="A1297" s="534" t="s">
        <v>846</v>
      </c>
      <c r="B1297" s="552" t="s">
        <v>778</v>
      </c>
      <c r="C1297" s="416">
        <f>sum(E1297:E1298)</f>
        <v>6</v>
      </c>
      <c r="D1297" s="218" t="s">
        <v>175</v>
      </c>
      <c r="E1297" s="269">
        <v>4.0</v>
      </c>
      <c r="F1297" s="270"/>
      <c r="G1297" s="270"/>
      <c r="H1297" s="220" t="s">
        <v>232</v>
      </c>
      <c r="I1297" s="221" t="s">
        <v>176</v>
      </c>
    </row>
    <row r="1298">
      <c r="A1298" s="236"/>
      <c r="B1298" s="237"/>
      <c r="C1298" s="237"/>
      <c r="D1298" s="374" t="s">
        <v>254</v>
      </c>
      <c r="E1298" s="374">
        <v>2.0</v>
      </c>
      <c r="F1298" s="375"/>
      <c r="G1298" s="375"/>
      <c r="H1298" s="376" t="s">
        <v>255</v>
      </c>
      <c r="I1298" s="377" t="s">
        <v>7</v>
      </c>
    </row>
    <row r="1299">
      <c r="A1299" s="349" t="s">
        <v>847</v>
      </c>
      <c r="B1299" s="529" t="s">
        <v>633</v>
      </c>
      <c r="C1299" s="416">
        <f>sum(E1299:E1301)</f>
        <v>6</v>
      </c>
      <c r="D1299" s="292" t="s">
        <v>64</v>
      </c>
      <c r="E1299" s="292">
        <v>3.0</v>
      </c>
      <c r="F1299" s="324"/>
      <c r="G1299" s="324"/>
      <c r="H1299" s="262" t="s">
        <v>66</v>
      </c>
      <c r="I1299" s="295" t="s">
        <v>65</v>
      </c>
    </row>
    <row r="1300">
      <c r="A1300" s="222"/>
      <c r="D1300" s="227" t="s">
        <v>254</v>
      </c>
      <c r="E1300" s="227">
        <v>2.0</v>
      </c>
      <c r="F1300" s="228"/>
      <c r="G1300" s="228"/>
      <c r="H1300" s="229" t="s">
        <v>255</v>
      </c>
      <c r="I1300" s="230" t="s">
        <v>7</v>
      </c>
    </row>
    <row r="1301">
      <c r="A1301" s="236"/>
      <c r="B1301" s="237"/>
      <c r="C1301" s="237"/>
      <c r="D1301" s="495" t="s">
        <v>189</v>
      </c>
      <c r="E1301" s="495">
        <v>1.0</v>
      </c>
      <c r="F1301" s="500"/>
      <c r="G1301" s="500"/>
      <c r="H1301" s="497" t="s">
        <v>190</v>
      </c>
      <c r="I1301" s="501" t="s">
        <v>186</v>
      </c>
    </row>
    <row r="1302">
      <c r="A1302" s="349" t="s">
        <v>848</v>
      </c>
      <c r="B1302" s="529" t="s">
        <v>334</v>
      </c>
      <c r="C1302" s="416">
        <f>sum(E1302:E1304)</f>
        <v>6</v>
      </c>
      <c r="D1302" s="245" t="s">
        <v>42</v>
      </c>
      <c r="E1302" s="245">
        <v>2.0</v>
      </c>
      <c r="F1302" s="412"/>
      <c r="G1302" s="246"/>
      <c r="H1302" s="247" t="s">
        <v>44</v>
      </c>
      <c r="I1302" s="248" t="s">
        <v>43</v>
      </c>
    </row>
    <row r="1303">
      <c r="A1303" s="222"/>
      <c r="D1303" s="654" t="s">
        <v>46</v>
      </c>
      <c r="E1303" s="655">
        <v>2.0</v>
      </c>
      <c r="F1303" s="46"/>
      <c r="G1303" s="47"/>
      <c r="H1303" s="656" t="s">
        <v>47</v>
      </c>
      <c r="I1303" s="657" t="s">
        <v>43</v>
      </c>
    </row>
    <row r="1304">
      <c r="A1304" s="236"/>
      <c r="B1304" s="237"/>
      <c r="C1304" s="237"/>
      <c r="D1304" s="264" t="s">
        <v>166</v>
      </c>
      <c r="E1304" s="264">
        <v>2.0</v>
      </c>
      <c r="F1304" s="479"/>
      <c r="G1304" s="479"/>
      <c r="H1304" s="266" t="s">
        <v>167</v>
      </c>
      <c r="I1304" s="267" t="s">
        <v>163</v>
      </c>
    </row>
    <row r="1305">
      <c r="A1305" s="349" t="s">
        <v>849</v>
      </c>
      <c r="B1305" s="529" t="s">
        <v>286</v>
      </c>
      <c r="C1305" s="416">
        <f>sum(E1305:E1307)</f>
        <v>6</v>
      </c>
      <c r="D1305" s="356" t="s">
        <v>6</v>
      </c>
      <c r="E1305" s="356">
        <v>2.0</v>
      </c>
      <c r="F1305" s="499"/>
      <c r="G1305" s="357"/>
      <c r="H1305" s="447" t="s">
        <v>8</v>
      </c>
      <c r="I1305" s="519" t="s">
        <v>7</v>
      </c>
    </row>
    <row r="1306">
      <c r="A1306" s="222"/>
      <c r="D1306" s="279" t="s">
        <v>61</v>
      </c>
      <c r="E1306" s="279">
        <v>2.0</v>
      </c>
      <c r="F1306" s="280"/>
      <c r="G1306" s="280"/>
      <c r="H1306" s="281" t="s">
        <v>62</v>
      </c>
      <c r="I1306" s="528" t="s">
        <v>43</v>
      </c>
    </row>
    <row r="1307">
      <c r="A1307" s="236"/>
      <c r="B1307" s="237"/>
      <c r="C1307" s="237"/>
      <c r="D1307" s="264" t="s">
        <v>162</v>
      </c>
      <c r="E1307" s="264">
        <v>2.0</v>
      </c>
      <c r="F1307" s="265"/>
      <c r="G1307" s="265"/>
      <c r="H1307" s="266" t="s">
        <v>164</v>
      </c>
      <c r="I1307" s="267" t="s">
        <v>163</v>
      </c>
    </row>
    <row r="1308">
      <c r="A1308" s="349" t="s">
        <v>850</v>
      </c>
      <c r="B1308" s="529" t="s">
        <v>851</v>
      </c>
      <c r="C1308" s="416">
        <f>sum(E1308:E1311)</f>
        <v>6</v>
      </c>
      <c r="D1308" s="335" t="s">
        <v>162</v>
      </c>
      <c r="E1308" s="335">
        <v>2.0</v>
      </c>
      <c r="F1308" s="336"/>
      <c r="G1308" s="336"/>
      <c r="H1308" s="337" t="s">
        <v>164</v>
      </c>
      <c r="I1308" s="355" t="s">
        <v>163</v>
      </c>
    </row>
    <row r="1309">
      <c r="A1309" s="222"/>
      <c r="D1309" s="232" t="s">
        <v>129</v>
      </c>
      <c r="E1309" s="232">
        <v>1.0</v>
      </c>
      <c r="F1309" s="254"/>
      <c r="G1309" s="254"/>
      <c r="H1309" s="234" t="s">
        <v>130</v>
      </c>
      <c r="I1309" s="298" t="s">
        <v>105</v>
      </c>
    </row>
    <row r="1310">
      <c r="A1310" s="222"/>
      <c r="D1310" s="227" t="s">
        <v>11</v>
      </c>
      <c r="E1310" s="227">
        <v>2.0</v>
      </c>
      <c r="F1310" s="228"/>
      <c r="G1310" s="228"/>
      <c r="H1310" s="229" t="s">
        <v>294</v>
      </c>
      <c r="I1310" s="230" t="s">
        <v>7</v>
      </c>
    </row>
    <row r="1311">
      <c r="A1311" s="236"/>
      <c r="B1311" s="237"/>
      <c r="C1311" s="237"/>
      <c r="D1311" s="238" t="s">
        <v>94</v>
      </c>
      <c r="E1311" s="238">
        <v>1.0</v>
      </c>
      <c r="F1311" s="477"/>
      <c r="G1311" s="477"/>
      <c r="H1311" s="240" t="s">
        <v>95</v>
      </c>
      <c r="I1311" s="626" t="s">
        <v>65</v>
      </c>
    </row>
    <row r="1312">
      <c r="A1312" s="349" t="s">
        <v>852</v>
      </c>
      <c r="B1312" s="529" t="s">
        <v>259</v>
      </c>
      <c r="C1312" s="416">
        <f>sum(E1312:E1313)</f>
        <v>6</v>
      </c>
      <c r="D1312" s="335" t="s">
        <v>162</v>
      </c>
      <c r="E1312" s="335">
        <v>2.0</v>
      </c>
      <c r="F1312" s="354"/>
      <c r="G1312" s="354"/>
      <c r="H1312" s="337" t="s">
        <v>164</v>
      </c>
      <c r="I1312" s="338" t="s">
        <v>163</v>
      </c>
    </row>
    <row r="1313">
      <c r="A1313" s="236"/>
      <c r="B1313" s="237"/>
      <c r="C1313" s="237"/>
      <c r="D1313" s="345" t="s">
        <v>175</v>
      </c>
      <c r="E1313" s="400">
        <v>4.0</v>
      </c>
      <c r="F1313" s="346"/>
      <c r="G1313" s="346"/>
      <c r="H1313" s="347" t="s">
        <v>232</v>
      </c>
      <c r="I1313" s="348" t="s">
        <v>176</v>
      </c>
    </row>
    <row r="1314">
      <c r="A1314" s="636" t="s">
        <v>853</v>
      </c>
      <c r="B1314" s="529" t="s">
        <v>854</v>
      </c>
      <c r="C1314" s="416">
        <f>sum(E1314:E1317)</f>
        <v>6</v>
      </c>
      <c r="D1314" s="356" t="s">
        <v>11</v>
      </c>
      <c r="E1314" s="356">
        <v>2.0</v>
      </c>
      <c r="F1314" s="357"/>
      <c r="G1314" s="357"/>
      <c r="H1314" s="447" t="s">
        <v>294</v>
      </c>
      <c r="I1314" s="359" t="s">
        <v>7</v>
      </c>
    </row>
    <row r="1315">
      <c r="A1315" s="222"/>
      <c r="D1315" s="279" t="s">
        <v>52</v>
      </c>
      <c r="E1315" s="279">
        <v>1.0</v>
      </c>
      <c r="F1315" s="280"/>
      <c r="G1315" s="280"/>
      <c r="H1315" s="281" t="s">
        <v>53</v>
      </c>
      <c r="I1315" s="282" t="s">
        <v>43</v>
      </c>
    </row>
    <row r="1316">
      <c r="A1316" s="222"/>
      <c r="D1316" s="299" t="s">
        <v>159</v>
      </c>
      <c r="E1316" s="299">
        <v>1.0</v>
      </c>
      <c r="F1316" s="250"/>
      <c r="G1316" s="250"/>
      <c r="H1316" s="312" t="s">
        <v>145</v>
      </c>
      <c r="I1316" s="253" t="s">
        <v>144</v>
      </c>
    </row>
    <row r="1317">
      <c r="A1317" s="236"/>
      <c r="B1317" s="237"/>
      <c r="C1317" s="237"/>
      <c r="D1317" s="264" t="s">
        <v>162</v>
      </c>
      <c r="E1317" s="264">
        <v>2.0</v>
      </c>
      <c r="F1317" s="479"/>
      <c r="G1317" s="479"/>
      <c r="H1317" s="266" t="s">
        <v>164</v>
      </c>
      <c r="I1317" s="480" t="s">
        <v>163</v>
      </c>
    </row>
    <row r="1318">
      <c r="A1318" s="636" t="s">
        <v>855</v>
      </c>
      <c r="B1318" s="529" t="s">
        <v>856</v>
      </c>
      <c r="C1318" s="416">
        <f>sum(E1318:E1320)</f>
        <v>6</v>
      </c>
      <c r="D1318" s="335" t="s">
        <v>162</v>
      </c>
      <c r="E1318" s="335">
        <v>2.0</v>
      </c>
      <c r="F1318" s="354"/>
      <c r="G1318" s="354"/>
      <c r="H1318" s="337" t="s">
        <v>164</v>
      </c>
      <c r="I1318" s="338" t="s">
        <v>163</v>
      </c>
    </row>
    <row r="1319">
      <c r="A1319" s="222"/>
      <c r="D1319" s="275" t="s">
        <v>97</v>
      </c>
      <c r="E1319" s="275">
        <v>2.0</v>
      </c>
      <c r="F1319" s="276"/>
      <c r="G1319" s="276"/>
      <c r="H1319" s="277" t="s">
        <v>99</v>
      </c>
      <c r="I1319" s="278" t="s">
        <v>98</v>
      </c>
    </row>
    <row r="1320">
      <c r="A1320" s="236"/>
      <c r="B1320" s="237"/>
      <c r="C1320" s="237"/>
      <c r="D1320" s="238" t="s">
        <v>229</v>
      </c>
      <c r="E1320" s="238">
        <v>2.0</v>
      </c>
      <c r="F1320" s="477"/>
      <c r="G1320" s="239"/>
      <c r="H1320" s="446" t="s">
        <v>69</v>
      </c>
      <c r="I1320" s="241" t="s">
        <v>65</v>
      </c>
    </row>
    <row r="1321">
      <c r="A1321" s="636" t="s">
        <v>857</v>
      </c>
      <c r="B1321" s="529" t="s">
        <v>642</v>
      </c>
      <c r="C1321" s="416">
        <f>sum(E1321:E1322)</f>
        <v>6</v>
      </c>
      <c r="D1321" s="521" t="s">
        <v>143</v>
      </c>
      <c r="E1321" s="521">
        <v>5.0</v>
      </c>
      <c r="F1321" s="522"/>
      <c r="G1321" s="522"/>
      <c r="H1321" s="523" t="s">
        <v>145</v>
      </c>
      <c r="I1321" s="524" t="s">
        <v>144</v>
      </c>
    </row>
    <row r="1322">
      <c r="A1322" s="236"/>
      <c r="B1322" s="237"/>
      <c r="C1322" s="237"/>
      <c r="D1322" s="287" t="s">
        <v>239</v>
      </c>
      <c r="E1322" s="287">
        <v>1.0</v>
      </c>
      <c r="F1322" s="288"/>
      <c r="G1322" s="288"/>
      <c r="H1322" s="289" t="s">
        <v>115</v>
      </c>
      <c r="I1322" s="461" t="s">
        <v>105</v>
      </c>
    </row>
    <row r="1323">
      <c r="A1323" s="636" t="s">
        <v>858</v>
      </c>
      <c r="B1323" s="529" t="s">
        <v>859</v>
      </c>
      <c r="C1323" s="416">
        <f>sum(E1323:E1325)</f>
        <v>6</v>
      </c>
      <c r="D1323" s="521" t="s">
        <v>147</v>
      </c>
      <c r="E1323" s="521">
        <v>3.0</v>
      </c>
      <c r="F1323" s="525"/>
      <c r="G1323" s="525"/>
      <c r="H1323" s="523" t="s">
        <v>145</v>
      </c>
      <c r="I1323" s="538" t="s">
        <v>144</v>
      </c>
    </row>
    <row r="1324">
      <c r="A1324" s="222"/>
      <c r="D1324" s="232" t="s">
        <v>239</v>
      </c>
      <c r="E1324" s="232">
        <v>1.0</v>
      </c>
      <c r="F1324" s="233"/>
      <c r="G1324" s="233"/>
      <c r="H1324" s="234" t="s">
        <v>115</v>
      </c>
      <c r="I1324" s="298" t="s">
        <v>105</v>
      </c>
    </row>
    <row r="1325">
      <c r="A1325" s="236"/>
      <c r="B1325" s="237"/>
      <c r="C1325" s="237"/>
      <c r="D1325" s="264" t="s">
        <v>162</v>
      </c>
      <c r="E1325" s="264">
        <v>2.0</v>
      </c>
      <c r="F1325" s="479"/>
      <c r="G1325" s="479"/>
      <c r="H1325" s="266" t="s">
        <v>164</v>
      </c>
      <c r="I1325" s="480" t="s">
        <v>163</v>
      </c>
    </row>
    <row r="1326">
      <c r="A1326" s="636" t="s">
        <v>860</v>
      </c>
      <c r="B1326" s="658" t="s">
        <v>861</v>
      </c>
      <c r="C1326" s="416">
        <f>sum(E1326:E1328)</f>
        <v>6</v>
      </c>
      <c r="D1326" s="308" t="s">
        <v>131</v>
      </c>
      <c r="E1326" s="308">
        <v>1.0</v>
      </c>
      <c r="F1326" s="309"/>
      <c r="G1326" s="309"/>
      <c r="H1326" s="310" t="s">
        <v>132</v>
      </c>
      <c r="I1326" s="311" t="s">
        <v>105</v>
      </c>
    </row>
    <row r="1327">
      <c r="A1327" s="222"/>
      <c r="D1327" s="232" t="s">
        <v>117</v>
      </c>
      <c r="E1327" s="232">
        <v>1.0</v>
      </c>
      <c r="F1327" s="233"/>
      <c r="G1327" s="233"/>
      <c r="H1327" s="234" t="s">
        <v>238</v>
      </c>
      <c r="I1327" s="298" t="s">
        <v>105</v>
      </c>
    </row>
    <row r="1328">
      <c r="A1328" s="236"/>
      <c r="B1328" s="237"/>
      <c r="C1328" s="237"/>
      <c r="D1328" s="345" t="s">
        <v>175</v>
      </c>
      <c r="E1328" s="400">
        <v>4.0</v>
      </c>
      <c r="F1328" s="346"/>
      <c r="G1328" s="346"/>
      <c r="H1328" s="347" t="s">
        <v>232</v>
      </c>
      <c r="I1328" s="348" t="s">
        <v>176</v>
      </c>
    </row>
    <row r="1329">
      <c r="A1329" s="636" t="s">
        <v>862</v>
      </c>
      <c r="B1329" s="658" t="s">
        <v>284</v>
      </c>
      <c r="C1329" s="416">
        <f>sum(E1329:E1331)</f>
        <v>6</v>
      </c>
      <c r="D1329" s="440" t="s">
        <v>189</v>
      </c>
      <c r="E1329" s="440">
        <v>1.0</v>
      </c>
      <c r="F1329" s="441"/>
      <c r="G1329" s="441"/>
      <c r="H1329" s="442" t="s">
        <v>190</v>
      </c>
      <c r="I1329" s="628" t="s">
        <v>186</v>
      </c>
    </row>
    <row r="1330">
      <c r="A1330" s="222"/>
      <c r="D1330" s="223" t="s">
        <v>182</v>
      </c>
      <c r="E1330" s="223">
        <v>3.0</v>
      </c>
      <c r="F1330" s="224"/>
      <c r="G1330" s="224"/>
      <c r="H1330" s="225" t="s">
        <v>183</v>
      </c>
      <c r="I1330" s="226" t="s">
        <v>176</v>
      </c>
    </row>
    <row r="1331">
      <c r="A1331" s="236"/>
      <c r="B1331" s="237"/>
      <c r="C1331" s="237"/>
      <c r="D1331" s="374" t="s">
        <v>17</v>
      </c>
      <c r="E1331" s="374">
        <v>2.0</v>
      </c>
      <c r="F1331" s="375"/>
      <c r="G1331" s="375"/>
      <c r="H1331" s="458" t="s">
        <v>260</v>
      </c>
      <c r="I1331" s="377" t="s">
        <v>7</v>
      </c>
    </row>
    <row r="1332">
      <c r="A1332" s="636" t="s">
        <v>863</v>
      </c>
      <c r="B1332" s="529" t="s">
        <v>864</v>
      </c>
      <c r="C1332" s="416">
        <f>sum(E1332:E1333)</f>
        <v>6</v>
      </c>
      <c r="D1332" s="521" t="s">
        <v>143</v>
      </c>
      <c r="E1332" s="521">
        <v>5.0</v>
      </c>
      <c r="F1332" s="522"/>
      <c r="G1332" s="522"/>
      <c r="H1332" s="523" t="s">
        <v>145</v>
      </c>
      <c r="I1332" s="538" t="s">
        <v>144</v>
      </c>
    </row>
    <row r="1333">
      <c r="A1333" s="236"/>
      <c r="B1333" s="237"/>
      <c r="C1333" s="237"/>
      <c r="D1333" s="287" t="s">
        <v>239</v>
      </c>
      <c r="E1333" s="287">
        <v>1.0</v>
      </c>
      <c r="F1333" s="288"/>
      <c r="G1333" s="288"/>
      <c r="H1333" s="289" t="s">
        <v>115</v>
      </c>
      <c r="I1333" s="461" t="s">
        <v>105</v>
      </c>
    </row>
    <row r="1334">
      <c r="A1334" s="534" t="s">
        <v>865</v>
      </c>
      <c r="B1334" s="529" t="s">
        <v>866</v>
      </c>
      <c r="C1334" s="416">
        <f>sum(E1334:E1337)</f>
        <v>6</v>
      </c>
      <c r="D1334" s="390" t="s">
        <v>58</v>
      </c>
      <c r="E1334" s="390">
        <v>1.0</v>
      </c>
      <c r="F1334" s="246"/>
      <c r="G1334" s="246"/>
      <c r="H1334" s="391" t="s">
        <v>59</v>
      </c>
      <c r="I1334" s="248" t="s">
        <v>43</v>
      </c>
    </row>
    <row r="1335">
      <c r="A1335" s="222"/>
      <c r="D1335" s="227" t="s">
        <v>254</v>
      </c>
      <c r="E1335" s="227">
        <v>2.0</v>
      </c>
      <c r="F1335" s="228"/>
      <c r="G1335" s="228"/>
      <c r="H1335" s="229" t="s">
        <v>255</v>
      </c>
      <c r="I1335" s="230" t="s">
        <v>7</v>
      </c>
    </row>
    <row r="1336">
      <c r="A1336" s="222"/>
      <c r="D1336" s="275" t="s">
        <v>97</v>
      </c>
      <c r="E1336" s="275">
        <v>2.0</v>
      </c>
      <c r="F1336" s="276"/>
      <c r="G1336" s="276"/>
      <c r="H1336" s="277" t="s">
        <v>99</v>
      </c>
      <c r="I1336" s="278" t="s">
        <v>98</v>
      </c>
    </row>
    <row r="1337">
      <c r="A1337" s="236"/>
      <c r="B1337" s="237"/>
      <c r="C1337" s="237"/>
      <c r="D1337" s="495" t="s">
        <v>189</v>
      </c>
      <c r="E1337" s="495">
        <v>1.0</v>
      </c>
      <c r="F1337" s="500"/>
      <c r="G1337" s="500"/>
      <c r="H1337" s="497" t="s">
        <v>190</v>
      </c>
      <c r="I1337" s="501" t="s">
        <v>186</v>
      </c>
    </row>
    <row r="1338">
      <c r="A1338" s="636" t="s">
        <v>867</v>
      </c>
      <c r="B1338" s="529" t="s">
        <v>868</v>
      </c>
      <c r="C1338" s="416">
        <f>sum(E1338:E1340)</f>
        <v>6</v>
      </c>
      <c r="D1338" s="335" t="s">
        <v>162</v>
      </c>
      <c r="E1338" s="335">
        <v>2.0</v>
      </c>
      <c r="F1338" s="354"/>
      <c r="G1338" s="354"/>
      <c r="H1338" s="337" t="s">
        <v>164</v>
      </c>
      <c r="I1338" s="338" t="s">
        <v>163</v>
      </c>
    </row>
    <row r="1339">
      <c r="A1339" s="222"/>
      <c r="D1339" s="283" t="s">
        <v>76</v>
      </c>
      <c r="E1339" s="283">
        <v>2.0</v>
      </c>
      <c r="F1339" s="284"/>
      <c r="G1339" s="284"/>
      <c r="H1339" s="262" t="s">
        <v>77</v>
      </c>
      <c r="I1339" s="285" t="s">
        <v>65</v>
      </c>
    </row>
    <row r="1340">
      <c r="A1340" s="236"/>
      <c r="B1340" s="237"/>
      <c r="C1340" s="237"/>
      <c r="D1340" s="374" t="s">
        <v>19</v>
      </c>
      <c r="E1340" s="374">
        <v>2.0</v>
      </c>
      <c r="F1340" s="504"/>
      <c r="G1340" s="504"/>
      <c r="H1340" s="376" t="s">
        <v>20</v>
      </c>
      <c r="I1340" s="505" t="s">
        <v>7</v>
      </c>
    </row>
    <row r="1341">
      <c r="A1341" s="636" t="s">
        <v>869</v>
      </c>
      <c r="B1341" s="529" t="s">
        <v>870</v>
      </c>
      <c r="C1341" s="416">
        <f>sum(E1341:E1343)</f>
        <v>6</v>
      </c>
      <c r="D1341" s="335" t="s">
        <v>162</v>
      </c>
      <c r="E1341" s="335">
        <v>2.0</v>
      </c>
      <c r="F1341" s="354"/>
      <c r="G1341" s="354"/>
      <c r="H1341" s="337" t="s">
        <v>164</v>
      </c>
      <c r="I1341" s="338" t="s">
        <v>163</v>
      </c>
    </row>
    <row r="1342">
      <c r="A1342" s="222"/>
      <c r="D1342" s="275" t="s">
        <v>97</v>
      </c>
      <c r="E1342" s="275">
        <v>2.0</v>
      </c>
      <c r="F1342" s="276"/>
      <c r="G1342" s="276"/>
      <c r="H1342" s="277" t="s">
        <v>99</v>
      </c>
      <c r="I1342" s="278" t="s">
        <v>98</v>
      </c>
    </row>
    <row r="1343">
      <c r="A1343" s="236"/>
      <c r="B1343" s="237"/>
      <c r="C1343" s="237"/>
      <c r="D1343" s="459" t="s">
        <v>104</v>
      </c>
      <c r="E1343" s="459">
        <v>2.0</v>
      </c>
      <c r="F1343" s="404"/>
      <c r="G1343" s="288"/>
      <c r="H1343" s="460" t="s">
        <v>106</v>
      </c>
      <c r="I1343" s="461" t="s">
        <v>105</v>
      </c>
    </row>
    <row r="1344">
      <c r="A1344" s="636" t="s">
        <v>871</v>
      </c>
      <c r="B1344" s="529" t="s">
        <v>872</v>
      </c>
      <c r="C1344" s="416">
        <f>sum(E1344:E1347)</f>
        <v>6</v>
      </c>
      <c r="D1344" s="335" t="s">
        <v>162</v>
      </c>
      <c r="E1344" s="335">
        <v>2.0</v>
      </c>
      <c r="F1344" s="354"/>
      <c r="G1344" s="354"/>
      <c r="H1344" s="337" t="s">
        <v>164</v>
      </c>
      <c r="I1344" s="338" t="s">
        <v>163</v>
      </c>
    </row>
    <row r="1345">
      <c r="A1345" s="222"/>
      <c r="D1345" s="369" t="s">
        <v>22</v>
      </c>
      <c r="E1345" s="369">
        <v>2.0</v>
      </c>
      <c r="F1345" s="370"/>
      <c r="G1345" s="371"/>
      <c r="H1345" s="372" t="s">
        <v>265</v>
      </c>
      <c r="I1345" s="373" t="s">
        <v>23</v>
      </c>
    </row>
    <row r="1346">
      <c r="A1346" s="222"/>
      <c r="D1346" s="382" t="s">
        <v>39</v>
      </c>
      <c r="E1346" s="382">
        <v>1.0</v>
      </c>
      <c r="F1346" s="383"/>
      <c r="G1346" s="384"/>
      <c r="H1346" s="385" t="s">
        <v>40</v>
      </c>
      <c r="I1346" s="386" t="s">
        <v>30</v>
      </c>
    </row>
    <row r="1347">
      <c r="A1347" s="236"/>
      <c r="B1347" s="237"/>
      <c r="C1347" s="237"/>
      <c r="D1347" s="287" t="s">
        <v>140</v>
      </c>
      <c r="E1347" s="287">
        <v>1.0</v>
      </c>
      <c r="F1347" s="288"/>
      <c r="G1347" s="288"/>
      <c r="H1347" s="289" t="s">
        <v>141</v>
      </c>
      <c r="I1347" s="290" t="s">
        <v>105</v>
      </c>
    </row>
    <row r="1348">
      <c r="A1348" s="349" t="s">
        <v>873</v>
      </c>
      <c r="B1348" s="529" t="s">
        <v>874</v>
      </c>
      <c r="C1348" s="416">
        <f>sum(E1348:E1351)</f>
        <v>6</v>
      </c>
      <c r="D1348" s="218" t="s">
        <v>179</v>
      </c>
      <c r="E1348" s="218">
        <v>2.0</v>
      </c>
      <c r="F1348" s="270"/>
      <c r="G1348" s="270"/>
      <c r="H1348" s="220" t="s">
        <v>180</v>
      </c>
      <c r="I1348" s="221" t="s">
        <v>176</v>
      </c>
    </row>
    <row r="1349">
      <c r="A1349" s="222"/>
      <c r="D1349" s="286" t="s">
        <v>70</v>
      </c>
      <c r="E1349" s="286">
        <v>2.0</v>
      </c>
      <c r="F1349" s="318"/>
      <c r="G1349" s="318"/>
      <c r="H1349" s="262" t="s">
        <v>237</v>
      </c>
      <c r="I1349" s="263" t="s">
        <v>65</v>
      </c>
    </row>
    <row r="1350">
      <c r="A1350" s="222"/>
      <c r="D1350" s="232" t="s">
        <v>239</v>
      </c>
      <c r="E1350" s="232">
        <v>1.0</v>
      </c>
      <c r="F1350" s="233"/>
      <c r="G1350" s="233"/>
      <c r="H1350" s="234" t="s">
        <v>115</v>
      </c>
      <c r="I1350" s="235" t="s">
        <v>105</v>
      </c>
    </row>
    <row r="1351">
      <c r="A1351" s="236"/>
      <c r="B1351" s="237"/>
      <c r="C1351" s="237"/>
      <c r="D1351" s="287" t="s">
        <v>117</v>
      </c>
      <c r="E1351" s="287">
        <v>1.0</v>
      </c>
      <c r="F1351" s="288"/>
      <c r="G1351" s="288"/>
      <c r="H1351" s="289" t="s">
        <v>238</v>
      </c>
      <c r="I1351" s="461" t="s">
        <v>105</v>
      </c>
    </row>
    <row r="1352" ht="16.5" customHeight="1">
      <c r="A1352" s="636" t="s">
        <v>875</v>
      </c>
      <c r="B1352" s="529" t="s">
        <v>236</v>
      </c>
      <c r="C1352" s="416">
        <f>sum(E1352:E1355)</f>
        <v>6</v>
      </c>
      <c r="D1352" s="335" t="s">
        <v>162</v>
      </c>
      <c r="E1352" s="335">
        <v>2.0</v>
      </c>
      <c r="F1352" s="354"/>
      <c r="G1352" s="354"/>
      <c r="H1352" s="337" t="s">
        <v>164</v>
      </c>
      <c r="I1352" s="338" t="s">
        <v>163</v>
      </c>
    </row>
    <row r="1353" ht="16.5" customHeight="1">
      <c r="A1353" s="222"/>
      <c r="D1353" s="232" t="s">
        <v>120</v>
      </c>
      <c r="E1353" s="232">
        <v>1.0</v>
      </c>
      <c r="F1353" s="233"/>
      <c r="G1353" s="233"/>
      <c r="H1353" s="234" t="s">
        <v>121</v>
      </c>
      <c r="I1353" s="298" t="s">
        <v>105</v>
      </c>
    </row>
    <row r="1354" ht="16.5" customHeight="1">
      <c r="A1354" s="222"/>
      <c r="D1354" s="339" t="s">
        <v>117</v>
      </c>
      <c r="E1354" s="339">
        <v>1.0</v>
      </c>
      <c r="F1354" s="233"/>
      <c r="G1354" s="233"/>
      <c r="H1354" s="340" t="s">
        <v>238</v>
      </c>
      <c r="I1354" s="235" t="s">
        <v>105</v>
      </c>
    </row>
    <row r="1355" ht="16.5" customHeight="1">
      <c r="A1355" s="236"/>
      <c r="B1355" s="237"/>
      <c r="C1355" s="237"/>
      <c r="D1355" s="633" t="s">
        <v>11</v>
      </c>
      <c r="E1355" s="633">
        <v>2.0</v>
      </c>
      <c r="F1355" s="504"/>
      <c r="G1355" s="375"/>
      <c r="H1355" s="634" t="s">
        <v>294</v>
      </c>
      <c r="I1355" s="377" t="s">
        <v>7</v>
      </c>
    </row>
    <row r="1356">
      <c r="A1356" s="636" t="s">
        <v>876</v>
      </c>
      <c r="B1356" s="529" t="s">
        <v>877</v>
      </c>
      <c r="C1356" s="416">
        <f>sum(E1356:E1357)</f>
        <v>6</v>
      </c>
      <c r="D1356" s="515" t="s">
        <v>229</v>
      </c>
      <c r="E1356" s="515">
        <v>2.0</v>
      </c>
      <c r="F1356" s="324"/>
      <c r="G1356" s="324"/>
      <c r="H1356" s="294" t="s">
        <v>69</v>
      </c>
      <c r="I1356" s="295" t="s">
        <v>65</v>
      </c>
    </row>
    <row r="1357">
      <c r="A1357" s="236"/>
      <c r="B1357" s="237"/>
      <c r="C1357" s="237"/>
      <c r="D1357" s="345" t="s">
        <v>175</v>
      </c>
      <c r="E1357" s="400">
        <v>4.0</v>
      </c>
      <c r="F1357" s="346"/>
      <c r="G1357" s="346"/>
      <c r="H1357" s="347" t="s">
        <v>232</v>
      </c>
      <c r="I1357" s="348" t="s">
        <v>176</v>
      </c>
    </row>
    <row r="1358">
      <c r="A1358" s="636" t="s">
        <v>878</v>
      </c>
      <c r="B1358" s="529" t="s">
        <v>566</v>
      </c>
      <c r="C1358" s="416">
        <f>sum(E1358:E1359)</f>
        <v>6</v>
      </c>
      <c r="D1358" s="521" t="s">
        <v>143</v>
      </c>
      <c r="E1358" s="521">
        <v>5.0</v>
      </c>
      <c r="F1358" s="522"/>
      <c r="G1358" s="522"/>
      <c r="H1358" s="523" t="s">
        <v>145</v>
      </c>
      <c r="I1358" s="524" t="s">
        <v>144</v>
      </c>
    </row>
    <row r="1359">
      <c r="A1359" s="236"/>
      <c r="B1359" s="237"/>
      <c r="C1359" s="237"/>
      <c r="D1359" s="287" t="s">
        <v>239</v>
      </c>
      <c r="E1359" s="287">
        <v>1.0</v>
      </c>
      <c r="F1359" s="404"/>
      <c r="G1359" s="288"/>
      <c r="H1359" s="289" t="s">
        <v>115</v>
      </c>
      <c r="I1359" s="290" t="s">
        <v>105</v>
      </c>
    </row>
    <row r="1360">
      <c r="A1360" s="306" t="s">
        <v>879</v>
      </c>
      <c r="B1360" s="243" t="s">
        <v>880</v>
      </c>
      <c r="C1360" s="416">
        <f>sum(E1360:E1362)</f>
        <v>5</v>
      </c>
      <c r="D1360" s="356" t="s">
        <v>11</v>
      </c>
      <c r="E1360" s="356">
        <v>2.0</v>
      </c>
      <c r="F1360" s="499"/>
      <c r="G1360" s="357"/>
      <c r="H1360" s="447" t="s">
        <v>294</v>
      </c>
      <c r="I1360" s="359" t="s">
        <v>7</v>
      </c>
      <c r="J1360" s="214"/>
      <c r="K1360" s="214"/>
      <c r="L1360" s="214"/>
      <c r="M1360" s="214"/>
      <c r="N1360" s="214"/>
      <c r="O1360" s="214"/>
      <c r="P1360" s="214"/>
      <c r="Q1360" s="214"/>
      <c r="R1360" s="214"/>
      <c r="S1360" s="214"/>
      <c r="T1360" s="214"/>
      <c r="U1360" s="214"/>
      <c r="V1360" s="214"/>
      <c r="W1360" s="214"/>
      <c r="X1360" s="214"/>
      <c r="Y1360" s="214"/>
      <c r="Z1360" s="214"/>
      <c r="AA1360" s="214"/>
      <c r="AB1360" s="214"/>
      <c r="AC1360" s="214"/>
    </row>
    <row r="1361">
      <c r="A1361" s="222"/>
      <c r="D1361" s="333" t="s">
        <v>97</v>
      </c>
      <c r="E1361" s="333">
        <v>2.0</v>
      </c>
      <c r="F1361" s="276"/>
      <c r="G1361" s="276"/>
      <c r="H1361" s="334" t="s">
        <v>99</v>
      </c>
      <c r="I1361" s="278" t="s">
        <v>98</v>
      </c>
      <c r="J1361" s="214"/>
      <c r="K1361" s="214"/>
      <c r="L1361" s="214"/>
      <c r="M1361" s="214"/>
      <c r="N1361" s="214"/>
      <c r="O1361" s="214"/>
      <c r="P1361" s="214"/>
      <c r="Q1361" s="214"/>
      <c r="R1361" s="214"/>
      <c r="S1361" s="214"/>
      <c r="T1361" s="214"/>
      <c r="U1361" s="214"/>
      <c r="V1361" s="214"/>
      <c r="W1361" s="214"/>
      <c r="X1361" s="214"/>
      <c r="Y1361" s="214"/>
      <c r="Z1361" s="214"/>
      <c r="AA1361" s="214"/>
      <c r="AB1361" s="214"/>
      <c r="AC1361" s="214"/>
    </row>
    <row r="1362">
      <c r="A1362" s="236"/>
      <c r="B1362" s="237"/>
      <c r="C1362" s="237"/>
      <c r="D1362" s="302" t="s">
        <v>58</v>
      </c>
      <c r="E1362" s="302">
        <v>1.0</v>
      </c>
      <c r="F1362" s="564"/>
      <c r="G1362" s="303"/>
      <c r="H1362" s="304" t="s">
        <v>59</v>
      </c>
      <c r="I1362" s="485" t="s">
        <v>43</v>
      </c>
      <c r="J1362" s="214"/>
      <c r="K1362" s="214"/>
      <c r="L1362" s="214"/>
      <c r="M1362" s="214"/>
      <c r="N1362" s="214"/>
      <c r="O1362" s="214"/>
      <c r="P1362" s="214"/>
      <c r="Q1362" s="214"/>
      <c r="R1362" s="214"/>
      <c r="S1362" s="214"/>
      <c r="T1362" s="214"/>
      <c r="U1362" s="214"/>
      <c r="V1362" s="214"/>
      <c r="W1362" s="214"/>
      <c r="X1362" s="214"/>
      <c r="Y1362" s="214"/>
      <c r="Z1362" s="214"/>
      <c r="AA1362" s="214"/>
      <c r="AB1362" s="214"/>
      <c r="AC1362" s="214"/>
    </row>
    <row r="1363">
      <c r="A1363" s="242" t="s">
        <v>881</v>
      </c>
      <c r="B1363" s="243" t="s">
        <v>882</v>
      </c>
      <c r="C1363" s="416">
        <f>sum(E1363:E1365)</f>
        <v>5</v>
      </c>
      <c r="D1363" s="521" t="s">
        <v>159</v>
      </c>
      <c r="E1363" s="521">
        <v>1.0</v>
      </c>
      <c r="F1363" s="522"/>
      <c r="G1363" s="522"/>
      <c r="H1363" s="523" t="s">
        <v>160</v>
      </c>
      <c r="I1363" s="538" t="s">
        <v>144</v>
      </c>
      <c r="J1363" s="214"/>
      <c r="K1363" s="214"/>
      <c r="L1363" s="214"/>
      <c r="M1363" s="214"/>
      <c r="N1363" s="214"/>
      <c r="O1363" s="214"/>
      <c r="P1363" s="214"/>
      <c r="Q1363" s="214"/>
      <c r="R1363" s="214"/>
      <c r="S1363" s="214"/>
      <c r="T1363" s="214"/>
      <c r="U1363" s="214"/>
      <c r="V1363" s="214"/>
      <c r="W1363" s="214"/>
      <c r="X1363" s="214"/>
      <c r="Y1363" s="214"/>
      <c r="Z1363" s="214"/>
      <c r="AA1363" s="214"/>
      <c r="AB1363" s="214"/>
      <c r="AC1363" s="214"/>
    </row>
    <row r="1364">
      <c r="A1364" s="222"/>
      <c r="D1364" s="402" t="s">
        <v>162</v>
      </c>
      <c r="E1364" s="402">
        <v>2.0</v>
      </c>
      <c r="F1364" s="272"/>
      <c r="G1364" s="272"/>
      <c r="H1364" s="403" t="s">
        <v>164</v>
      </c>
      <c r="I1364" s="274" t="s">
        <v>163</v>
      </c>
      <c r="J1364" s="214"/>
      <c r="K1364" s="214"/>
      <c r="L1364" s="214"/>
      <c r="M1364" s="214"/>
      <c r="N1364" s="214"/>
      <c r="O1364" s="214"/>
      <c r="P1364" s="214"/>
      <c r="Q1364" s="214"/>
      <c r="R1364" s="214"/>
      <c r="S1364" s="214"/>
      <c r="T1364" s="214"/>
      <c r="U1364" s="214"/>
      <c r="V1364" s="214"/>
      <c r="W1364" s="214"/>
      <c r="X1364" s="214"/>
      <c r="Y1364" s="214"/>
      <c r="Z1364" s="214"/>
      <c r="AA1364" s="214"/>
      <c r="AB1364" s="214"/>
      <c r="AC1364" s="214"/>
    </row>
    <row r="1365">
      <c r="A1365" s="236"/>
      <c r="B1365" s="237"/>
      <c r="C1365" s="237"/>
      <c r="D1365" s="287" t="s">
        <v>104</v>
      </c>
      <c r="E1365" s="287">
        <v>2.0</v>
      </c>
      <c r="F1365" s="404"/>
      <c r="G1365" s="404"/>
      <c r="H1365" s="289" t="s">
        <v>106</v>
      </c>
      <c r="I1365" s="290" t="s">
        <v>105</v>
      </c>
      <c r="J1365" s="214"/>
      <c r="K1365" s="214"/>
      <c r="L1365" s="214"/>
      <c r="M1365" s="214"/>
      <c r="N1365" s="214"/>
      <c r="O1365" s="214"/>
      <c r="P1365" s="214"/>
      <c r="Q1365" s="214"/>
      <c r="R1365" s="214"/>
      <c r="S1365" s="214"/>
      <c r="T1365" s="214"/>
      <c r="U1365" s="214"/>
      <c r="V1365" s="214"/>
      <c r="W1365" s="214"/>
      <c r="X1365" s="214"/>
      <c r="Y1365" s="214"/>
      <c r="Z1365" s="214"/>
      <c r="AA1365" s="214"/>
      <c r="AB1365" s="214"/>
      <c r="AC1365" s="214"/>
    </row>
    <row r="1366">
      <c r="A1366" s="242" t="s">
        <v>883</v>
      </c>
      <c r="B1366" s="243" t="s">
        <v>884</v>
      </c>
      <c r="C1366" s="416">
        <f>sum(E1366:E1368)</f>
        <v>5</v>
      </c>
      <c r="D1366" s="292" t="s">
        <v>91</v>
      </c>
      <c r="E1366" s="292">
        <v>1.0</v>
      </c>
      <c r="F1366" s="293"/>
      <c r="G1366" s="324"/>
      <c r="H1366" s="486" t="s">
        <v>92</v>
      </c>
      <c r="I1366" s="295" t="s">
        <v>65</v>
      </c>
      <c r="J1366" s="214"/>
      <c r="K1366" s="214"/>
      <c r="L1366" s="214"/>
      <c r="M1366" s="214"/>
      <c r="N1366" s="214"/>
      <c r="O1366" s="214"/>
      <c r="P1366" s="214"/>
      <c r="Q1366" s="214"/>
      <c r="R1366" s="214"/>
      <c r="S1366" s="214"/>
      <c r="T1366" s="214"/>
      <c r="U1366" s="214"/>
      <c r="V1366" s="214"/>
      <c r="W1366" s="214"/>
      <c r="X1366" s="214"/>
      <c r="Y1366" s="214"/>
      <c r="Z1366" s="214"/>
      <c r="AA1366" s="214"/>
      <c r="AB1366" s="214"/>
      <c r="AC1366" s="214"/>
    </row>
    <row r="1367">
      <c r="A1367" s="222"/>
      <c r="D1367" s="271" t="s">
        <v>162</v>
      </c>
      <c r="E1367" s="271">
        <v>2.0</v>
      </c>
      <c r="F1367" s="272"/>
      <c r="G1367" s="272"/>
      <c r="H1367" s="273" t="s">
        <v>164</v>
      </c>
      <c r="I1367" s="274" t="s">
        <v>163</v>
      </c>
      <c r="J1367" s="214"/>
      <c r="K1367" s="214"/>
      <c r="L1367" s="214"/>
      <c r="M1367" s="214"/>
      <c r="N1367" s="214"/>
      <c r="O1367" s="214"/>
      <c r="P1367" s="214"/>
      <c r="Q1367" s="214"/>
      <c r="R1367" s="214"/>
      <c r="S1367" s="214"/>
      <c r="T1367" s="214"/>
      <c r="U1367" s="214"/>
      <c r="V1367" s="214"/>
      <c r="W1367" s="214"/>
      <c r="X1367" s="214"/>
      <c r="Y1367" s="214"/>
      <c r="Z1367" s="214"/>
      <c r="AA1367" s="214"/>
      <c r="AB1367" s="214"/>
      <c r="AC1367" s="214"/>
    </row>
    <row r="1368">
      <c r="A1368" s="236"/>
      <c r="B1368" s="237"/>
      <c r="C1368" s="237"/>
      <c r="D1368" s="369" t="s">
        <v>22</v>
      </c>
      <c r="E1368" s="369">
        <v>2.0</v>
      </c>
      <c r="F1368" s="370"/>
      <c r="G1368" s="371"/>
      <c r="H1368" s="372" t="s">
        <v>265</v>
      </c>
      <c r="I1368" s="373" t="s">
        <v>23</v>
      </c>
      <c r="J1368" s="214"/>
      <c r="K1368" s="214"/>
      <c r="L1368" s="214"/>
      <c r="M1368" s="214"/>
      <c r="N1368" s="214"/>
      <c r="O1368" s="214"/>
      <c r="P1368" s="214"/>
      <c r="Q1368" s="214"/>
      <c r="R1368" s="214"/>
      <c r="S1368" s="214"/>
      <c r="T1368" s="214"/>
      <c r="U1368" s="214"/>
      <c r="V1368" s="214"/>
      <c r="W1368" s="214"/>
      <c r="X1368" s="214"/>
      <c r="Y1368" s="214"/>
      <c r="Z1368" s="214"/>
      <c r="AA1368" s="214"/>
      <c r="AB1368" s="214"/>
      <c r="AC1368" s="214"/>
    </row>
    <row r="1369">
      <c r="A1369" s="215" t="s">
        <v>885</v>
      </c>
      <c r="B1369" s="243" t="s">
        <v>886</v>
      </c>
      <c r="C1369" s="416">
        <f>sum(E1369:E1371)</f>
        <v>5</v>
      </c>
      <c r="D1369" s="308" t="s">
        <v>104</v>
      </c>
      <c r="E1369" s="308">
        <v>2.0</v>
      </c>
      <c r="F1369" s="473"/>
      <c r="G1369" s="473"/>
      <c r="H1369" s="310" t="s">
        <v>106</v>
      </c>
      <c r="I1369" s="311" t="s">
        <v>105</v>
      </c>
      <c r="J1369" s="326"/>
      <c r="K1369" s="214"/>
      <c r="L1369" s="214"/>
      <c r="M1369" s="214"/>
      <c r="N1369" s="214"/>
      <c r="O1369" s="214"/>
      <c r="P1369" s="214"/>
      <c r="Q1369" s="214"/>
      <c r="R1369" s="214"/>
      <c r="S1369" s="214"/>
      <c r="T1369" s="214"/>
      <c r="U1369" s="214"/>
      <c r="V1369" s="214"/>
      <c r="W1369" s="214"/>
      <c r="X1369" s="214"/>
      <c r="Y1369" s="214"/>
      <c r="Z1369" s="214"/>
      <c r="AA1369" s="214"/>
      <c r="AB1369" s="214"/>
      <c r="AC1369" s="214"/>
    </row>
    <row r="1370">
      <c r="A1370" s="222"/>
      <c r="D1370" s="369" t="s">
        <v>22</v>
      </c>
      <c r="E1370" s="369">
        <v>2.0</v>
      </c>
      <c r="F1370" s="371"/>
      <c r="G1370" s="371"/>
      <c r="H1370" s="372" t="s">
        <v>265</v>
      </c>
      <c r="I1370" s="373" t="s">
        <v>23</v>
      </c>
      <c r="J1370" s="326"/>
      <c r="K1370" s="214"/>
      <c r="L1370" s="214"/>
      <c r="M1370" s="214"/>
      <c r="N1370" s="214"/>
      <c r="O1370" s="214"/>
      <c r="P1370" s="214"/>
      <c r="Q1370" s="214"/>
      <c r="R1370" s="214"/>
      <c r="S1370" s="214"/>
      <c r="T1370" s="214"/>
      <c r="U1370" s="214"/>
      <c r="V1370" s="214"/>
      <c r="W1370" s="214"/>
      <c r="X1370" s="214"/>
      <c r="Y1370" s="214"/>
      <c r="Z1370" s="214"/>
      <c r="AA1370" s="214"/>
      <c r="AB1370" s="214"/>
      <c r="AC1370" s="214"/>
    </row>
    <row r="1371">
      <c r="A1371" s="236"/>
      <c r="B1371" s="237"/>
      <c r="C1371" s="237"/>
      <c r="D1371" s="287" t="s">
        <v>134</v>
      </c>
      <c r="E1371" s="287">
        <v>1.0</v>
      </c>
      <c r="F1371" s="404"/>
      <c r="G1371" s="404"/>
      <c r="H1371" s="289" t="s">
        <v>135</v>
      </c>
      <c r="I1371" s="461" t="s">
        <v>105</v>
      </c>
      <c r="J1371" s="326"/>
      <c r="K1371" s="214"/>
      <c r="L1371" s="214"/>
      <c r="M1371" s="214"/>
      <c r="N1371" s="214"/>
      <c r="O1371" s="214"/>
      <c r="P1371" s="214"/>
      <c r="Q1371" s="214"/>
      <c r="R1371" s="214"/>
      <c r="S1371" s="214"/>
      <c r="T1371" s="214"/>
      <c r="U1371" s="214"/>
      <c r="V1371" s="214"/>
      <c r="W1371" s="214"/>
      <c r="X1371" s="214"/>
      <c r="Y1371" s="214"/>
      <c r="Z1371" s="214"/>
      <c r="AA1371" s="214"/>
      <c r="AB1371" s="214"/>
      <c r="AC1371" s="214"/>
    </row>
    <row r="1372">
      <c r="A1372" s="215" t="s">
        <v>887</v>
      </c>
      <c r="B1372" s="243" t="s">
        <v>381</v>
      </c>
      <c r="C1372" s="416">
        <f>sum(E1372:E1375)</f>
        <v>5</v>
      </c>
      <c r="D1372" s="292" t="s">
        <v>88</v>
      </c>
      <c r="E1372" s="292">
        <v>1.0</v>
      </c>
      <c r="F1372" s="324"/>
      <c r="G1372" s="324"/>
      <c r="H1372" s="486" t="s">
        <v>89</v>
      </c>
      <c r="I1372" s="295" t="s">
        <v>65</v>
      </c>
      <c r="J1372" s="214"/>
      <c r="K1372" s="214"/>
      <c r="L1372" s="214"/>
      <c r="M1372" s="214"/>
      <c r="N1372" s="214"/>
      <c r="O1372" s="214"/>
      <c r="P1372" s="214"/>
      <c r="Q1372" s="214"/>
      <c r="R1372" s="214"/>
      <c r="S1372" s="214"/>
      <c r="T1372" s="214"/>
      <c r="U1372" s="214"/>
      <c r="V1372" s="214"/>
      <c r="W1372" s="214"/>
      <c r="X1372" s="214"/>
      <c r="Y1372" s="214"/>
      <c r="Z1372" s="214"/>
      <c r="AA1372" s="214"/>
      <c r="AB1372" s="214"/>
      <c r="AC1372" s="214"/>
    </row>
    <row r="1373">
      <c r="A1373" s="222"/>
      <c r="D1373" s="333" t="s">
        <v>101</v>
      </c>
      <c r="E1373" s="333">
        <v>2.0</v>
      </c>
      <c r="F1373" s="276"/>
      <c r="G1373" s="276"/>
      <c r="H1373" s="334" t="s">
        <v>102</v>
      </c>
      <c r="I1373" s="278" t="s">
        <v>98</v>
      </c>
      <c r="J1373" s="214"/>
      <c r="K1373" s="214"/>
      <c r="L1373" s="214"/>
      <c r="M1373" s="214"/>
      <c r="N1373" s="214"/>
      <c r="O1373" s="214"/>
      <c r="P1373" s="214"/>
      <c r="Q1373" s="214"/>
      <c r="R1373" s="214"/>
      <c r="S1373" s="214"/>
      <c r="T1373" s="214"/>
      <c r="U1373" s="214"/>
      <c r="V1373" s="214"/>
      <c r="W1373" s="214"/>
      <c r="X1373" s="214"/>
      <c r="Y1373" s="214"/>
      <c r="Z1373" s="214"/>
      <c r="AA1373" s="214"/>
      <c r="AB1373" s="214"/>
      <c r="AC1373" s="214"/>
    </row>
    <row r="1374">
      <c r="A1374" s="222"/>
      <c r="D1374" s="271" t="s">
        <v>169</v>
      </c>
      <c r="E1374" s="271">
        <v>1.0</v>
      </c>
      <c r="F1374" s="317"/>
      <c r="G1374" s="317"/>
      <c r="H1374" s="273" t="s">
        <v>170</v>
      </c>
      <c r="I1374" s="659" t="s">
        <v>163</v>
      </c>
      <c r="J1374" s="214"/>
      <c r="K1374" s="214"/>
      <c r="L1374" s="214"/>
      <c r="M1374" s="214"/>
      <c r="N1374" s="214"/>
      <c r="O1374" s="214"/>
      <c r="P1374" s="214"/>
      <c r="Q1374" s="214"/>
      <c r="R1374" s="214"/>
      <c r="S1374" s="214"/>
      <c r="T1374" s="214"/>
      <c r="U1374" s="214"/>
      <c r="V1374" s="214"/>
      <c r="W1374" s="214"/>
      <c r="X1374" s="214"/>
      <c r="Y1374" s="214"/>
      <c r="Z1374" s="214"/>
      <c r="AA1374" s="214"/>
      <c r="AB1374" s="214"/>
      <c r="AC1374" s="214"/>
    </row>
    <row r="1375" ht="19.5" customHeight="1">
      <c r="A1375" s="236"/>
      <c r="B1375" s="237"/>
      <c r="C1375" s="237"/>
      <c r="D1375" s="339" t="s">
        <v>134</v>
      </c>
      <c r="E1375" s="339">
        <v>1.0</v>
      </c>
      <c r="F1375" s="254"/>
      <c r="G1375" s="233"/>
      <c r="H1375" s="340" t="s">
        <v>135</v>
      </c>
      <c r="I1375" s="298" t="s">
        <v>105</v>
      </c>
      <c r="J1375" s="214"/>
      <c r="K1375" s="214"/>
      <c r="L1375" s="214"/>
      <c r="M1375" s="214"/>
      <c r="N1375" s="214"/>
      <c r="O1375" s="214"/>
      <c r="P1375" s="214"/>
      <c r="Q1375" s="214"/>
      <c r="R1375" s="214"/>
      <c r="S1375" s="214"/>
      <c r="T1375" s="214"/>
      <c r="U1375" s="214"/>
      <c r="V1375" s="214"/>
      <c r="W1375" s="214"/>
      <c r="X1375" s="214"/>
      <c r="Y1375" s="214"/>
      <c r="Z1375" s="214"/>
      <c r="AA1375" s="214"/>
      <c r="AB1375" s="214"/>
      <c r="AC1375" s="214"/>
    </row>
    <row r="1376" ht="19.5" customHeight="1">
      <c r="A1376" s="215" t="s">
        <v>888</v>
      </c>
      <c r="B1376" s="216" t="s">
        <v>642</v>
      </c>
      <c r="C1376" s="416">
        <f>sum(E1376:E1378)</f>
        <v>5</v>
      </c>
      <c r="D1376" s="475" t="s">
        <v>97</v>
      </c>
      <c r="E1376" s="475">
        <v>2.0</v>
      </c>
      <c r="F1376" s="481"/>
      <c r="G1376" s="379"/>
      <c r="H1376" s="476" t="s">
        <v>99</v>
      </c>
      <c r="I1376" s="381" t="s">
        <v>98</v>
      </c>
      <c r="J1376" s="214"/>
      <c r="K1376" s="214"/>
      <c r="L1376" s="214"/>
      <c r="M1376" s="214"/>
      <c r="N1376" s="214"/>
      <c r="O1376" s="214"/>
      <c r="P1376" s="214"/>
      <c r="Q1376" s="214"/>
      <c r="R1376" s="214"/>
      <c r="S1376" s="214"/>
      <c r="T1376" s="214"/>
      <c r="U1376" s="214"/>
      <c r="V1376" s="214"/>
      <c r="W1376" s="214"/>
      <c r="X1376" s="214"/>
      <c r="Y1376" s="214"/>
      <c r="Z1376" s="214"/>
      <c r="AA1376" s="214"/>
      <c r="AB1376" s="214"/>
      <c r="AC1376" s="214"/>
    </row>
    <row r="1377">
      <c r="A1377" s="222"/>
      <c r="D1377" s="271" t="s">
        <v>162</v>
      </c>
      <c r="E1377" s="271">
        <v>2.0</v>
      </c>
      <c r="F1377" s="272"/>
      <c r="G1377" s="272"/>
      <c r="H1377" s="273" t="s">
        <v>164</v>
      </c>
      <c r="I1377" s="274" t="s">
        <v>163</v>
      </c>
      <c r="J1377" s="214"/>
      <c r="K1377" s="214"/>
      <c r="L1377" s="214"/>
      <c r="M1377" s="214"/>
      <c r="N1377" s="214"/>
      <c r="O1377" s="214"/>
      <c r="P1377" s="214"/>
      <c r="Q1377" s="214"/>
      <c r="R1377" s="214"/>
      <c r="S1377" s="214"/>
      <c r="T1377" s="214"/>
      <c r="U1377" s="214"/>
      <c r="V1377" s="214"/>
      <c r="W1377" s="214"/>
      <c r="X1377" s="214"/>
      <c r="Y1377" s="214"/>
      <c r="Z1377" s="214"/>
      <c r="AA1377" s="214"/>
      <c r="AB1377" s="214"/>
      <c r="AC1377" s="214"/>
    </row>
    <row r="1378">
      <c r="A1378" s="236"/>
      <c r="B1378" s="237"/>
      <c r="C1378" s="237"/>
      <c r="D1378" s="287" t="s">
        <v>120</v>
      </c>
      <c r="E1378" s="287">
        <v>1.0</v>
      </c>
      <c r="F1378" s="288"/>
      <c r="G1378" s="288"/>
      <c r="H1378" s="289" t="s">
        <v>121</v>
      </c>
      <c r="I1378" s="290" t="s">
        <v>105</v>
      </c>
      <c r="J1378" s="214"/>
      <c r="K1378" s="214"/>
      <c r="L1378" s="214"/>
      <c r="M1378" s="214"/>
      <c r="N1378" s="214"/>
      <c r="O1378" s="214"/>
      <c r="P1378" s="214"/>
      <c r="Q1378" s="214"/>
      <c r="R1378" s="214"/>
      <c r="S1378" s="214"/>
      <c r="T1378" s="214"/>
      <c r="U1378" s="214"/>
      <c r="V1378" s="214"/>
      <c r="W1378" s="214"/>
      <c r="X1378" s="214"/>
      <c r="Y1378" s="214"/>
      <c r="Z1378" s="214"/>
      <c r="AA1378" s="214"/>
      <c r="AB1378" s="214"/>
      <c r="AC1378" s="214"/>
    </row>
    <row r="1379">
      <c r="A1379" s="660" t="s">
        <v>889</v>
      </c>
      <c r="B1379" s="661" t="s">
        <v>560</v>
      </c>
      <c r="C1379" s="416">
        <f>sum(E1379:E1381)</f>
        <v>5</v>
      </c>
      <c r="D1379" s="512" t="s">
        <v>39</v>
      </c>
      <c r="E1379" s="512">
        <v>1.0</v>
      </c>
      <c r="F1379" s="489"/>
      <c r="G1379" s="489"/>
      <c r="H1379" s="513" t="s">
        <v>40</v>
      </c>
      <c r="I1379" s="491" t="s">
        <v>30</v>
      </c>
      <c r="J1379" s="214"/>
      <c r="K1379" s="214"/>
      <c r="L1379" s="214"/>
      <c r="M1379" s="214"/>
      <c r="N1379" s="214"/>
      <c r="O1379" s="214"/>
      <c r="P1379" s="214"/>
      <c r="Q1379" s="214"/>
      <c r="R1379" s="214"/>
      <c r="S1379" s="214"/>
      <c r="T1379" s="214"/>
      <c r="U1379" s="214"/>
      <c r="V1379" s="214"/>
      <c r="W1379" s="214"/>
      <c r="X1379" s="214"/>
      <c r="Y1379" s="214"/>
      <c r="Z1379" s="214"/>
      <c r="AA1379" s="214"/>
      <c r="AB1379" s="214"/>
      <c r="AC1379" s="214"/>
    </row>
    <row r="1380" ht="30.0" customHeight="1">
      <c r="A1380" s="222"/>
      <c r="D1380" s="286" t="s">
        <v>411</v>
      </c>
      <c r="E1380" s="286">
        <v>2.0</v>
      </c>
      <c r="F1380" s="318"/>
      <c r="G1380" s="261"/>
      <c r="H1380" s="262" t="s">
        <v>69</v>
      </c>
      <c r="I1380" s="263" t="s">
        <v>65</v>
      </c>
      <c r="J1380" s="214"/>
      <c r="K1380" s="214"/>
      <c r="L1380" s="214"/>
      <c r="M1380" s="214"/>
      <c r="N1380" s="214"/>
      <c r="O1380" s="214"/>
      <c r="P1380" s="214"/>
      <c r="Q1380" s="214"/>
      <c r="R1380" s="214"/>
      <c r="S1380" s="214"/>
      <c r="T1380" s="214"/>
      <c r="U1380" s="214"/>
      <c r="V1380" s="214"/>
      <c r="W1380" s="214"/>
      <c r="X1380" s="214"/>
      <c r="Y1380" s="214"/>
      <c r="Z1380" s="214"/>
      <c r="AA1380" s="214"/>
      <c r="AB1380" s="214"/>
      <c r="AC1380" s="214"/>
    </row>
    <row r="1381">
      <c r="A1381" s="236"/>
      <c r="B1381" s="237"/>
      <c r="C1381" s="237"/>
      <c r="D1381" s="333" t="s">
        <v>101</v>
      </c>
      <c r="E1381" s="333">
        <v>2.0</v>
      </c>
      <c r="F1381" s="276"/>
      <c r="G1381" s="276"/>
      <c r="H1381" s="334" t="s">
        <v>102</v>
      </c>
      <c r="I1381" s="297" t="s">
        <v>98</v>
      </c>
      <c r="J1381" s="214"/>
      <c r="K1381" s="214"/>
      <c r="L1381" s="214"/>
      <c r="M1381" s="214"/>
      <c r="N1381" s="214"/>
      <c r="O1381" s="214"/>
      <c r="P1381" s="214"/>
      <c r="Q1381" s="214"/>
      <c r="R1381" s="214"/>
      <c r="S1381" s="214"/>
      <c r="T1381" s="214"/>
      <c r="U1381" s="214"/>
      <c r="V1381" s="214"/>
      <c r="W1381" s="214"/>
      <c r="X1381" s="214"/>
      <c r="Y1381" s="214"/>
      <c r="Z1381" s="214"/>
      <c r="AA1381" s="214"/>
      <c r="AB1381" s="214"/>
      <c r="AC1381" s="214"/>
    </row>
    <row r="1382">
      <c r="A1382" s="242" t="s">
        <v>890</v>
      </c>
      <c r="B1382" s="243" t="s">
        <v>891</v>
      </c>
      <c r="C1382" s="416">
        <f>sum(E1382:E1384)</f>
        <v>5</v>
      </c>
      <c r="D1382" s="535" t="s">
        <v>159</v>
      </c>
      <c r="E1382" s="535">
        <v>1.0</v>
      </c>
      <c r="F1382" s="525"/>
      <c r="G1382" s="522"/>
      <c r="H1382" s="536" t="s">
        <v>160</v>
      </c>
      <c r="I1382" s="538" t="s">
        <v>144</v>
      </c>
      <c r="J1382" s="214"/>
      <c r="K1382" s="214"/>
      <c r="L1382" s="214"/>
      <c r="M1382" s="214"/>
      <c r="N1382" s="214"/>
      <c r="O1382" s="214"/>
      <c r="P1382" s="214"/>
      <c r="Q1382" s="214"/>
      <c r="R1382" s="214"/>
      <c r="S1382" s="214"/>
      <c r="T1382" s="214"/>
      <c r="U1382" s="214"/>
      <c r="V1382" s="214"/>
      <c r="W1382" s="214"/>
      <c r="X1382" s="214"/>
      <c r="Y1382" s="214"/>
      <c r="Z1382" s="214"/>
      <c r="AA1382" s="214"/>
      <c r="AB1382" s="214"/>
      <c r="AC1382" s="214"/>
    </row>
    <row r="1383">
      <c r="A1383" s="222"/>
      <c r="D1383" s="402" t="s">
        <v>162</v>
      </c>
      <c r="E1383" s="402">
        <v>2.0</v>
      </c>
      <c r="F1383" s="317"/>
      <c r="G1383" s="272"/>
      <c r="H1383" s="403" t="s">
        <v>164</v>
      </c>
      <c r="I1383" s="393" t="s">
        <v>163</v>
      </c>
      <c r="J1383" s="214"/>
      <c r="K1383" s="214"/>
      <c r="L1383" s="214"/>
      <c r="M1383" s="214"/>
      <c r="N1383" s="214"/>
      <c r="O1383" s="214"/>
      <c r="P1383" s="214"/>
      <c r="Q1383" s="214"/>
      <c r="R1383" s="214"/>
      <c r="S1383" s="214"/>
      <c r="T1383" s="214"/>
      <c r="U1383" s="214"/>
      <c r="V1383" s="214"/>
      <c r="W1383" s="214"/>
      <c r="X1383" s="214"/>
      <c r="Y1383" s="214"/>
      <c r="Z1383" s="214"/>
      <c r="AA1383" s="214"/>
      <c r="AB1383" s="214"/>
      <c r="AC1383" s="214"/>
    </row>
    <row r="1384">
      <c r="A1384" s="236"/>
      <c r="B1384" s="237"/>
      <c r="C1384" s="237"/>
      <c r="D1384" s="227" t="s">
        <v>11</v>
      </c>
      <c r="E1384" s="227">
        <v>2.0</v>
      </c>
      <c r="F1384" s="327"/>
      <c r="G1384" s="228"/>
      <c r="H1384" s="229" t="s">
        <v>294</v>
      </c>
      <c r="I1384" s="230" t="s">
        <v>7</v>
      </c>
      <c r="J1384" s="214"/>
      <c r="K1384" s="214"/>
      <c r="L1384" s="214"/>
      <c r="M1384" s="214"/>
      <c r="N1384" s="214"/>
      <c r="O1384" s="214"/>
      <c r="P1384" s="214"/>
      <c r="Q1384" s="214"/>
      <c r="R1384" s="214"/>
      <c r="S1384" s="214"/>
      <c r="T1384" s="214"/>
      <c r="U1384" s="214"/>
      <c r="V1384" s="214"/>
      <c r="W1384" s="214"/>
      <c r="X1384" s="214"/>
      <c r="Y1384" s="214"/>
      <c r="Z1384" s="214"/>
      <c r="AA1384" s="214"/>
      <c r="AB1384" s="214"/>
      <c r="AC1384" s="214"/>
    </row>
    <row r="1385">
      <c r="A1385" s="242" t="s">
        <v>892</v>
      </c>
      <c r="B1385" s="243" t="s">
        <v>251</v>
      </c>
      <c r="C1385" s="416">
        <f>sum(E1385:E1387)</f>
        <v>5</v>
      </c>
      <c r="D1385" s="512" t="s">
        <v>36</v>
      </c>
      <c r="E1385" s="512">
        <v>1.0</v>
      </c>
      <c r="F1385" s="489"/>
      <c r="G1385" s="489"/>
      <c r="H1385" s="513" t="s">
        <v>37</v>
      </c>
      <c r="I1385" s="491" t="s">
        <v>30</v>
      </c>
      <c r="J1385" s="214"/>
      <c r="K1385" s="214"/>
      <c r="L1385" s="214"/>
      <c r="M1385" s="214"/>
      <c r="N1385" s="214"/>
      <c r="O1385" s="214"/>
      <c r="P1385" s="214"/>
      <c r="Q1385" s="214"/>
      <c r="R1385" s="214"/>
      <c r="S1385" s="214"/>
      <c r="T1385" s="214"/>
      <c r="U1385" s="214"/>
      <c r="V1385" s="214"/>
      <c r="W1385" s="214"/>
      <c r="X1385" s="214"/>
      <c r="Y1385" s="214"/>
      <c r="Z1385" s="214"/>
      <c r="AA1385" s="214"/>
      <c r="AB1385" s="214"/>
      <c r="AC1385" s="214"/>
    </row>
    <row r="1386">
      <c r="A1386" s="222"/>
      <c r="D1386" s="279" t="s">
        <v>49</v>
      </c>
      <c r="E1386" s="279">
        <v>2.0</v>
      </c>
      <c r="F1386" s="280"/>
      <c r="G1386" s="280"/>
      <c r="H1386" s="281" t="s">
        <v>50</v>
      </c>
      <c r="I1386" s="282" t="s">
        <v>43</v>
      </c>
      <c r="J1386" s="214"/>
      <c r="K1386" s="214"/>
      <c r="L1386" s="214"/>
      <c r="M1386" s="214"/>
      <c r="N1386" s="214"/>
      <c r="O1386" s="214"/>
      <c r="P1386" s="214"/>
      <c r="Q1386" s="214"/>
      <c r="R1386" s="214"/>
      <c r="S1386" s="214"/>
      <c r="T1386" s="214"/>
      <c r="U1386" s="214"/>
      <c r="V1386" s="214"/>
      <c r="W1386" s="214"/>
      <c r="X1386" s="214"/>
      <c r="Y1386" s="214"/>
      <c r="Z1386" s="214"/>
      <c r="AA1386" s="214"/>
      <c r="AB1386" s="214"/>
      <c r="AC1386" s="214"/>
    </row>
    <row r="1387">
      <c r="A1387" s="236"/>
      <c r="B1387" s="237"/>
      <c r="C1387" s="237"/>
      <c r="D1387" s="320" t="s">
        <v>150</v>
      </c>
      <c r="E1387" s="320">
        <v>2.0</v>
      </c>
      <c r="F1387" s="321"/>
      <c r="G1387" s="321"/>
      <c r="H1387" s="322" t="s">
        <v>151</v>
      </c>
      <c r="I1387" s="353" t="s">
        <v>144</v>
      </c>
      <c r="J1387" s="214"/>
      <c r="K1387" s="214"/>
      <c r="L1387" s="214"/>
      <c r="M1387" s="214"/>
      <c r="N1387" s="214"/>
      <c r="O1387" s="214"/>
      <c r="P1387" s="214"/>
      <c r="Q1387" s="214"/>
      <c r="R1387" s="214"/>
      <c r="S1387" s="214"/>
      <c r="T1387" s="214"/>
      <c r="U1387" s="214"/>
      <c r="V1387" s="214"/>
      <c r="W1387" s="214"/>
      <c r="X1387" s="214"/>
      <c r="Y1387" s="214"/>
      <c r="Z1387" s="214"/>
      <c r="AA1387" s="214"/>
      <c r="AB1387" s="214"/>
      <c r="AC1387" s="214"/>
    </row>
    <row r="1388">
      <c r="A1388" s="242" t="s">
        <v>893</v>
      </c>
      <c r="B1388" s="216" t="s">
        <v>894</v>
      </c>
      <c r="C1388" s="416">
        <f>sum(E1388:E1390)</f>
        <v>5</v>
      </c>
      <c r="D1388" s="335" t="s">
        <v>162</v>
      </c>
      <c r="E1388" s="335">
        <v>2.0</v>
      </c>
      <c r="F1388" s="354"/>
      <c r="G1388" s="354"/>
      <c r="H1388" s="337" t="s">
        <v>164</v>
      </c>
      <c r="I1388" s="355" t="s">
        <v>163</v>
      </c>
      <c r="J1388" s="214"/>
      <c r="K1388" s="214"/>
      <c r="L1388" s="214"/>
      <c r="M1388" s="214"/>
      <c r="N1388" s="214"/>
      <c r="O1388" s="214"/>
      <c r="P1388" s="214"/>
      <c r="Q1388" s="214"/>
      <c r="R1388" s="214"/>
      <c r="S1388" s="214"/>
      <c r="T1388" s="214"/>
      <c r="U1388" s="214"/>
      <c r="V1388" s="214"/>
      <c r="W1388" s="214"/>
      <c r="X1388" s="214"/>
      <c r="Y1388" s="214"/>
      <c r="Z1388" s="214"/>
      <c r="AA1388" s="214"/>
      <c r="AB1388" s="214"/>
      <c r="AC1388" s="214"/>
    </row>
    <row r="1389">
      <c r="A1389" s="222"/>
      <c r="D1389" s="232" t="s">
        <v>104</v>
      </c>
      <c r="E1389" s="232">
        <v>2.0</v>
      </c>
      <c r="F1389" s="233"/>
      <c r="G1389" s="233"/>
      <c r="H1389" s="234" t="s">
        <v>106</v>
      </c>
      <c r="I1389" s="235" t="s">
        <v>105</v>
      </c>
      <c r="J1389" s="214"/>
      <c r="K1389" s="214"/>
      <c r="L1389" s="214"/>
      <c r="M1389" s="214"/>
      <c r="N1389" s="214"/>
      <c r="O1389" s="214"/>
      <c r="P1389" s="214"/>
      <c r="Q1389" s="214"/>
      <c r="R1389" s="214"/>
      <c r="S1389" s="214"/>
      <c r="T1389" s="214"/>
      <c r="U1389" s="214"/>
      <c r="V1389" s="214"/>
      <c r="W1389" s="214"/>
      <c r="X1389" s="214"/>
      <c r="Y1389" s="214"/>
      <c r="Z1389" s="214"/>
      <c r="AA1389" s="214"/>
      <c r="AB1389" s="214"/>
      <c r="AC1389" s="214"/>
    </row>
    <row r="1390">
      <c r="A1390" s="236"/>
      <c r="B1390" s="237"/>
      <c r="C1390" s="237"/>
      <c r="D1390" s="320" t="s">
        <v>159</v>
      </c>
      <c r="E1390" s="320">
        <v>1.0</v>
      </c>
      <c r="F1390" s="321"/>
      <c r="G1390" s="321"/>
      <c r="H1390" s="322" t="s">
        <v>160</v>
      </c>
      <c r="I1390" s="437" t="s">
        <v>144</v>
      </c>
      <c r="J1390" s="214"/>
      <c r="K1390" s="214"/>
      <c r="L1390" s="214"/>
      <c r="M1390" s="214"/>
      <c r="N1390" s="214"/>
      <c r="O1390" s="214"/>
      <c r="P1390" s="214"/>
      <c r="Q1390" s="214"/>
      <c r="R1390" s="214"/>
      <c r="S1390" s="214"/>
      <c r="T1390" s="214"/>
      <c r="U1390" s="214"/>
      <c r="V1390" s="214"/>
      <c r="W1390" s="214"/>
      <c r="X1390" s="214"/>
      <c r="Y1390" s="214"/>
      <c r="Z1390" s="214"/>
      <c r="AA1390" s="214"/>
      <c r="AB1390" s="214"/>
      <c r="AC1390" s="214"/>
    </row>
    <row r="1391">
      <c r="A1391" s="242" t="s">
        <v>895</v>
      </c>
      <c r="B1391" s="243" t="s">
        <v>896</v>
      </c>
      <c r="C1391" s="416">
        <f>sum(E1391:E1393)</f>
        <v>5</v>
      </c>
      <c r="D1391" s="426" t="s">
        <v>22</v>
      </c>
      <c r="E1391" s="426">
        <v>2.0</v>
      </c>
      <c r="F1391" s="397"/>
      <c r="G1391" s="397"/>
      <c r="H1391" s="427" t="s">
        <v>265</v>
      </c>
      <c r="I1391" s="428" t="s">
        <v>23</v>
      </c>
      <c r="J1391" s="214"/>
      <c r="K1391" s="214"/>
      <c r="L1391" s="214"/>
      <c r="M1391" s="214"/>
      <c r="N1391" s="214"/>
      <c r="O1391" s="214"/>
      <c r="P1391" s="214"/>
      <c r="Q1391" s="214"/>
      <c r="R1391" s="214"/>
      <c r="S1391" s="214"/>
      <c r="T1391" s="214"/>
      <c r="U1391" s="214"/>
      <c r="V1391" s="214"/>
      <c r="W1391" s="214"/>
      <c r="X1391" s="214"/>
      <c r="Y1391" s="214"/>
      <c r="Z1391" s="214"/>
      <c r="AA1391" s="214"/>
      <c r="AB1391" s="214"/>
      <c r="AC1391" s="214"/>
    </row>
    <row r="1392">
      <c r="A1392" s="222"/>
      <c r="D1392" s="227" t="s">
        <v>11</v>
      </c>
      <c r="E1392" s="227">
        <v>2.0</v>
      </c>
      <c r="F1392" s="228"/>
      <c r="G1392" s="228"/>
      <c r="H1392" s="229" t="s">
        <v>294</v>
      </c>
      <c r="I1392" s="230" t="s">
        <v>7</v>
      </c>
      <c r="J1392" s="214"/>
      <c r="K1392" s="214"/>
      <c r="L1392" s="214"/>
      <c r="M1392" s="214"/>
      <c r="N1392" s="214"/>
      <c r="O1392" s="214"/>
      <c r="P1392" s="214"/>
      <c r="Q1392" s="214"/>
      <c r="R1392" s="214"/>
      <c r="S1392" s="214"/>
      <c r="T1392" s="214"/>
      <c r="U1392" s="214"/>
      <c r="V1392" s="214"/>
      <c r="W1392" s="214"/>
      <c r="X1392" s="214"/>
      <c r="Y1392" s="214"/>
      <c r="Z1392" s="214"/>
      <c r="AA1392" s="214"/>
      <c r="AB1392" s="214"/>
      <c r="AC1392" s="214"/>
    </row>
    <row r="1393">
      <c r="A1393" s="236"/>
      <c r="B1393" s="237"/>
      <c r="C1393" s="237"/>
      <c r="D1393" s="287" t="s">
        <v>120</v>
      </c>
      <c r="E1393" s="287">
        <v>1.0</v>
      </c>
      <c r="F1393" s="404"/>
      <c r="G1393" s="404"/>
      <c r="H1393" s="289" t="s">
        <v>121</v>
      </c>
      <c r="I1393" s="290" t="s">
        <v>105</v>
      </c>
      <c r="J1393" s="214"/>
      <c r="K1393" s="214"/>
      <c r="L1393" s="214"/>
      <c r="M1393" s="214"/>
      <c r="N1393" s="214"/>
      <c r="O1393" s="214"/>
      <c r="P1393" s="214"/>
      <c r="Q1393" s="214"/>
      <c r="R1393" s="214"/>
      <c r="S1393" s="214"/>
      <c r="T1393" s="214"/>
      <c r="U1393" s="214"/>
      <c r="V1393" s="214"/>
      <c r="W1393" s="214"/>
      <c r="X1393" s="214"/>
      <c r="Y1393" s="214"/>
      <c r="Z1393" s="214"/>
      <c r="AA1393" s="214"/>
      <c r="AB1393" s="214"/>
      <c r="AC1393" s="214"/>
    </row>
    <row r="1394">
      <c r="A1394" s="408" t="s">
        <v>897</v>
      </c>
      <c r="B1394" s="409" t="s">
        <v>691</v>
      </c>
      <c r="C1394" s="532">
        <f>sum(E1394:E1396)</f>
        <v>5</v>
      </c>
      <c r="D1394" s="227" t="s">
        <v>254</v>
      </c>
      <c r="E1394" s="227">
        <v>2.0</v>
      </c>
      <c r="F1394" s="228"/>
      <c r="G1394" s="228"/>
      <c r="H1394" s="229" t="s">
        <v>255</v>
      </c>
      <c r="I1394" s="230" t="s">
        <v>7</v>
      </c>
      <c r="J1394" s="214"/>
      <c r="K1394" s="214"/>
      <c r="L1394" s="214"/>
      <c r="M1394" s="214"/>
      <c r="N1394" s="214"/>
      <c r="O1394" s="214"/>
      <c r="P1394" s="214"/>
      <c r="Q1394" s="214"/>
      <c r="R1394" s="214"/>
      <c r="S1394" s="214"/>
      <c r="T1394" s="214"/>
      <c r="U1394" s="214"/>
      <c r="V1394" s="214"/>
      <c r="W1394" s="214"/>
      <c r="X1394" s="214"/>
      <c r="Y1394" s="214"/>
      <c r="Z1394" s="214"/>
      <c r="AA1394" s="214"/>
      <c r="AB1394" s="214"/>
      <c r="AC1394" s="214"/>
    </row>
    <row r="1395">
      <c r="A1395" s="222"/>
      <c r="D1395" s="286" t="s">
        <v>64</v>
      </c>
      <c r="E1395" s="286">
        <v>3.0</v>
      </c>
      <c r="F1395" s="261"/>
      <c r="G1395" s="261"/>
      <c r="H1395" s="262" t="s">
        <v>66</v>
      </c>
      <c r="I1395" s="263" t="s">
        <v>65</v>
      </c>
      <c r="J1395" s="214"/>
      <c r="K1395" s="214"/>
      <c r="L1395" s="214"/>
      <c r="M1395" s="214"/>
      <c r="N1395" s="214"/>
      <c r="O1395" s="214"/>
      <c r="P1395" s="214"/>
      <c r="Q1395" s="214"/>
      <c r="R1395" s="214"/>
      <c r="S1395" s="214"/>
      <c r="T1395" s="214"/>
      <c r="U1395" s="214"/>
      <c r="V1395" s="214"/>
      <c r="W1395" s="214"/>
      <c r="X1395" s="214"/>
      <c r="Y1395" s="214"/>
      <c r="Z1395" s="214"/>
      <c r="AA1395" s="214"/>
      <c r="AB1395" s="214"/>
      <c r="AC1395" s="214"/>
    </row>
    <row r="1396">
      <c r="A1396" s="236"/>
      <c r="B1396" s="237"/>
      <c r="C1396" s="237"/>
      <c r="D1396" s="237"/>
      <c r="E1396" s="237"/>
      <c r="F1396" s="237"/>
      <c r="G1396" s="237"/>
      <c r="I1396" s="581"/>
      <c r="J1396" s="214"/>
      <c r="K1396" s="214"/>
      <c r="L1396" s="214"/>
      <c r="M1396" s="214"/>
      <c r="N1396" s="214"/>
      <c r="O1396" s="214"/>
      <c r="P1396" s="214"/>
      <c r="Q1396" s="214"/>
      <c r="R1396" s="214"/>
      <c r="S1396" s="214"/>
      <c r="T1396" s="214"/>
      <c r="U1396" s="214"/>
      <c r="V1396" s="214"/>
      <c r="W1396" s="214"/>
      <c r="X1396" s="214"/>
      <c r="Y1396" s="214"/>
      <c r="Z1396" s="214"/>
      <c r="AA1396" s="214"/>
      <c r="AB1396" s="214"/>
      <c r="AC1396" s="214"/>
    </row>
    <row r="1397">
      <c r="A1397" s="242" t="s">
        <v>898</v>
      </c>
      <c r="B1397" s="243" t="s">
        <v>899</v>
      </c>
      <c r="C1397" s="416">
        <f>sum(E1397:E1399)</f>
        <v>5</v>
      </c>
      <c r="D1397" s="245" t="s">
        <v>49</v>
      </c>
      <c r="E1397" s="245">
        <v>2.0</v>
      </c>
      <c r="F1397" s="412"/>
      <c r="G1397" s="246"/>
      <c r="H1397" s="247" t="s">
        <v>50</v>
      </c>
      <c r="I1397" s="248" t="s">
        <v>43</v>
      </c>
      <c r="J1397" s="214"/>
      <c r="K1397" s="214"/>
      <c r="L1397" s="214"/>
      <c r="M1397" s="214"/>
      <c r="N1397" s="214"/>
      <c r="O1397" s="214"/>
      <c r="P1397" s="214"/>
      <c r="Q1397" s="214"/>
      <c r="R1397" s="214"/>
      <c r="S1397" s="214"/>
      <c r="T1397" s="214"/>
      <c r="U1397" s="214"/>
      <c r="V1397" s="214"/>
      <c r="W1397" s="214"/>
      <c r="X1397" s="214"/>
      <c r="Y1397" s="214"/>
      <c r="Z1397" s="214"/>
      <c r="AA1397" s="214"/>
      <c r="AB1397" s="214"/>
      <c r="AC1397" s="214"/>
    </row>
    <row r="1398">
      <c r="A1398" s="222"/>
      <c r="D1398" s="232" t="s">
        <v>239</v>
      </c>
      <c r="E1398" s="232">
        <v>1.0</v>
      </c>
      <c r="F1398" s="233"/>
      <c r="G1398" s="233"/>
      <c r="H1398" s="234" t="s">
        <v>115</v>
      </c>
      <c r="I1398" s="298" t="s">
        <v>105</v>
      </c>
      <c r="J1398" s="214"/>
      <c r="K1398" s="214"/>
      <c r="L1398" s="214"/>
      <c r="M1398" s="214"/>
      <c r="N1398" s="214"/>
      <c r="O1398" s="214"/>
      <c r="P1398" s="214"/>
      <c r="Q1398" s="214"/>
      <c r="R1398" s="214"/>
      <c r="S1398" s="214"/>
      <c r="T1398" s="214"/>
      <c r="U1398" s="214"/>
      <c r="V1398" s="214"/>
      <c r="W1398" s="214"/>
      <c r="X1398" s="214"/>
      <c r="Y1398" s="214"/>
      <c r="Z1398" s="214"/>
      <c r="AA1398" s="214"/>
      <c r="AB1398" s="214"/>
      <c r="AC1398" s="214"/>
    </row>
    <row r="1399">
      <c r="A1399" s="236"/>
      <c r="B1399" s="237"/>
      <c r="C1399" s="237"/>
      <c r="D1399" s="238" t="s">
        <v>229</v>
      </c>
      <c r="E1399" s="238">
        <v>2.0</v>
      </c>
      <c r="F1399" s="477"/>
      <c r="G1399" s="239"/>
      <c r="H1399" s="446" t="s">
        <v>69</v>
      </c>
      <c r="I1399" s="241" t="s">
        <v>65</v>
      </c>
      <c r="J1399" s="214"/>
      <c r="K1399" s="214"/>
      <c r="L1399" s="214"/>
      <c r="M1399" s="214"/>
      <c r="N1399" s="214"/>
      <c r="O1399" s="214"/>
      <c r="P1399" s="214"/>
      <c r="Q1399" s="214"/>
      <c r="R1399" s="214"/>
      <c r="S1399" s="214"/>
      <c r="T1399" s="214"/>
      <c r="U1399" s="214"/>
      <c r="V1399" s="214"/>
      <c r="W1399" s="214"/>
      <c r="X1399" s="214"/>
      <c r="Y1399" s="214"/>
      <c r="Z1399" s="214"/>
      <c r="AA1399" s="214"/>
      <c r="AB1399" s="214"/>
      <c r="AC1399" s="214"/>
    </row>
    <row r="1400">
      <c r="A1400" s="601" t="s">
        <v>897</v>
      </c>
      <c r="B1400" s="439" t="s">
        <v>900</v>
      </c>
      <c r="C1400" s="416">
        <f>sum(E1400:E1402)</f>
        <v>5</v>
      </c>
      <c r="D1400" s="475" t="s">
        <v>97</v>
      </c>
      <c r="E1400" s="475">
        <v>2.0</v>
      </c>
      <c r="F1400" s="379"/>
      <c r="G1400" s="379"/>
      <c r="H1400" s="476" t="s">
        <v>99</v>
      </c>
      <c r="I1400" s="381" t="s">
        <v>98</v>
      </c>
      <c r="J1400" s="214"/>
      <c r="K1400" s="214"/>
      <c r="L1400" s="214"/>
      <c r="M1400" s="214"/>
      <c r="N1400" s="214"/>
      <c r="O1400" s="214"/>
      <c r="P1400" s="214"/>
      <c r="Q1400" s="214"/>
      <c r="R1400" s="214"/>
      <c r="S1400" s="214"/>
      <c r="T1400" s="214"/>
      <c r="U1400" s="214"/>
      <c r="V1400" s="214"/>
      <c r="W1400" s="214"/>
      <c r="X1400" s="214"/>
      <c r="Y1400" s="214"/>
      <c r="Z1400" s="214"/>
      <c r="AA1400" s="214"/>
      <c r="AB1400" s="214"/>
      <c r="AC1400" s="214"/>
    </row>
    <row r="1401">
      <c r="A1401" s="222"/>
      <c r="D1401" s="271" t="s">
        <v>162</v>
      </c>
      <c r="E1401" s="271">
        <v>2.0</v>
      </c>
      <c r="F1401" s="272"/>
      <c r="G1401" s="272"/>
      <c r="H1401" s="273" t="s">
        <v>164</v>
      </c>
      <c r="I1401" s="274" t="s">
        <v>163</v>
      </c>
      <c r="J1401" s="214"/>
      <c r="K1401" s="214"/>
      <c r="L1401" s="214"/>
      <c r="M1401" s="214"/>
      <c r="N1401" s="214"/>
      <c r="O1401" s="214"/>
      <c r="P1401" s="214"/>
      <c r="Q1401" s="214"/>
      <c r="R1401" s="214"/>
      <c r="S1401" s="214"/>
      <c r="T1401" s="214"/>
      <c r="U1401" s="214"/>
      <c r="V1401" s="214"/>
      <c r="W1401" s="214"/>
      <c r="X1401" s="214"/>
      <c r="Y1401" s="214"/>
      <c r="Z1401" s="214"/>
      <c r="AA1401" s="214"/>
      <c r="AB1401" s="214"/>
      <c r="AC1401" s="214"/>
    </row>
    <row r="1402">
      <c r="A1402" s="236"/>
      <c r="B1402" s="237"/>
      <c r="C1402" s="237"/>
      <c r="D1402" s="459" t="s">
        <v>239</v>
      </c>
      <c r="E1402" s="459">
        <v>1.0</v>
      </c>
      <c r="F1402" s="288"/>
      <c r="G1402" s="288"/>
      <c r="H1402" s="460" t="s">
        <v>115</v>
      </c>
      <c r="I1402" s="290" t="s">
        <v>105</v>
      </c>
      <c r="J1402" s="214"/>
      <c r="K1402" s="214"/>
      <c r="L1402" s="214"/>
      <c r="M1402" s="214"/>
      <c r="N1402" s="214"/>
      <c r="O1402" s="214"/>
      <c r="P1402" s="214"/>
      <c r="Q1402" s="214"/>
      <c r="R1402" s="214"/>
      <c r="S1402" s="214"/>
      <c r="T1402" s="214"/>
      <c r="U1402" s="214"/>
      <c r="V1402" s="214"/>
      <c r="W1402" s="214"/>
      <c r="X1402" s="214"/>
      <c r="Y1402" s="214"/>
      <c r="Z1402" s="214"/>
      <c r="AA1402" s="214"/>
      <c r="AB1402" s="214"/>
      <c r="AC1402" s="214"/>
    </row>
    <row r="1403">
      <c r="A1403" s="242" t="s">
        <v>901</v>
      </c>
      <c r="B1403" s="243" t="s">
        <v>902</v>
      </c>
      <c r="C1403" s="416">
        <f>sum(E1403:E1404)</f>
        <v>5</v>
      </c>
      <c r="D1403" s="475" t="s">
        <v>97</v>
      </c>
      <c r="E1403" s="475">
        <v>2.0</v>
      </c>
      <c r="F1403" s="379"/>
      <c r="G1403" s="379"/>
      <c r="H1403" s="476" t="s">
        <v>99</v>
      </c>
      <c r="I1403" s="381" t="s">
        <v>98</v>
      </c>
      <c r="J1403" s="214"/>
      <c r="K1403" s="214"/>
      <c r="L1403" s="214"/>
      <c r="M1403" s="214"/>
      <c r="N1403" s="214"/>
      <c r="O1403" s="214"/>
      <c r="P1403" s="214"/>
      <c r="Q1403" s="214"/>
      <c r="R1403" s="214"/>
      <c r="S1403" s="214"/>
      <c r="T1403" s="214"/>
      <c r="U1403" s="214"/>
      <c r="V1403" s="214"/>
      <c r="W1403" s="214"/>
      <c r="X1403" s="214"/>
      <c r="Y1403" s="214"/>
      <c r="Z1403" s="214"/>
      <c r="AA1403" s="214"/>
      <c r="AB1403" s="214"/>
      <c r="AC1403" s="214"/>
    </row>
    <row r="1404">
      <c r="A1404" s="236"/>
      <c r="B1404" s="237"/>
      <c r="C1404" s="237"/>
      <c r="D1404" s="320" t="s">
        <v>147</v>
      </c>
      <c r="E1404" s="320">
        <v>3.0</v>
      </c>
      <c r="F1404" s="436"/>
      <c r="G1404" s="436"/>
      <c r="H1404" s="322" t="s">
        <v>145</v>
      </c>
      <c r="I1404" s="437" t="s">
        <v>144</v>
      </c>
      <c r="J1404" s="214"/>
      <c r="K1404" s="214"/>
      <c r="L1404" s="214"/>
      <c r="M1404" s="214"/>
      <c r="N1404" s="214"/>
      <c r="O1404" s="214"/>
      <c r="P1404" s="214"/>
      <c r="Q1404" s="214"/>
      <c r="R1404" s="214"/>
      <c r="S1404" s="214"/>
      <c r="T1404" s="214"/>
      <c r="U1404" s="214"/>
      <c r="V1404" s="214"/>
      <c r="W1404" s="214"/>
      <c r="X1404" s="214"/>
      <c r="Y1404" s="214"/>
      <c r="Z1404" s="214"/>
      <c r="AA1404" s="214"/>
      <c r="AB1404" s="214"/>
      <c r="AC1404" s="214"/>
    </row>
    <row r="1405">
      <c r="A1405" s="215" t="s">
        <v>903</v>
      </c>
      <c r="B1405" s="216" t="s">
        <v>904</v>
      </c>
      <c r="C1405" s="416">
        <f>sum(E1405:E1408)</f>
        <v>5</v>
      </c>
      <c r="D1405" s="521" t="s">
        <v>159</v>
      </c>
      <c r="E1405" s="521">
        <v>1.0</v>
      </c>
      <c r="F1405" s="525"/>
      <c r="G1405" s="522"/>
      <c r="H1405" s="523" t="s">
        <v>160</v>
      </c>
      <c r="I1405" s="538" t="s">
        <v>144</v>
      </c>
      <c r="J1405" s="214"/>
      <c r="K1405" s="214"/>
      <c r="L1405" s="214"/>
      <c r="M1405" s="214"/>
      <c r="N1405" s="214"/>
      <c r="O1405" s="214"/>
      <c r="P1405" s="214"/>
      <c r="Q1405" s="214"/>
      <c r="R1405" s="214"/>
      <c r="S1405" s="214"/>
      <c r="T1405" s="214"/>
      <c r="U1405" s="214"/>
      <c r="V1405" s="214"/>
      <c r="W1405" s="214"/>
      <c r="X1405" s="214"/>
      <c r="Y1405" s="214"/>
      <c r="Z1405" s="214"/>
      <c r="AA1405" s="214"/>
      <c r="AB1405" s="214"/>
      <c r="AC1405" s="214"/>
    </row>
    <row r="1406">
      <c r="A1406" s="222"/>
      <c r="D1406" s="286" t="s">
        <v>229</v>
      </c>
      <c r="E1406" s="286">
        <v>2.0</v>
      </c>
      <c r="F1406" s="318"/>
      <c r="G1406" s="261"/>
      <c r="H1406" s="262" t="s">
        <v>69</v>
      </c>
      <c r="I1406" s="263" t="s">
        <v>65</v>
      </c>
      <c r="J1406" s="214"/>
      <c r="K1406" s="214"/>
      <c r="L1406" s="214"/>
      <c r="M1406" s="214"/>
      <c r="N1406" s="214"/>
      <c r="O1406" s="214"/>
      <c r="P1406" s="214"/>
      <c r="Q1406" s="214"/>
      <c r="R1406" s="214"/>
      <c r="S1406" s="214"/>
      <c r="T1406" s="214"/>
      <c r="U1406" s="214"/>
      <c r="V1406" s="214"/>
      <c r="W1406" s="214"/>
      <c r="X1406" s="214"/>
      <c r="Y1406" s="214"/>
      <c r="Z1406" s="214"/>
      <c r="AA1406" s="214"/>
      <c r="AB1406" s="214"/>
      <c r="AC1406" s="214"/>
    </row>
    <row r="1407">
      <c r="A1407" s="222"/>
      <c r="D1407" s="339" t="s">
        <v>120</v>
      </c>
      <c r="E1407" s="339">
        <v>1.0</v>
      </c>
      <c r="F1407" s="254"/>
      <c r="G1407" s="233"/>
      <c r="H1407" s="340" t="s">
        <v>289</v>
      </c>
      <c r="I1407" s="298" t="s">
        <v>105</v>
      </c>
      <c r="J1407" s="214"/>
      <c r="K1407" s="214"/>
      <c r="L1407" s="214"/>
      <c r="M1407" s="214"/>
      <c r="N1407" s="214"/>
      <c r="O1407" s="214"/>
      <c r="P1407" s="214"/>
      <c r="Q1407" s="214"/>
      <c r="R1407" s="214"/>
      <c r="S1407" s="214"/>
      <c r="T1407" s="214"/>
      <c r="U1407" s="214"/>
      <c r="V1407" s="214"/>
      <c r="W1407" s="214"/>
      <c r="X1407" s="214"/>
      <c r="Y1407" s="214"/>
      <c r="Z1407" s="214"/>
      <c r="AA1407" s="214"/>
      <c r="AB1407" s="214"/>
      <c r="AC1407" s="214"/>
    </row>
    <row r="1408">
      <c r="A1408" s="236"/>
      <c r="B1408" s="237"/>
      <c r="C1408" s="237"/>
      <c r="D1408" s="287" t="s">
        <v>117</v>
      </c>
      <c r="E1408" s="287">
        <v>1.0</v>
      </c>
      <c r="F1408" s="404"/>
      <c r="G1408" s="404"/>
      <c r="H1408" s="289" t="s">
        <v>238</v>
      </c>
      <c r="I1408" s="461" t="s">
        <v>105</v>
      </c>
      <c r="J1408" s="214"/>
      <c r="K1408" s="214"/>
      <c r="L1408" s="214"/>
      <c r="M1408" s="214"/>
      <c r="N1408" s="214"/>
      <c r="O1408" s="214"/>
      <c r="P1408" s="214"/>
      <c r="Q1408" s="214"/>
      <c r="R1408" s="214"/>
      <c r="S1408" s="214"/>
      <c r="T1408" s="214"/>
      <c r="U1408" s="214"/>
      <c r="V1408" s="214"/>
      <c r="W1408" s="214"/>
      <c r="X1408" s="214"/>
      <c r="Y1408" s="214"/>
      <c r="Z1408" s="214"/>
      <c r="AA1408" s="214"/>
      <c r="AB1408" s="214"/>
      <c r="AC1408" s="214"/>
    </row>
    <row r="1409">
      <c r="A1409" s="609" t="s">
        <v>905</v>
      </c>
      <c r="B1409" s="662" t="s">
        <v>906</v>
      </c>
      <c r="C1409" s="663">
        <f>sum(E1409)</f>
        <v>5</v>
      </c>
      <c r="D1409" s="664" t="s">
        <v>143</v>
      </c>
      <c r="E1409" s="664">
        <v>5.0</v>
      </c>
      <c r="F1409" s="665"/>
      <c r="G1409" s="665"/>
      <c r="H1409" s="666" t="s">
        <v>145</v>
      </c>
      <c r="I1409" s="667" t="s">
        <v>144</v>
      </c>
      <c r="J1409" s="214"/>
      <c r="K1409" s="214"/>
      <c r="L1409" s="214"/>
      <c r="M1409" s="214"/>
      <c r="N1409" s="214"/>
      <c r="O1409" s="214"/>
      <c r="P1409" s="214"/>
      <c r="Q1409" s="214"/>
      <c r="R1409" s="214"/>
      <c r="S1409" s="214"/>
      <c r="T1409" s="214"/>
      <c r="U1409" s="214"/>
      <c r="V1409" s="214"/>
      <c r="W1409" s="214"/>
      <c r="X1409" s="214"/>
      <c r="Y1409" s="214"/>
      <c r="Z1409" s="214"/>
      <c r="AA1409" s="214"/>
      <c r="AB1409" s="214"/>
      <c r="AC1409" s="214"/>
    </row>
    <row r="1410">
      <c r="A1410" s="215" t="s">
        <v>907</v>
      </c>
      <c r="B1410" s="216" t="s">
        <v>908</v>
      </c>
      <c r="C1410" s="416">
        <f>sum(E1410:E1412)</f>
        <v>5</v>
      </c>
      <c r="D1410" s="356" t="s">
        <v>254</v>
      </c>
      <c r="E1410" s="356">
        <v>2.0</v>
      </c>
      <c r="F1410" s="357"/>
      <c r="G1410" s="357"/>
      <c r="H1410" s="447" t="s">
        <v>255</v>
      </c>
      <c r="I1410" s="482" t="s">
        <v>7</v>
      </c>
      <c r="J1410" s="214"/>
      <c r="K1410" s="214"/>
      <c r="L1410" s="214"/>
      <c r="M1410" s="214"/>
      <c r="N1410" s="214"/>
      <c r="O1410" s="214"/>
      <c r="P1410" s="214"/>
      <c r="Q1410" s="214"/>
      <c r="R1410" s="214"/>
      <c r="S1410" s="214"/>
      <c r="T1410" s="214"/>
      <c r="U1410" s="214"/>
      <c r="V1410" s="214"/>
      <c r="W1410" s="214"/>
      <c r="X1410" s="214"/>
      <c r="Y1410" s="214"/>
      <c r="Z1410" s="214"/>
      <c r="AA1410" s="214"/>
      <c r="AB1410" s="214"/>
      <c r="AC1410" s="214"/>
    </row>
    <row r="1411">
      <c r="A1411" s="222"/>
      <c r="D1411" s="279" t="s">
        <v>52</v>
      </c>
      <c r="E1411" s="279">
        <v>1.0</v>
      </c>
      <c r="F1411" s="316"/>
      <c r="G1411" s="280"/>
      <c r="H1411" s="281" t="s">
        <v>53</v>
      </c>
      <c r="I1411" s="282" t="s">
        <v>43</v>
      </c>
      <c r="J1411" s="214"/>
      <c r="K1411" s="214"/>
      <c r="L1411" s="214"/>
      <c r="M1411" s="214"/>
      <c r="N1411" s="214"/>
      <c r="O1411" s="214"/>
      <c r="P1411" s="214"/>
      <c r="Q1411" s="214"/>
      <c r="R1411" s="214"/>
      <c r="S1411" s="214"/>
      <c r="T1411" s="214"/>
      <c r="U1411" s="214"/>
      <c r="V1411" s="214"/>
      <c r="W1411" s="214"/>
      <c r="X1411" s="214"/>
      <c r="Y1411" s="214"/>
      <c r="Z1411" s="214"/>
      <c r="AA1411" s="214"/>
      <c r="AB1411" s="214"/>
      <c r="AC1411" s="214"/>
    </row>
    <row r="1412">
      <c r="A1412" s="236"/>
      <c r="B1412" s="237"/>
      <c r="C1412" s="237"/>
      <c r="D1412" s="264" t="s">
        <v>162</v>
      </c>
      <c r="E1412" s="264">
        <v>2.0</v>
      </c>
      <c r="F1412" s="479"/>
      <c r="G1412" s="479"/>
      <c r="H1412" s="266" t="s">
        <v>164</v>
      </c>
      <c r="I1412" s="267" t="s">
        <v>163</v>
      </c>
      <c r="J1412" s="214"/>
      <c r="K1412" s="214"/>
      <c r="L1412" s="214"/>
      <c r="M1412" s="214"/>
      <c r="N1412" s="214"/>
      <c r="O1412" s="214"/>
      <c r="P1412" s="214"/>
      <c r="Q1412" s="214"/>
      <c r="R1412" s="214"/>
      <c r="S1412" s="214"/>
      <c r="T1412" s="214"/>
      <c r="U1412" s="214"/>
      <c r="V1412" s="214"/>
      <c r="W1412" s="214"/>
      <c r="X1412" s="214"/>
      <c r="Y1412" s="214"/>
      <c r="Z1412" s="214"/>
      <c r="AA1412" s="214"/>
      <c r="AB1412" s="214"/>
      <c r="AC1412" s="214"/>
    </row>
    <row r="1413">
      <c r="A1413" s="349" t="s">
        <v>909</v>
      </c>
      <c r="B1413" s="552" t="s">
        <v>910</v>
      </c>
      <c r="C1413" s="416">
        <f>sum(E1413:E1416)</f>
        <v>5</v>
      </c>
      <c r="D1413" s="390" t="s">
        <v>58</v>
      </c>
      <c r="E1413" s="390">
        <v>1.0</v>
      </c>
      <c r="F1413" s="246"/>
      <c r="G1413" s="246"/>
      <c r="H1413" s="391" t="s">
        <v>59</v>
      </c>
      <c r="I1413" s="248" t="s">
        <v>43</v>
      </c>
    </row>
    <row r="1414">
      <c r="A1414" s="222"/>
      <c r="D1414" s="232" t="s">
        <v>117</v>
      </c>
      <c r="E1414" s="232">
        <v>1.0</v>
      </c>
      <c r="F1414" s="254"/>
      <c r="G1414" s="254"/>
      <c r="H1414" s="234" t="s">
        <v>238</v>
      </c>
      <c r="I1414" s="235" t="s">
        <v>105</v>
      </c>
    </row>
    <row r="1415">
      <c r="A1415" s="222"/>
      <c r="D1415" s="275" t="s">
        <v>97</v>
      </c>
      <c r="E1415" s="275">
        <v>2.0</v>
      </c>
      <c r="F1415" s="276"/>
      <c r="G1415" s="276"/>
      <c r="H1415" s="277" t="s">
        <v>99</v>
      </c>
      <c r="I1415" s="278" t="s">
        <v>98</v>
      </c>
    </row>
    <row r="1416">
      <c r="A1416" s="236"/>
      <c r="B1416" s="237"/>
      <c r="C1416" s="237"/>
      <c r="D1416" s="320" t="s">
        <v>159</v>
      </c>
      <c r="E1416" s="320">
        <v>1.0</v>
      </c>
      <c r="F1416" s="321"/>
      <c r="G1416" s="321"/>
      <c r="H1416" s="322" t="s">
        <v>160</v>
      </c>
      <c r="I1416" s="323" t="s">
        <v>144</v>
      </c>
    </row>
    <row r="1417">
      <c r="A1417" s="349" t="s">
        <v>911</v>
      </c>
      <c r="B1417" s="552" t="s">
        <v>912</v>
      </c>
      <c r="C1417" s="416">
        <f>sum(E1417:E1419)</f>
        <v>5</v>
      </c>
      <c r="D1417" s="535" t="s">
        <v>150</v>
      </c>
      <c r="E1417" s="535">
        <v>2.0</v>
      </c>
      <c r="F1417" s="522"/>
      <c r="G1417" s="522"/>
      <c r="H1417" s="536" t="s">
        <v>151</v>
      </c>
      <c r="I1417" s="668" t="s">
        <v>144</v>
      </c>
    </row>
    <row r="1418">
      <c r="A1418" s="222"/>
      <c r="D1418" s="232" t="s">
        <v>123</v>
      </c>
      <c r="E1418" s="232">
        <v>1.0</v>
      </c>
      <c r="F1418" s="233"/>
      <c r="G1418" s="233"/>
      <c r="H1418" s="234" t="s">
        <v>124</v>
      </c>
      <c r="I1418" s="235" t="s">
        <v>105</v>
      </c>
    </row>
    <row r="1419">
      <c r="A1419" s="236"/>
      <c r="B1419" s="237"/>
      <c r="C1419" s="237"/>
      <c r="D1419" s="459" t="s">
        <v>104</v>
      </c>
      <c r="E1419" s="459">
        <v>2.0</v>
      </c>
      <c r="F1419" s="404"/>
      <c r="G1419" s="288"/>
      <c r="H1419" s="669" t="s">
        <v>913</v>
      </c>
      <c r="I1419" s="461" t="s">
        <v>105</v>
      </c>
    </row>
    <row r="1420">
      <c r="A1420" s="349" t="s">
        <v>914</v>
      </c>
      <c r="B1420" s="529" t="s">
        <v>915</v>
      </c>
      <c r="C1420" s="416">
        <f>sum(E1420:E1422)</f>
        <v>5</v>
      </c>
      <c r="D1420" s="335" t="s">
        <v>162</v>
      </c>
      <c r="E1420" s="335">
        <v>2.0</v>
      </c>
      <c r="F1420" s="354"/>
      <c r="G1420" s="354"/>
      <c r="H1420" s="337" t="s">
        <v>164</v>
      </c>
      <c r="I1420" s="338" t="s">
        <v>163</v>
      </c>
    </row>
    <row r="1421">
      <c r="A1421" s="222"/>
      <c r="D1421" s="369" t="s">
        <v>22</v>
      </c>
      <c r="E1421" s="369">
        <v>2.0</v>
      </c>
      <c r="F1421" s="370"/>
      <c r="G1421" s="371"/>
      <c r="H1421" s="372" t="s">
        <v>265</v>
      </c>
      <c r="I1421" s="373" t="s">
        <v>23</v>
      </c>
    </row>
    <row r="1422">
      <c r="A1422" s="236"/>
      <c r="B1422" s="237"/>
      <c r="C1422" s="237"/>
      <c r="D1422" s="495" t="s">
        <v>185</v>
      </c>
      <c r="E1422" s="495">
        <v>1.0</v>
      </c>
      <c r="F1422" s="496"/>
      <c r="G1422" s="500"/>
      <c r="H1422" s="497" t="s">
        <v>187</v>
      </c>
      <c r="I1422" s="501" t="s">
        <v>186</v>
      </c>
    </row>
    <row r="1423">
      <c r="A1423" s="636" t="s">
        <v>916</v>
      </c>
      <c r="B1423" s="529" t="s">
        <v>917</v>
      </c>
      <c r="C1423" s="416">
        <f>sum(E1423:E1425)</f>
        <v>5</v>
      </c>
      <c r="D1423" s="292" t="s">
        <v>94</v>
      </c>
      <c r="E1423" s="292">
        <v>1.0</v>
      </c>
      <c r="F1423" s="293"/>
      <c r="G1423" s="293"/>
      <c r="H1423" s="486" t="s">
        <v>95</v>
      </c>
      <c r="I1423" s="457" t="s">
        <v>65</v>
      </c>
    </row>
    <row r="1424">
      <c r="A1424" s="222"/>
      <c r="D1424" s="227" t="s">
        <v>17</v>
      </c>
      <c r="E1424" s="227">
        <v>2.0</v>
      </c>
      <c r="F1424" s="228"/>
      <c r="G1424" s="228"/>
      <c r="H1424" s="445" t="s">
        <v>260</v>
      </c>
      <c r="I1424" s="230" t="s">
        <v>7</v>
      </c>
    </row>
    <row r="1425">
      <c r="A1425" s="236"/>
      <c r="B1425" s="237"/>
      <c r="C1425" s="237"/>
      <c r="D1425" s="264" t="s">
        <v>162</v>
      </c>
      <c r="E1425" s="264">
        <v>2.0</v>
      </c>
      <c r="F1425" s="479"/>
      <c r="G1425" s="479"/>
      <c r="H1425" s="266" t="s">
        <v>164</v>
      </c>
      <c r="I1425" s="480" t="s">
        <v>163</v>
      </c>
    </row>
    <row r="1426">
      <c r="A1426" s="534" t="s">
        <v>918</v>
      </c>
      <c r="B1426" s="529" t="s">
        <v>919</v>
      </c>
      <c r="C1426" s="416">
        <f>sum(E1426:E1428)</f>
        <v>5</v>
      </c>
      <c r="D1426" s="670" t="s">
        <v>76</v>
      </c>
      <c r="E1426" s="670">
        <v>2.0</v>
      </c>
      <c r="F1426" s="671"/>
      <c r="G1426" s="671"/>
      <c r="H1426" s="294" t="s">
        <v>77</v>
      </c>
      <c r="I1426" s="332" t="s">
        <v>65</v>
      </c>
    </row>
    <row r="1427">
      <c r="A1427" s="222"/>
      <c r="D1427" s="232" t="s">
        <v>117</v>
      </c>
      <c r="E1427" s="232">
        <v>1.0</v>
      </c>
      <c r="F1427" s="233"/>
      <c r="G1427" s="233"/>
      <c r="H1427" s="234" t="s">
        <v>238</v>
      </c>
      <c r="I1427" s="298" t="s">
        <v>105</v>
      </c>
    </row>
    <row r="1428">
      <c r="A1428" s="236"/>
      <c r="B1428" s="237"/>
      <c r="C1428" s="237"/>
      <c r="D1428" s="264" t="s">
        <v>162</v>
      </c>
      <c r="E1428" s="264">
        <v>2.0</v>
      </c>
      <c r="F1428" s="265"/>
      <c r="G1428" s="479"/>
      <c r="H1428" s="266" t="s">
        <v>164</v>
      </c>
      <c r="I1428" s="267" t="s">
        <v>163</v>
      </c>
    </row>
    <row r="1429">
      <c r="A1429" s="636" t="s">
        <v>920</v>
      </c>
      <c r="B1429" s="529" t="s">
        <v>921</v>
      </c>
      <c r="C1429" s="416">
        <f>sum(E1429:E1431)</f>
        <v>5</v>
      </c>
      <c r="D1429" s="426" t="s">
        <v>26</v>
      </c>
      <c r="E1429" s="426">
        <v>1.0</v>
      </c>
      <c r="F1429" s="397"/>
      <c r="G1429" s="397"/>
      <c r="H1429" s="427" t="s">
        <v>27</v>
      </c>
      <c r="I1429" s="428" t="s">
        <v>23</v>
      </c>
    </row>
    <row r="1430">
      <c r="A1430" s="222"/>
      <c r="D1430" s="227" t="s">
        <v>11</v>
      </c>
      <c r="E1430" s="227">
        <v>2.0</v>
      </c>
      <c r="F1430" s="228"/>
      <c r="G1430" s="228"/>
      <c r="H1430" s="229" t="s">
        <v>294</v>
      </c>
      <c r="I1430" s="230" t="s">
        <v>7</v>
      </c>
    </row>
    <row r="1431">
      <c r="A1431" s="236"/>
      <c r="B1431" s="237"/>
      <c r="C1431" s="237"/>
      <c r="D1431" s="449" t="s">
        <v>97</v>
      </c>
      <c r="E1431" s="449">
        <v>2.0</v>
      </c>
      <c r="F1431" s="431"/>
      <c r="G1431" s="431"/>
      <c r="H1431" s="451" t="s">
        <v>99</v>
      </c>
      <c r="I1431" s="433" t="s">
        <v>98</v>
      </c>
    </row>
    <row r="1432">
      <c r="A1432" s="636" t="s">
        <v>922</v>
      </c>
      <c r="B1432" s="529" t="s">
        <v>253</v>
      </c>
      <c r="C1432" s="416">
        <f>sum(E1432:E1434)</f>
        <v>5</v>
      </c>
      <c r="D1432" s="356" t="s">
        <v>11</v>
      </c>
      <c r="E1432" s="356">
        <v>2.0</v>
      </c>
      <c r="F1432" s="357"/>
      <c r="G1432" s="357"/>
      <c r="H1432" s="447" t="s">
        <v>294</v>
      </c>
      <c r="I1432" s="359" t="s">
        <v>7</v>
      </c>
    </row>
    <row r="1433">
      <c r="A1433" s="222"/>
      <c r="D1433" s="279" t="s">
        <v>55</v>
      </c>
      <c r="E1433" s="279">
        <v>1.0</v>
      </c>
      <c r="F1433" s="280"/>
      <c r="G1433" s="280"/>
      <c r="H1433" s="281" t="s">
        <v>56</v>
      </c>
      <c r="I1433" s="282" t="s">
        <v>43</v>
      </c>
    </row>
    <row r="1434">
      <c r="A1434" s="236"/>
      <c r="B1434" s="237"/>
      <c r="C1434" s="237"/>
      <c r="D1434" s="264" t="s">
        <v>162</v>
      </c>
      <c r="E1434" s="264">
        <v>2.0</v>
      </c>
      <c r="F1434" s="479"/>
      <c r="G1434" s="479"/>
      <c r="H1434" s="266" t="s">
        <v>164</v>
      </c>
      <c r="I1434" s="480" t="s">
        <v>163</v>
      </c>
    </row>
    <row r="1435">
      <c r="A1435" s="636" t="s">
        <v>923</v>
      </c>
      <c r="B1435" s="529" t="s">
        <v>904</v>
      </c>
      <c r="C1435" s="416">
        <f>sum(E1435:E1437)</f>
        <v>5</v>
      </c>
      <c r="D1435" s="245" t="s">
        <v>58</v>
      </c>
      <c r="E1435" s="245">
        <v>1.0</v>
      </c>
      <c r="F1435" s="246"/>
      <c r="G1435" s="246"/>
      <c r="H1435" s="247" t="s">
        <v>59</v>
      </c>
      <c r="I1435" s="248" t="s">
        <v>43</v>
      </c>
    </row>
    <row r="1436">
      <c r="A1436" s="222"/>
      <c r="D1436" s="260" t="s">
        <v>229</v>
      </c>
      <c r="E1436" s="260">
        <v>2.0</v>
      </c>
      <c r="F1436" s="261"/>
      <c r="G1436" s="261"/>
      <c r="H1436" s="262" t="s">
        <v>69</v>
      </c>
      <c r="I1436" s="263" t="s">
        <v>65</v>
      </c>
    </row>
    <row r="1437">
      <c r="A1437" s="236"/>
      <c r="B1437" s="237"/>
      <c r="C1437" s="237"/>
      <c r="D1437" s="264" t="s">
        <v>162</v>
      </c>
      <c r="E1437" s="264">
        <v>2.0</v>
      </c>
      <c r="F1437" s="265"/>
      <c r="G1437" s="479"/>
      <c r="H1437" s="266" t="s">
        <v>164</v>
      </c>
      <c r="I1437" s="267" t="s">
        <v>163</v>
      </c>
    </row>
    <row r="1438">
      <c r="A1438" s="453" t="s">
        <v>924</v>
      </c>
      <c r="B1438" s="409" t="s">
        <v>925</v>
      </c>
      <c r="C1438" s="532">
        <f>sum(E1438:E1440)</f>
        <v>4</v>
      </c>
      <c r="D1438" s="389" t="s">
        <v>254</v>
      </c>
      <c r="E1438" s="389">
        <v>2.0</v>
      </c>
      <c r="F1438" s="228"/>
      <c r="G1438" s="228"/>
      <c r="H1438" s="578" t="s">
        <v>255</v>
      </c>
      <c r="I1438" s="230" t="s">
        <v>7</v>
      </c>
      <c r="J1438" s="214"/>
      <c r="K1438" s="214"/>
      <c r="L1438" s="214"/>
      <c r="M1438" s="214"/>
      <c r="N1438" s="214"/>
      <c r="O1438" s="214"/>
      <c r="P1438" s="214"/>
      <c r="Q1438" s="214"/>
      <c r="R1438" s="214"/>
      <c r="S1438" s="214"/>
      <c r="T1438" s="214"/>
      <c r="U1438" s="214"/>
      <c r="V1438" s="214"/>
      <c r="W1438" s="214"/>
      <c r="X1438" s="214"/>
      <c r="Y1438" s="214"/>
      <c r="Z1438" s="214"/>
      <c r="AA1438" s="214"/>
      <c r="AB1438" s="214"/>
      <c r="AC1438" s="214"/>
    </row>
    <row r="1439">
      <c r="A1439" s="222"/>
      <c r="D1439" s="232" t="s">
        <v>131</v>
      </c>
      <c r="E1439" s="232">
        <v>1.0</v>
      </c>
      <c r="F1439" s="233"/>
      <c r="G1439" s="233"/>
      <c r="H1439" s="234" t="s">
        <v>132</v>
      </c>
      <c r="I1439" s="235" t="s">
        <v>105</v>
      </c>
      <c r="J1439" s="214"/>
      <c r="K1439" s="214"/>
      <c r="L1439" s="214"/>
      <c r="M1439" s="214"/>
      <c r="N1439" s="214"/>
      <c r="O1439" s="214"/>
      <c r="P1439" s="214"/>
      <c r="Q1439" s="214"/>
      <c r="R1439" s="214"/>
      <c r="S1439" s="214"/>
      <c r="T1439" s="214"/>
      <c r="U1439" s="214"/>
      <c r="V1439" s="214"/>
      <c r="W1439" s="214"/>
      <c r="X1439" s="214"/>
      <c r="Y1439" s="214"/>
      <c r="Z1439" s="214"/>
      <c r="AA1439" s="214"/>
      <c r="AB1439" s="214"/>
      <c r="AC1439" s="214"/>
    </row>
    <row r="1440">
      <c r="A1440" s="236"/>
      <c r="B1440" s="237"/>
      <c r="C1440" s="237"/>
      <c r="D1440" s="302" t="s">
        <v>52</v>
      </c>
      <c r="E1440" s="302">
        <v>1.0</v>
      </c>
      <c r="F1440" s="303"/>
      <c r="G1440" s="303"/>
      <c r="H1440" s="304" t="s">
        <v>53</v>
      </c>
      <c r="I1440" s="485" t="s">
        <v>43</v>
      </c>
      <c r="J1440" s="214"/>
      <c r="K1440" s="214"/>
      <c r="L1440" s="214"/>
      <c r="M1440" s="214"/>
      <c r="N1440" s="214"/>
      <c r="O1440" s="214"/>
      <c r="P1440" s="214"/>
      <c r="Q1440" s="214"/>
      <c r="R1440" s="214"/>
      <c r="S1440" s="214"/>
      <c r="T1440" s="214"/>
      <c r="U1440" s="214"/>
      <c r="V1440" s="214"/>
      <c r="W1440" s="214"/>
      <c r="X1440" s="214"/>
      <c r="Y1440" s="214"/>
      <c r="Z1440" s="214"/>
      <c r="AA1440" s="214"/>
      <c r="AB1440" s="214"/>
      <c r="AC1440" s="214"/>
    </row>
    <row r="1441" ht="17.25" customHeight="1">
      <c r="A1441" s="306" t="s">
        <v>926</v>
      </c>
      <c r="B1441" s="243" t="s">
        <v>927</v>
      </c>
      <c r="C1441" s="416">
        <f>sum(E1441:E1442)</f>
        <v>4</v>
      </c>
      <c r="D1441" s="356" t="s">
        <v>254</v>
      </c>
      <c r="E1441" s="356">
        <v>2.0</v>
      </c>
      <c r="F1441" s="499"/>
      <c r="G1441" s="499"/>
      <c r="H1441" s="447" t="s">
        <v>255</v>
      </c>
      <c r="I1441" s="482" t="s">
        <v>7</v>
      </c>
      <c r="J1441" s="214"/>
      <c r="K1441" s="214"/>
      <c r="L1441" s="214"/>
      <c r="M1441" s="214"/>
      <c r="N1441" s="214"/>
      <c r="O1441" s="214"/>
      <c r="P1441" s="214"/>
      <c r="Q1441" s="214"/>
      <c r="R1441" s="214"/>
      <c r="S1441" s="214"/>
      <c r="T1441" s="214"/>
      <c r="U1441" s="214"/>
      <c r="V1441" s="214"/>
      <c r="W1441" s="214"/>
      <c r="X1441" s="214"/>
      <c r="Y1441" s="214"/>
      <c r="Z1441" s="214"/>
      <c r="AA1441" s="214"/>
      <c r="AB1441" s="214"/>
      <c r="AC1441" s="214"/>
    </row>
    <row r="1442" ht="17.25" customHeight="1">
      <c r="A1442" s="236"/>
      <c r="B1442" s="237"/>
      <c r="C1442" s="237"/>
      <c r="D1442" s="302" t="s">
        <v>49</v>
      </c>
      <c r="E1442" s="302">
        <v>2.0</v>
      </c>
      <c r="F1442" s="303"/>
      <c r="G1442" s="303"/>
      <c r="H1442" s="304" t="s">
        <v>50</v>
      </c>
      <c r="I1442" s="485" t="s">
        <v>43</v>
      </c>
      <c r="J1442" s="214"/>
      <c r="K1442" s="214"/>
      <c r="L1442" s="214"/>
      <c r="M1442" s="214"/>
      <c r="N1442" s="214"/>
      <c r="O1442" s="214"/>
      <c r="P1442" s="214"/>
      <c r="Q1442" s="214"/>
      <c r="R1442" s="214"/>
      <c r="S1442" s="214"/>
      <c r="T1442" s="214"/>
      <c r="U1442" s="214"/>
      <c r="V1442" s="214"/>
      <c r="W1442" s="214"/>
      <c r="X1442" s="214"/>
      <c r="Y1442" s="214"/>
      <c r="Z1442" s="214"/>
      <c r="AA1442" s="214"/>
      <c r="AB1442" s="214"/>
      <c r="AC1442" s="214"/>
    </row>
    <row r="1443">
      <c r="A1443" s="242" t="s">
        <v>928</v>
      </c>
      <c r="B1443" s="243" t="s">
        <v>929</v>
      </c>
      <c r="C1443" s="416">
        <f>sum(E1443:E1444)</f>
        <v>4</v>
      </c>
      <c r="D1443" s="335" t="s">
        <v>162</v>
      </c>
      <c r="E1443" s="335">
        <v>2.0</v>
      </c>
      <c r="F1443" s="354"/>
      <c r="G1443" s="354"/>
      <c r="H1443" s="337" t="s">
        <v>164</v>
      </c>
      <c r="I1443" s="355" t="s">
        <v>163</v>
      </c>
      <c r="J1443" s="214"/>
      <c r="K1443" s="214"/>
      <c r="L1443" s="214"/>
      <c r="M1443" s="214"/>
      <c r="N1443" s="214"/>
      <c r="O1443" s="214"/>
      <c r="P1443" s="214"/>
      <c r="Q1443" s="214"/>
      <c r="R1443" s="214"/>
      <c r="S1443" s="214"/>
      <c r="T1443" s="214"/>
      <c r="U1443" s="214"/>
      <c r="V1443" s="214"/>
      <c r="W1443" s="214"/>
      <c r="X1443" s="214"/>
      <c r="Y1443" s="214"/>
      <c r="Z1443" s="214"/>
      <c r="AA1443" s="214"/>
      <c r="AB1443" s="214"/>
      <c r="AC1443" s="214"/>
    </row>
    <row r="1444">
      <c r="A1444" s="236"/>
      <c r="B1444" s="237"/>
      <c r="C1444" s="237"/>
      <c r="D1444" s="633" t="s">
        <v>11</v>
      </c>
      <c r="E1444" s="633">
        <v>2.0</v>
      </c>
      <c r="F1444" s="504"/>
      <c r="G1444" s="375"/>
      <c r="H1444" s="634" t="s">
        <v>294</v>
      </c>
      <c r="I1444" s="377" t="s">
        <v>7</v>
      </c>
      <c r="J1444" s="326"/>
      <c r="K1444" s="214"/>
      <c r="L1444" s="214"/>
      <c r="M1444" s="214"/>
      <c r="N1444" s="214"/>
      <c r="O1444" s="214"/>
      <c r="P1444" s="214"/>
      <c r="Q1444" s="214"/>
      <c r="R1444" s="214"/>
      <c r="S1444" s="214"/>
      <c r="T1444" s="214"/>
      <c r="U1444" s="214"/>
      <c r="V1444" s="214"/>
      <c r="W1444" s="214"/>
      <c r="X1444" s="214"/>
      <c r="Y1444" s="214"/>
      <c r="Z1444" s="214"/>
      <c r="AA1444" s="214"/>
      <c r="AB1444" s="214"/>
      <c r="AC1444" s="214"/>
    </row>
    <row r="1445">
      <c r="A1445" s="242" t="s">
        <v>930</v>
      </c>
      <c r="B1445" s="243" t="s">
        <v>931</v>
      </c>
      <c r="C1445" s="416">
        <f>sum(E1445:E1446)</f>
        <v>4</v>
      </c>
      <c r="D1445" s="335" t="s">
        <v>162</v>
      </c>
      <c r="E1445" s="335">
        <v>2.0</v>
      </c>
      <c r="F1445" s="354"/>
      <c r="G1445" s="354"/>
      <c r="H1445" s="337" t="s">
        <v>164</v>
      </c>
      <c r="I1445" s="355" t="s">
        <v>163</v>
      </c>
      <c r="J1445" s="214"/>
      <c r="K1445" s="214"/>
      <c r="L1445" s="214"/>
      <c r="M1445" s="214"/>
      <c r="N1445" s="214"/>
      <c r="O1445" s="214"/>
      <c r="P1445" s="214"/>
      <c r="Q1445" s="214"/>
      <c r="R1445" s="214"/>
      <c r="S1445" s="214"/>
      <c r="T1445" s="214"/>
      <c r="U1445" s="214"/>
      <c r="V1445" s="214"/>
      <c r="W1445" s="214"/>
      <c r="X1445" s="214"/>
      <c r="Y1445" s="214"/>
      <c r="Z1445" s="214"/>
      <c r="AA1445" s="214"/>
      <c r="AB1445" s="214"/>
      <c r="AC1445" s="214"/>
    </row>
    <row r="1446">
      <c r="A1446" s="236"/>
      <c r="B1446" s="237"/>
      <c r="C1446" s="237"/>
      <c r="D1446" s="264" t="s">
        <v>166</v>
      </c>
      <c r="E1446" s="264">
        <v>2.0</v>
      </c>
      <c r="F1446" s="265"/>
      <c r="G1446" s="265"/>
      <c r="H1446" s="266" t="s">
        <v>167</v>
      </c>
      <c r="I1446" s="480" t="s">
        <v>163</v>
      </c>
      <c r="J1446" s="214"/>
      <c r="K1446" s="214"/>
      <c r="L1446" s="214"/>
      <c r="M1446" s="214"/>
      <c r="N1446" s="214"/>
      <c r="O1446" s="214"/>
      <c r="P1446" s="214"/>
      <c r="Q1446" s="214"/>
      <c r="R1446" s="214"/>
      <c r="S1446" s="214"/>
      <c r="T1446" s="214"/>
      <c r="U1446" s="214"/>
      <c r="V1446" s="214"/>
      <c r="W1446" s="214"/>
      <c r="X1446" s="214"/>
      <c r="Y1446" s="214"/>
      <c r="Z1446" s="214"/>
      <c r="AA1446" s="214"/>
      <c r="AB1446" s="214"/>
      <c r="AC1446" s="214"/>
    </row>
    <row r="1447">
      <c r="A1447" s="215" t="s">
        <v>932</v>
      </c>
      <c r="B1447" s="243" t="s">
        <v>933</v>
      </c>
      <c r="C1447" s="416">
        <f>sum(E1447:E1449)</f>
        <v>4</v>
      </c>
      <c r="D1447" s="390" t="s">
        <v>58</v>
      </c>
      <c r="E1447" s="390">
        <v>1.0</v>
      </c>
      <c r="F1447" s="246"/>
      <c r="G1447" s="246"/>
      <c r="H1447" s="391" t="s">
        <v>59</v>
      </c>
      <c r="I1447" s="248" t="s">
        <v>43</v>
      </c>
      <c r="J1447" s="214"/>
      <c r="K1447" s="214"/>
      <c r="L1447" s="214"/>
      <c r="M1447" s="214"/>
      <c r="N1447" s="214"/>
      <c r="O1447" s="214"/>
      <c r="P1447" s="214"/>
      <c r="Q1447" s="214"/>
      <c r="R1447" s="214"/>
      <c r="S1447" s="214"/>
      <c r="T1447" s="214"/>
      <c r="U1447" s="214"/>
      <c r="V1447" s="214"/>
      <c r="W1447" s="214"/>
      <c r="X1447" s="214"/>
      <c r="Y1447" s="214"/>
      <c r="Z1447" s="214"/>
      <c r="AA1447" s="214"/>
      <c r="AB1447" s="214"/>
      <c r="AC1447" s="214"/>
    </row>
    <row r="1448">
      <c r="A1448" s="222"/>
      <c r="D1448" s="232" t="s">
        <v>126</v>
      </c>
      <c r="E1448" s="232">
        <v>1.0</v>
      </c>
      <c r="F1448" s="254"/>
      <c r="G1448" s="254"/>
      <c r="H1448" s="234" t="s">
        <v>127</v>
      </c>
      <c r="I1448" s="298" t="s">
        <v>105</v>
      </c>
      <c r="J1448" s="214"/>
      <c r="K1448" s="214"/>
      <c r="L1448" s="214"/>
      <c r="M1448" s="214"/>
      <c r="N1448" s="214"/>
      <c r="O1448" s="214"/>
      <c r="P1448" s="214"/>
      <c r="Q1448" s="214"/>
      <c r="R1448" s="214"/>
      <c r="S1448" s="214"/>
      <c r="T1448" s="214"/>
      <c r="U1448" s="214"/>
      <c r="V1448" s="214"/>
      <c r="W1448" s="214"/>
      <c r="X1448" s="214"/>
      <c r="Y1448" s="214"/>
      <c r="Z1448" s="214"/>
      <c r="AA1448" s="214"/>
      <c r="AB1448" s="214"/>
      <c r="AC1448" s="214"/>
    </row>
    <row r="1449">
      <c r="A1449" s="236"/>
      <c r="B1449" s="237"/>
      <c r="C1449" s="237"/>
      <c r="D1449" s="264" t="s">
        <v>162</v>
      </c>
      <c r="E1449" s="264">
        <v>2.0</v>
      </c>
      <c r="F1449" s="265"/>
      <c r="G1449" s="479"/>
      <c r="H1449" s="266" t="s">
        <v>164</v>
      </c>
      <c r="I1449" s="267" t="s">
        <v>163</v>
      </c>
      <c r="J1449" s="214"/>
      <c r="K1449" s="214"/>
      <c r="L1449" s="214"/>
      <c r="M1449" s="214"/>
      <c r="N1449" s="214"/>
      <c r="O1449" s="214"/>
      <c r="P1449" s="214"/>
      <c r="Q1449" s="214"/>
      <c r="R1449" s="214"/>
      <c r="S1449" s="214"/>
      <c r="T1449" s="214"/>
      <c r="U1449" s="214"/>
      <c r="V1449" s="214"/>
      <c r="W1449" s="214"/>
      <c r="X1449" s="214"/>
      <c r="Y1449" s="214"/>
      <c r="Z1449" s="214"/>
      <c r="AA1449" s="214"/>
      <c r="AB1449" s="214"/>
      <c r="AC1449" s="214"/>
    </row>
    <row r="1450" ht="18.0" customHeight="1">
      <c r="A1450" s="242" t="s">
        <v>934</v>
      </c>
      <c r="B1450" s="243" t="s">
        <v>935</v>
      </c>
      <c r="C1450" s="416">
        <f>sum(E1450:E1451)</f>
        <v>4</v>
      </c>
      <c r="D1450" s="356" t="s">
        <v>11</v>
      </c>
      <c r="E1450" s="356">
        <v>2.0</v>
      </c>
      <c r="F1450" s="357"/>
      <c r="G1450" s="357"/>
      <c r="H1450" s="447" t="s">
        <v>294</v>
      </c>
      <c r="I1450" s="482" t="s">
        <v>7</v>
      </c>
      <c r="J1450" s="214"/>
      <c r="K1450" s="214"/>
      <c r="L1450" s="214"/>
      <c r="M1450" s="214"/>
      <c r="N1450" s="214"/>
      <c r="O1450" s="214"/>
      <c r="P1450" s="214"/>
      <c r="Q1450" s="214"/>
      <c r="R1450" s="214"/>
      <c r="S1450" s="214"/>
      <c r="T1450" s="214"/>
      <c r="U1450" s="214"/>
      <c r="V1450" s="214"/>
      <c r="W1450" s="214"/>
      <c r="X1450" s="214"/>
      <c r="Y1450" s="214"/>
      <c r="Z1450" s="214"/>
      <c r="AA1450" s="214"/>
      <c r="AB1450" s="214"/>
      <c r="AC1450" s="214"/>
    </row>
    <row r="1451">
      <c r="A1451" s="236"/>
      <c r="B1451" s="237"/>
      <c r="C1451" s="237"/>
      <c r="D1451" s="271" t="s">
        <v>162</v>
      </c>
      <c r="E1451" s="271">
        <v>2.0</v>
      </c>
      <c r="F1451" s="272"/>
      <c r="G1451" s="272"/>
      <c r="H1451" s="273" t="s">
        <v>164</v>
      </c>
      <c r="I1451" s="274" t="s">
        <v>163</v>
      </c>
      <c r="J1451" s="214"/>
      <c r="K1451" s="214"/>
      <c r="L1451" s="214"/>
      <c r="M1451" s="214"/>
      <c r="N1451" s="214"/>
      <c r="O1451" s="214"/>
      <c r="P1451" s="214"/>
      <c r="Q1451" s="214"/>
      <c r="R1451" s="214"/>
      <c r="S1451" s="214"/>
      <c r="T1451" s="214"/>
      <c r="U1451" s="214"/>
      <c r="V1451" s="214"/>
      <c r="W1451" s="214"/>
      <c r="X1451" s="214"/>
      <c r="Y1451" s="214"/>
      <c r="Z1451" s="214"/>
      <c r="AA1451" s="214"/>
      <c r="AB1451" s="214"/>
      <c r="AC1451" s="214"/>
    </row>
    <row r="1452">
      <c r="A1452" s="215" t="s">
        <v>936</v>
      </c>
      <c r="B1452" s="243" t="s">
        <v>515</v>
      </c>
      <c r="C1452" s="416">
        <f>sum(E1452:E1453)</f>
        <v>4</v>
      </c>
      <c r="D1452" s="426" t="s">
        <v>22</v>
      </c>
      <c r="E1452" s="426">
        <v>2.0</v>
      </c>
      <c r="F1452" s="397"/>
      <c r="G1452" s="397"/>
      <c r="H1452" s="427" t="s">
        <v>265</v>
      </c>
      <c r="I1452" s="428" t="s">
        <v>23</v>
      </c>
      <c r="J1452" s="214"/>
      <c r="K1452" s="214"/>
      <c r="L1452" s="214"/>
      <c r="M1452" s="214"/>
      <c r="N1452" s="214"/>
      <c r="O1452" s="214"/>
      <c r="P1452" s="214"/>
      <c r="Q1452" s="214"/>
      <c r="R1452" s="214"/>
      <c r="S1452" s="214"/>
      <c r="T1452" s="214"/>
      <c r="U1452" s="214"/>
      <c r="V1452" s="214"/>
      <c r="W1452" s="214"/>
      <c r="X1452" s="214"/>
      <c r="Y1452" s="214"/>
      <c r="Z1452" s="214"/>
      <c r="AA1452" s="214"/>
      <c r="AB1452" s="214"/>
      <c r="AC1452" s="214"/>
    </row>
    <row r="1453">
      <c r="A1453" s="236"/>
      <c r="B1453" s="237"/>
      <c r="C1453" s="237"/>
      <c r="D1453" s="374" t="s">
        <v>17</v>
      </c>
      <c r="E1453" s="374">
        <v>2.0</v>
      </c>
      <c r="F1453" s="375"/>
      <c r="G1453" s="375"/>
      <c r="H1453" s="458" t="s">
        <v>260</v>
      </c>
      <c r="I1453" s="377" t="s">
        <v>7</v>
      </c>
      <c r="J1453" s="214"/>
      <c r="K1453" s="214"/>
      <c r="L1453" s="214"/>
      <c r="M1453" s="214"/>
      <c r="N1453" s="214"/>
      <c r="O1453" s="214"/>
      <c r="P1453" s="214"/>
      <c r="Q1453" s="214"/>
      <c r="R1453" s="214"/>
      <c r="S1453" s="214"/>
      <c r="T1453" s="214"/>
      <c r="U1453" s="214"/>
      <c r="V1453" s="214"/>
      <c r="W1453" s="214"/>
      <c r="X1453" s="214"/>
      <c r="Y1453" s="214"/>
      <c r="Z1453" s="214"/>
      <c r="AA1453" s="214"/>
      <c r="AB1453" s="214"/>
      <c r="AC1453" s="214"/>
    </row>
    <row r="1454">
      <c r="A1454" s="455" t="s">
        <v>937</v>
      </c>
      <c r="B1454" s="492" t="s">
        <v>938</v>
      </c>
      <c r="C1454" s="416">
        <f>sum(E1454:E1455)</f>
        <v>4</v>
      </c>
      <c r="D1454" s="475" t="s">
        <v>101</v>
      </c>
      <c r="E1454" s="475">
        <v>2.0</v>
      </c>
      <c r="F1454" s="379"/>
      <c r="G1454" s="379"/>
      <c r="H1454" s="476" t="s">
        <v>102</v>
      </c>
      <c r="I1454" s="381" t="s">
        <v>98</v>
      </c>
      <c r="J1454" s="214"/>
      <c r="K1454" s="214"/>
      <c r="L1454" s="214"/>
      <c r="M1454" s="214"/>
      <c r="N1454" s="214"/>
      <c r="O1454" s="214"/>
      <c r="P1454" s="214"/>
      <c r="Q1454" s="214"/>
      <c r="R1454" s="214"/>
      <c r="S1454" s="214"/>
      <c r="T1454" s="214"/>
      <c r="U1454" s="214"/>
      <c r="V1454" s="214"/>
      <c r="W1454" s="214"/>
      <c r="X1454" s="214"/>
      <c r="Y1454" s="214"/>
      <c r="Z1454" s="214"/>
      <c r="AA1454" s="214"/>
      <c r="AB1454" s="214"/>
      <c r="AC1454" s="214"/>
    </row>
    <row r="1455">
      <c r="A1455" s="236"/>
      <c r="B1455" s="237"/>
      <c r="C1455" s="237"/>
      <c r="D1455" s="389" t="s">
        <v>254</v>
      </c>
      <c r="E1455" s="389">
        <v>2.0</v>
      </c>
      <c r="F1455" s="327"/>
      <c r="G1455" s="228"/>
      <c r="H1455" s="578" t="s">
        <v>255</v>
      </c>
      <c r="I1455" s="230" t="s">
        <v>7</v>
      </c>
      <c r="J1455" s="214"/>
      <c r="K1455" s="214"/>
      <c r="L1455" s="214"/>
      <c r="M1455" s="214"/>
      <c r="N1455" s="214"/>
      <c r="O1455" s="214"/>
      <c r="P1455" s="214"/>
      <c r="Q1455" s="214"/>
      <c r="R1455" s="214"/>
      <c r="S1455" s="214"/>
      <c r="T1455" s="214"/>
      <c r="U1455" s="214"/>
      <c r="V1455" s="214"/>
      <c r="W1455" s="214"/>
      <c r="X1455" s="214"/>
      <c r="Y1455" s="214"/>
      <c r="Z1455" s="214"/>
      <c r="AA1455" s="214"/>
      <c r="AB1455" s="214"/>
      <c r="AC1455" s="214"/>
    </row>
    <row r="1456">
      <c r="A1456" s="242" t="s">
        <v>939</v>
      </c>
      <c r="B1456" s="243" t="s">
        <v>518</v>
      </c>
      <c r="C1456" s="416">
        <f>sum(E1456:E1458)</f>
        <v>4</v>
      </c>
      <c r="D1456" s="335" t="s">
        <v>162</v>
      </c>
      <c r="E1456" s="335">
        <v>2.0</v>
      </c>
      <c r="F1456" s="336"/>
      <c r="G1456" s="336"/>
      <c r="H1456" s="337" t="s">
        <v>164</v>
      </c>
      <c r="I1456" s="338" t="s">
        <v>163</v>
      </c>
      <c r="J1456" s="214"/>
      <c r="K1456" s="214"/>
      <c r="L1456" s="214"/>
      <c r="M1456" s="214"/>
      <c r="N1456" s="214"/>
      <c r="O1456" s="214"/>
      <c r="P1456" s="214"/>
      <c r="Q1456" s="214"/>
      <c r="R1456" s="214"/>
      <c r="S1456" s="214"/>
      <c r="T1456" s="214"/>
      <c r="U1456" s="214"/>
      <c r="V1456" s="214"/>
      <c r="W1456" s="214"/>
      <c r="X1456" s="214"/>
      <c r="Y1456" s="214"/>
      <c r="Z1456" s="214"/>
      <c r="AA1456" s="214"/>
      <c r="AB1456" s="214"/>
      <c r="AC1456" s="214"/>
    </row>
    <row r="1457">
      <c r="A1457" s="222"/>
      <c r="D1457" s="279" t="s">
        <v>52</v>
      </c>
      <c r="E1457" s="279">
        <v>1.0</v>
      </c>
      <c r="F1457" s="316"/>
      <c r="G1457" s="316"/>
      <c r="H1457" s="281" t="s">
        <v>53</v>
      </c>
      <c r="I1457" s="448" t="s">
        <v>43</v>
      </c>
      <c r="J1457" s="214"/>
      <c r="K1457" s="214"/>
      <c r="L1457" s="214"/>
      <c r="M1457" s="214"/>
      <c r="N1457" s="214"/>
      <c r="O1457" s="214"/>
      <c r="P1457" s="214"/>
      <c r="Q1457" s="214"/>
      <c r="R1457" s="214"/>
      <c r="S1457" s="214"/>
      <c r="T1457" s="214"/>
      <c r="U1457" s="214"/>
      <c r="V1457" s="214"/>
      <c r="W1457" s="214"/>
      <c r="X1457" s="214"/>
      <c r="Y1457" s="214"/>
      <c r="Z1457" s="214"/>
      <c r="AA1457" s="214"/>
      <c r="AB1457" s="214"/>
      <c r="AC1457" s="214"/>
    </row>
    <row r="1458">
      <c r="A1458" s="236"/>
      <c r="B1458" s="237"/>
      <c r="C1458" s="237"/>
      <c r="D1458" s="287" t="s">
        <v>117</v>
      </c>
      <c r="E1458" s="287">
        <v>1.0</v>
      </c>
      <c r="F1458" s="404"/>
      <c r="G1458" s="404"/>
      <c r="H1458" s="289" t="s">
        <v>238</v>
      </c>
      <c r="I1458" s="461" t="s">
        <v>105</v>
      </c>
      <c r="J1458" s="214"/>
      <c r="K1458" s="214"/>
      <c r="L1458" s="214"/>
      <c r="M1458" s="214"/>
      <c r="N1458" s="214"/>
      <c r="O1458" s="214"/>
      <c r="P1458" s="214"/>
      <c r="Q1458" s="214"/>
      <c r="R1458" s="214"/>
      <c r="S1458" s="214"/>
      <c r="T1458" s="214"/>
      <c r="U1458" s="214"/>
      <c r="V1458" s="214"/>
      <c r="W1458" s="214"/>
      <c r="X1458" s="214"/>
      <c r="Y1458" s="214"/>
      <c r="Z1458" s="214"/>
      <c r="AA1458" s="214"/>
      <c r="AB1458" s="214"/>
      <c r="AC1458" s="214"/>
    </row>
    <row r="1459">
      <c r="A1459" s="408" t="s">
        <v>940</v>
      </c>
      <c r="B1459" s="409" t="s">
        <v>780</v>
      </c>
      <c r="C1459" s="532">
        <f>sum(E1459:E1461)</f>
        <v>4</v>
      </c>
      <c r="D1459" s="286" t="s">
        <v>94</v>
      </c>
      <c r="E1459" s="286">
        <v>1.0</v>
      </c>
      <c r="F1459" s="318"/>
      <c r="G1459" s="318"/>
      <c r="H1459" s="414" t="s">
        <v>95</v>
      </c>
      <c r="I1459" s="319" t="s">
        <v>65</v>
      </c>
      <c r="J1459" s="214"/>
      <c r="K1459" s="214"/>
      <c r="L1459" s="214"/>
      <c r="M1459" s="214"/>
      <c r="N1459" s="214"/>
      <c r="O1459" s="214"/>
      <c r="P1459" s="214"/>
      <c r="Q1459" s="214"/>
      <c r="R1459" s="214"/>
      <c r="S1459" s="214"/>
      <c r="T1459" s="214"/>
      <c r="U1459" s="214"/>
      <c r="V1459" s="214"/>
      <c r="W1459" s="214"/>
      <c r="X1459" s="214"/>
      <c r="Y1459" s="214"/>
      <c r="Z1459" s="214"/>
      <c r="AA1459" s="214"/>
      <c r="AB1459" s="214"/>
      <c r="AC1459" s="214"/>
    </row>
    <row r="1460">
      <c r="A1460" s="222"/>
      <c r="D1460" s="271" t="s">
        <v>162</v>
      </c>
      <c r="E1460" s="271">
        <v>2.0</v>
      </c>
      <c r="F1460" s="317"/>
      <c r="G1460" s="317"/>
      <c r="H1460" s="273" t="s">
        <v>164</v>
      </c>
      <c r="I1460" s="393" t="s">
        <v>163</v>
      </c>
      <c r="J1460" s="214"/>
      <c r="K1460" s="214"/>
      <c r="L1460" s="214"/>
      <c r="M1460" s="214"/>
      <c r="N1460" s="214"/>
      <c r="O1460" s="214"/>
      <c r="P1460" s="214"/>
      <c r="Q1460" s="214"/>
      <c r="R1460" s="214"/>
      <c r="S1460" s="214"/>
      <c r="T1460" s="214"/>
      <c r="U1460" s="214"/>
      <c r="V1460" s="214"/>
      <c r="W1460" s="214"/>
      <c r="X1460" s="214"/>
      <c r="Y1460" s="214"/>
      <c r="Z1460" s="214"/>
      <c r="AA1460" s="214"/>
      <c r="AB1460" s="214"/>
      <c r="AC1460" s="214"/>
    </row>
    <row r="1461">
      <c r="A1461" s="236"/>
      <c r="B1461" s="237"/>
      <c r="C1461" s="237"/>
      <c r="D1461" s="320" t="s">
        <v>159</v>
      </c>
      <c r="E1461" s="320">
        <v>1.0</v>
      </c>
      <c r="F1461" s="436"/>
      <c r="G1461" s="436"/>
      <c r="H1461" s="322" t="s">
        <v>160</v>
      </c>
      <c r="I1461" s="323" t="s">
        <v>144</v>
      </c>
      <c r="J1461" s="214"/>
      <c r="K1461" s="214"/>
      <c r="L1461" s="214"/>
      <c r="M1461" s="214"/>
      <c r="N1461" s="214"/>
      <c r="O1461" s="214"/>
      <c r="P1461" s="214"/>
      <c r="Q1461" s="214"/>
      <c r="R1461" s="214"/>
      <c r="S1461" s="214"/>
      <c r="T1461" s="214"/>
      <c r="U1461" s="214"/>
      <c r="V1461" s="214"/>
      <c r="W1461" s="214"/>
      <c r="X1461" s="214"/>
      <c r="Y1461" s="214"/>
      <c r="Z1461" s="214"/>
      <c r="AA1461" s="214"/>
      <c r="AB1461" s="214"/>
      <c r="AC1461" s="214"/>
    </row>
    <row r="1462">
      <c r="A1462" s="215" t="s">
        <v>941</v>
      </c>
      <c r="B1462" s="216" t="s">
        <v>942</v>
      </c>
      <c r="C1462" s="416">
        <f>sum(E1462:E1464)</f>
        <v>4</v>
      </c>
      <c r="D1462" s="308" t="s">
        <v>123</v>
      </c>
      <c r="E1462" s="308">
        <v>1.0</v>
      </c>
      <c r="F1462" s="473"/>
      <c r="G1462" s="473"/>
      <c r="H1462" s="310" t="s">
        <v>124</v>
      </c>
      <c r="I1462" s="438" t="s">
        <v>105</v>
      </c>
      <c r="J1462" s="214"/>
      <c r="K1462" s="214"/>
      <c r="L1462" s="214"/>
      <c r="M1462" s="214"/>
      <c r="N1462" s="214"/>
      <c r="O1462" s="214"/>
      <c r="P1462" s="214"/>
      <c r="Q1462" s="214"/>
      <c r="R1462" s="214"/>
      <c r="S1462" s="214"/>
      <c r="T1462" s="214"/>
      <c r="U1462" s="214"/>
      <c r="V1462" s="214"/>
      <c r="W1462" s="214"/>
      <c r="X1462" s="214"/>
      <c r="Y1462" s="214"/>
      <c r="Z1462" s="214"/>
      <c r="AA1462" s="214"/>
      <c r="AB1462" s="214"/>
      <c r="AC1462" s="214"/>
    </row>
    <row r="1463">
      <c r="A1463" s="222"/>
      <c r="D1463" s="434" t="s">
        <v>39</v>
      </c>
      <c r="E1463" s="434">
        <v>1.0</v>
      </c>
      <c r="F1463" s="383"/>
      <c r="G1463" s="383"/>
      <c r="H1463" s="435" t="s">
        <v>40</v>
      </c>
      <c r="I1463" s="386" t="s">
        <v>30</v>
      </c>
      <c r="J1463" s="214"/>
      <c r="K1463" s="214"/>
      <c r="L1463" s="214"/>
      <c r="M1463" s="214"/>
      <c r="N1463" s="214"/>
      <c r="O1463" s="214"/>
      <c r="P1463" s="214"/>
      <c r="Q1463" s="214"/>
      <c r="R1463" s="214"/>
      <c r="S1463" s="214"/>
      <c r="T1463" s="214"/>
      <c r="U1463" s="214"/>
      <c r="V1463" s="214"/>
      <c r="W1463" s="214"/>
      <c r="X1463" s="214"/>
      <c r="Y1463" s="214"/>
      <c r="Z1463" s="214"/>
      <c r="AA1463" s="214"/>
      <c r="AB1463" s="214"/>
      <c r="AC1463" s="214"/>
    </row>
    <row r="1464">
      <c r="A1464" s="236"/>
      <c r="B1464" s="237"/>
      <c r="C1464" s="237"/>
      <c r="D1464" s="418" t="s">
        <v>22</v>
      </c>
      <c r="E1464" s="418">
        <v>2.0</v>
      </c>
      <c r="F1464" s="539"/>
      <c r="G1464" s="539"/>
      <c r="H1464" s="420" t="s">
        <v>265</v>
      </c>
      <c r="I1464" s="549" t="s">
        <v>23</v>
      </c>
      <c r="J1464" s="214"/>
      <c r="K1464" s="214"/>
      <c r="L1464" s="214"/>
      <c r="M1464" s="214"/>
      <c r="N1464" s="214"/>
      <c r="O1464" s="214"/>
      <c r="P1464" s="214"/>
      <c r="Q1464" s="214"/>
      <c r="R1464" s="214"/>
      <c r="S1464" s="214"/>
      <c r="T1464" s="214"/>
      <c r="U1464" s="214"/>
      <c r="V1464" s="214"/>
      <c r="W1464" s="214"/>
      <c r="X1464" s="214"/>
      <c r="Y1464" s="214"/>
      <c r="Z1464" s="214"/>
      <c r="AA1464" s="214"/>
      <c r="AB1464" s="214"/>
      <c r="AC1464" s="214"/>
    </row>
    <row r="1465">
      <c r="A1465" s="455" t="s">
        <v>943</v>
      </c>
      <c r="B1465" s="672" t="s">
        <v>944</v>
      </c>
      <c r="C1465" s="416">
        <f>sum(E1465:E1466)</f>
        <v>4</v>
      </c>
      <c r="D1465" s="378" t="s">
        <v>97</v>
      </c>
      <c r="E1465" s="378">
        <v>2.0</v>
      </c>
      <c r="F1465" s="379"/>
      <c r="G1465" s="379"/>
      <c r="H1465" s="380" t="s">
        <v>99</v>
      </c>
      <c r="I1465" s="381" t="s">
        <v>98</v>
      </c>
      <c r="J1465" s="214"/>
      <c r="K1465" s="214"/>
      <c r="L1465" s="214"/>
      <c r="M1465" s="214"/>
      <c r="N1465" s="214"/>
      <c r="O1465" s="214"/>
      <c r="P1465" s="214"/>
      <c r="Q1465" s="214"/>
      <c r="R1465" s="214"/>
      <c r="S1465" s="214"/>
      <c r="T1465" s="214"/>
      <c r="U1465" s="214"/>
      <c r="V1465" s="214"/>
      <c r="W1465" s="214"/>
      <c r="X1465" s="214"/>
      <c r="Y1465" s="214"/>
      <c r="Z1465" s="214"/>
      <c r="AA1465" s="214"/>
      <c r="AB1465" s="214"/>
      <c r="AC1465" s="214"/>
    </row>
    <row r="1466">
      <c r="A1466" s="236"/>
      <c r="B1466" s="237"/>
      <c r="C1466" s="237"/>
      <c r="D1466" s="483" t="s">
        <v>49</v>
      </c>
      <c r="E1466" s="483">
        <v>2.0</v>
      </c>
      <c r="F1466" s="303"/>
      <c r="G1466" s="303"/>
      <c r="H1466" s="484" t="s">
        <v>50</v>
      </c>
      <c r="I1466" s="485" t="s">
        <v>43</v>
      </c>
      <c r="J1466" s="214"/>
      <c r="K1466" s="214"/>
      <c r="L1466" s="214"/>
      <c r="M1466" s="214"/>
      <c r="N1466" s="214"/>
      <c r="O1466" s="214"/>
      <c r="P1466" s="214"/>
      <c r="Q1466" s="214"/>
      <c r="R1466" s="214"/>
      <c r="S1466" s="214"/>
      <c r="T1466" s="214"/>
      <c r="U1466" s="214"/>
      <c r="V1466" s="214"/>
      <c r="W1466" s="214"/>
      <c r="X1466" s="214"/>
      <c r="Y1466" s="214"/>
      <c r="Z1466" s="214"/>
      <c r="AA1466" s="214"/>
      <c r="AB1466" s="214"/>
      <c r="AC1466" s="214"/>
    </row>
    <row r="1467">
      <c r="A1467" s="242" t="s">
        <v>945</v>
      </c>
      <c r="B1467" s="243" t="s">
        <v>946</v>
      </c>
      <c r="C1467" s="416">
        <f>sum(E1467:E1469)</f>
        <v>4</v>
      </c>
      <c r="D1467" s="565" t="s">
        <v>254</v>
      </c>
      <c r="E1467" s="565">
        <v>2.0</v>
      </c>
      <c r="F1467" s="357"/>
      <c r="G1467" s="357"/>
      <c r="H1467" s="566" t="s">
        <v>255</v>
      </c>
      <c r="I1467" s="359" t="s">
        <v>7</v>
      </c>
      <c r="J1467" s="214"/>
      <c r="K1467" s="214"/>
      <c r="L1467" s="214"/>
      <c r="M1467" s="214"/>
      <c r="N1467" s="214"/>
      <c r="O1467" s="214"/>
      <c r="P1467" s="214"/>
      <c r="Q1467" s="214"/>
      <c r="R1467" s="214"/>
      <c r="S1467" s="214"/>
      <c r="T1467" s="214"/>
      <c r="U1467" s="214"/>
      <c r="V1467" s="214"/>
      <c r="W1467" s="214"/>
      <c r="X1467" s="214"/>
      <c r="Y1467" s="214"/>
      <c r="Z1467" s="214"/>
      <c r="AA1467" s="214"/>
      <c r="AB1467" s="214"/>
      <c r="AC1467" s="214"/>
    </row>
    <row r="1468">
      <c r="A1468" s="222"/>
      <c r="D1468" s="339" t="s">
        <v>117</v>
      </c>
      <c r="E1468" s="339">
        <v>1.0</v>
      </c>
      <c r="F1468" s="233"/>
      <c r="G1468" s="233"/>
      <c r="H1468" s="340" t="s">
        <v>238</v>
      </c>
      <c r="I1468" s="235" t="s">
        <v>105</v>
      </c>
      <c r="J1468" s="214"/>
      <c r="K1468" s="214"/>
      <c r="L1468" s="214"/>
      <c r="M1468" s="214"/>
      <c r="N1468" s="214"/>
      <c r="O1468" s="214"/>
      <c r="P1468" s="214"/>
      <c r="Q1468" s="214"/>
      <c r="R1468" s="214"/>
      <c r="S1468" s="214"/>
      <c r="T1468" s="214"/>
      <c r="U1468" s="214"/>
      <c r="V1468" s="214"/>
      <c r="W1468" s="214"/>
      <c r="X1468" s="214"/>
      <c r="Y1468" s="214"/>
      <c r="Z1468" s="214"/>
      <c r="AA1468" s="214"/>
      <c r="AB1468" s="214"/>
      <c r="AC1468" s="214"/>
    </row>
    <row r="1469">
      <c r="A1469" s="236"/>
      <c r="B1469" s="237"/>
      <c r="C1469" s="237"/>
      <c r="D1469" s="459" t="s">
        <v>239</v>
      </c>
      <c r="E1469" s="459">
        <v>1.0</v>
      </c>
      <c r="F1469" s="288"/>
      <c r="G1469" s="288"/>
      <c r="H1469" s="460" t="s">
        <v>115</v>
      </c>
      <c r="I1469" s="290" t="s">
        <v>105</v>
      </c>
      <c r="J1469" s="214"/>
      <c r="K1469" s="214"/>
      <c r="L1469" s="214"/>
      <c r="M1469" s="214"/>
      <c r="N1469" s="214"/>
      <c r="O1469" s="214"/>
      <c r="P1469" s="214"/>
      <c r="Q1469" s="214"/>
      <c r="R1469" s="214"/>
      <c r="S1469" s="214"/>
      <c r="T1469" s="214"/>
      <c r="U1469" s="214"/>
      <c r="V1469" s="214"/>
      <c r="W1469" s="214"/>
      <c r="X1469" s="214"/>
      <c r="Y1469" s="214"/>
      <c r="Z1469" s="214"/>
      <c r="AA1469" s="214"/>
      <c r="AB1469" s="214"/>
      <c r="AC1469" s="214"/>
    </row>
    <row r="1470">
      <c r="A1470" s="601" t="s">
        <v>947</v>
      </c>
      <c r="B1470" s="439" t="s">
        <v>948</v>
      </c>
      <c r="C1470" s="416">
        <f>sum(E1470:E1472)</f>
        <v>4</v>
      </c>
      <c r="D1470" s="472" t="s">
        <v>239</v>
      </c>
      <c r="E1470" s="472">
        <v>1.0</v>
      </c>
      <c r="F1470" s="309"/>
      <c r="G1470" s="309"/>
      <c r="H1470" s="474" t="s">
        <v>115</v>
      </c>
      <c r="I1470" s="311" t="s">
        <v>105</v>
      </c>
      <c r="J1470" s="214"/>
      <c r="K1470" s="214"/>
      <c r="L1470" s="214"/>
      <c r="M1470" s="214"/>
      <c r="N1470" s="214"/>
      <c r="O1470" s="214"/>
      <c r="P1470" s="214"/>
      <c r="Q1470" s="214"/>
      <c r="R1470" s="214"/>
      <c r="S1470" s="214"/>
      <c r="T1470" s="214"/>
      <c r="U1470" s="214"/>
      <c r="V1470" s="214"/>
      <c r="W1470" s="214"/>
      <c r="X1470" s="214"/>
      <c r="Y1470" s="214"/>
      <c r="Z1470" s="214"/>
      <c r="AA1470" s="214"/>
      <c r="AB1470" s="214"/>
      <c r="AC1470" s="214"/>
    </row>
    <row r="1471">
      <c r="A1471" s="222"/>
      <c r="D1471" s="249" t="s">
        <v>159</v>
      </c>
      <c r="E1471" s="249">
        <v>1.0</v>
      </c>
      <c r="F1471" s="251"/>
      <c r="G1471" s="251"/>
      <c r="H1471" s="252" t="s">
        <v>160</v>
      </c>
      <c r="I1471" s="300" t="s">
        <v>144</v>
      </c>
      <c r="J1471" s="214"/>
      <c r="K1471" s="214"/>
      <c r="L1471" s="214"/>
      <c r="M1471" s="214"/>
      <c r="N1471" s="214"/>
      <c r="O1471" s="214"/>
      <c r="P1471" s="214"/>
      <c r="Q1471" s="214"/>
      <c r="R1471" s="214"/>
      <c r="S1471" s="214"/>
      <c r="T1471" s="214"/>
      <c r="U1471" s="214"/>
      <c r="V1471" s="214"/>
      <c r="W1471" s="214"/>
      <c r="X1471" s="214"/>
      <c r="Y1471" s="214"/>
      <c r="Z1471" s="214"/>
      <c r="AA1471" s="214"/>
      <c r="AB1471" s="214"/>
      <c r="AC1471" s="214"/>
    </row>
    <row r="1472">
      <c r="A1472" s="236"/>
      <c r="B1472" s="237"/>
      <c r="C1472" s="237"/>
      <c r="D1472" s="621" t="s">
        <v>162</v>
      </c>
      <c r="E1472" s="621">
        <v>2.0</v>
      </c>
      <c r="F1472" s="479"/>
      <c r="G1472" s="479"/>
      <c r="H1472" s="622" t="s">
        <v>164</v>
      </c>
      <c r="I1472" s="267" t="s">
        <v>163</v>
      </c>
      <c r="J1472" s="214"/>
      <c r="K1472" s="214"/>
      <c r="L1472" s="214"/>
      <c r="M1472" s="214"/>
      <c r="N1472" s="214"/>
      <c r="O1472" s="214"/>
      <c r="P1472" s="214"/>
      <c r="Q1472" s="214"/>
      <c r="R1472" s="214"/>
      <c r="S1472" s="214"/>
      <c r="T1472" s="214"/>
      <c r="U1472" s="214"/>
      <c r="V1472" s="214"/>
      <c r="W1472" s="214"/>
      <c r="X1472" s="214"/>
      <c r="Y1472" s="214"/>
      <c r="Z1472" s="214"/>
      <c r="AA1472" s="214"/>
      <c r="AB1472" s="214"/>
      <c r="AC1472" s="214"/>
    </row>
    <row r="1473">
      <c r="A1473" s="242" t="s">
        <v>949</v>
      </c>
      <c r="B1473" s="243" t="s">
        <v>950</v>
      </c>
      <c r="C1473" s="416">
        <f>sum(E1473:E1475)</f>
        <v>4</v>
      </c>
      <c r="D1473" s="565" t="s">
        <v>19</v>
      </c>
      <c r="E1473" s="565">
        <v>2.0</v>
      </c>
      <c r="F1473" s="357"/>
      <c r="G1473" s="357"/>
      <c r="H1473" s="566" t="s">
        <v>20</v>
      </c>
      <c r="I1473" s="359" t="s">
        <v>7</v>
      </c>
      <c r="J1473" s="214"/>
      <c r="K1473" s="214"/>
      <c r="L1473" s="214"/>
      <c r="M1473" s="214"/>
      <c r="N1473" s="214"/>
      <c r="O1473" s="214"/>
      <c r="P1473" s="214"/>
      <c r="Q1473" s="214"/>
      <c r="R1473" s="214"/>
      <c r="S1473" s="214"/>
      <c r="T1473" s="214"/>
      <c r="U1473" s="214"/>
      <c r="V1473" s="214"/>
      <c r="W1473" s="214"/>
      <c r="X1473" s="214"/>
      <c r="Y1473" s="214"/>
      <c r="Z1473" s="214"/>
      <c r="AA1473" s="214"/>
      <c r="AB1473" s="214"/>
      <c r="AC1473" s="214"/>
    </row>
    <row r="1474">
      <c r="A1474" s="222"/>
      <c r="D1474" s="339" t="s">
        <v>239</v>
      </c>
      <c r="E1474" s="339">
        <v>1.0</v>
      </c>
      <c r="F1474" s="233"/>
      <c r="G1474" s="233"/>
      <c r="H1474" s="340" t="s">
        <v>115</v>
      </c>
      <c r="I1474" s="235" t="s">
        <v>105</v>
      </c>
      <c r="J1474" s="214"/>
      <c r="K1474" s="214"/>
      <c r="L1474" s="214"/>
      <c r="M1474" s="214"/>
      <c r="N1474" s="214"/>
      <c r="O1474" s="214"/>
      <c r="P1474" s="214"/>
      <c r="Q1474" s="214"/>
      <c r="R1474" s="214"/>
      <c r="S1474" s="214"/>
      <c r="T1474" s="214"/>
      <c r="U1474" s="214"/>
      <c r="V1474" s="214"/>
      <c r="W1474" s="214"/>
      <c r="X1474" s="214"/>
      <c r="Y1474" s="214"/>
      <c r="Z1474" s="214"/>
      <c r="AA1474" s="214"/>
      <c r="AB1474" s="214"/>
      <c r="AC1474" s="214"/>
    </row>
    <row r="1475">
      <c r="A1475" s="236"/>
      <c r="B1475" s="237"/>
      <c r="C1475" s="237"/>
      <c r="D1475" s="459" t="s">
        <v>117</v>
      </c>
      <c r="E1475" s="459">
        <v>1.0</v>
      </c>
      <c r="F1475" s="288"/>
      <c r="G1475" s="288"/>
      <c r="H1475" s="460" t="s">
        <v>238</v>
      </c>
      <c r="I1475" s="290" t="s">
        <v>105</v>
      </c>
      <c r="J1475" s="214"/>
      <c r="K1475" s="214"/>
      <c r="L1475" s="214"/>
      <c r="M1475" s="214"/>
      <c r="N1475" s="214"/>
      <c r="O1475" s="214"/>
      <c r="P1475" s="214"/>
      <c r="Q1475" s="214"/>
      <c r="R1475" s="214"/>
      <c r="S1475" s="214"/>
      <c r="T1475" s="214"/>
      <c r="U1475" s="214"/>
      <c r="V1475" s="214"/>
      <c r="W1475" s="214"/>
      <c r="X1475" s="214"/>
      <c r="Y1475" s="214"/>
      <c r="Z1475" s="214"/>
      <c r="AA1475" s="214"/>
      <c r="AB1475" s="214"/>
      <c r="AC1475" s="214"/>
    </row>
    <row r="1476">
      <c r="A1476" s="242" t="s">
        <v>951</v>
      </c>
      <c r="B1476" s="216" t="s">
        <v>952</v>
      </c>
      <c r="C1476" s="416">
        <f>sum(E1476:E1477)</f>
        <v>4</v>
      </c>
      <c r="D1476" s="565" t="s">
        <v>6</v>
      </c>
      <c r="E1476" s="565">
        <v>2.0</v>
      </c>
      <c r="F1476" s="357"/>
      <c r="G1476" s="357"/>
      <c r="H1476" s="566" t="s">
        <v>8</v>
      </c>
      <c r="I1476" s="519" t="s">
        <v>7</v>
      </c>
      <c r="J1476" s="214"/>
      <c r="K1476" s="214"/>
      <c r="L1476" s="214"/>
      <c r="M1476" s="214"/>
      <c r="N1476" s="214"/>
      <c r="O1476" s="214"/>
      <c r="P1476" s="214"/>
      <c r="Q1476" s="214"/>
      <c r="R1476" s="214"/>
      <c r="S1476" s="214"/>
      <c r="T1476" s="214"/>
      <c r="U1476" s="214"/>
      <c r="V1476" s="214"/>
      <c r="W1476" s="214"/>
      <c r="X1476" s="214"/>
      <c r="Y1476" s="214"/>
      <c r="Z1476" s="214"/>
      <c r="AA1476" s="214"/>
      <c r="AB1476" s="214"/>
      <c r="AC1476" s="214"/>
    </row>
    <row r="1477">
      <c r="A1477" s="236"/>
      <c r="B1477" s="237"/>
      <c r="C1477" s="237"/>
      <c r="D1477" s="494" t="s">
        <v>229</v>
      </c>
      <c r="E1477" s="494">
        <v>2.0</v>
      </c>
      <c r="F1477" s="477"/>
      <c r="G1477" s="239"/>
      <c r="H1477" s="446" t="s">
        <v>69</v>
      </c>
      <c r="I1477" s="626" t="s">
        <v>65</v>
      </c>
      <c r="J1477" s="214"/>
      <c r="K1477" s="214"/>
      <c r="L1477" s="214"/>
      <c r="M1477" s="214"/>
      <c r="N1477" s="214"/>
      <c r="O1477" s="214"/>
      <c r="P1477" s="214"/>
      <c r="Q1477" s="214"/>
      <c r="R1477" s="214"/>
      <c r="S1477" s="214"/>
      <c r="T1477" s="214"/>
      <c r="U1477" s="214"/>
      <c r="V1477" s="214"/>
      <c r="W1477" s="214"/>
      <c r="X1477" s="214"/>
      <c r="Y1477" s="214"/>
      <c r="Z1477" s="214"/>
      <c r="AA1477" s="214"/>
      <c r="AB1477" s="214"/>
      <c r="AC1477" s="214"/>
    </row>
    <row r="1478">
      <c r="A1478" s="242" t="s">
        <v>953</v>
      </c>
      <c r="B1478" s="243" t="s">
        <v>797</v>
      </c>
      <c r="C1478" s="416">
        <f>sum(E1478:E1481)</f>
        <v>4</v>
      </c>
      <c r="D1478" s="308" t="s">
        <v>131</v>
      </c>
      <c r="E1478" s="308">
        <v>1.0</v>
      </c>
      <c r="F1478" s="309"/>
      <c r="G1478" s="309"/>
      <c r="H1478" s="310" t="s">
        <v>132</v>
      </c>
      <c r="I1478" s="311" t="s">
        <v>105</v>
      </c>
      <c r="J1478" s="214"/>
      <c r="K1478" s="214"/>
      <c r="L1478" s="214"/>
      <c r="M1478" s="214"/>
      <c r="N1478" s="214"/>
      <c r="O1478" s="214"/>
      <c r="P1478" s="214"/>
      <c r="Q1478" s="214"/>
      <c r="R1478" s="214"/>
      <c r="S1478" s="214"/>
      <c r="T1478" s="214"/>
      <c r="U1478" s="214"/>
      <c r="V1478" s="214"/>
      <c r="W1478" s="214"/>
      <c r="X1478" s="214"/>
      <c r="Y1478" s="214"/>
      <c r="Z1478" s="214"/>
      <c r="AA1478" s="214"/>
      <c r="AB1478" s="214"/>
      <c r="AC1478" s="214"/>
    </row>
    <row r="1479">
      <c r="A1479" s="222"/>
      <c r="D1479" s="232" t="s">
        <v>137</v>
      </c>
      <c r="E1479" s="232">
        <v>1.0</v>
      </c>
      <c r="F1479" s="254"/>
      <c r="G1479" s="254"/>
      <c r="H1479" s="234" t="s">
        <v>138</v>
      </c>
      <c r="I1479" s="298" t="s">
        <v>105</v>
      </c>
      <c r="J1479" s="214"/>
      <c r="K1479" s="214"/>
      <c r="L1479" s="214"/>
      <c r="M1479" s="214"/>
      <c r="N1479" s="214"/>
      <c r="O1479" s="214"/>
      <c r="P1479" s="214"/>
      <c r="Q1479" s="214"/>
      <c r="R1479" s="214"/>
      <c r="S1479" s="214"/>
      <c r="T1479" s="214"/>
      <c r="U1479" s="214"/>
      <c r="V1479" s="214"/>
      <c r="W1479" s="214"/>
      <c r="X1479" s="214"/>
      <c r="Y1479" s="214"/>
      <c r="Z1479" s="214"/>
      <c r="AA1479" s="214"/>
      <c r="AB1479" s="214"/>
      <c r="AC1479" s="214"/>
    </row>
    <row r="1480">
      <c r="A1480" s="222"/>
      <c r="D1480" s="286" t="s">
        <v>85</v>
      </c>
      <c r="E1480" s="286">
        <v>1.0</v>
      </c>
      <c r="F1480" s="261"/>
      <c r="G1480" s="261"/>
      <c r="H1480" s="414" t="s">
        <v>86</v>
      </c>
      <c r="I1480" s="526" t="s">
        <v>65</v>
      </c>
      <c r="J1480" s="214"/>
      <c r="K1480" s="214"/>
      <c r="L1480" s="214"/>
      <c r="M1480" s="214"/>
      <c r="N1480" s="214"/>
      <c r="O1480" s="214"/>
      <c r="P1480" s="214"/>
      <c r="Q1480" s="214"/>
      <c r="R1480" s="214"/>
      <c r="S1480" s="214"/>
      <c r="T1480" s="214"/>
      <c r="U1480" s="214"/>
      <c r="V1480" s="214"/>
      <c r="W1480" s="214"/>
      <c r="X1480" s="214"/>
      <c r="Y1480" s="214"/>
      <c r="Z1480" s="214"/>
      <c r="AA1480" s="214"/>
      <c r="AB1480" s="214"/>
      <c r="AC1480" s="214"/>
    </row>
    <row r="1481">
      <c r="A1481" s="236"/>
      <c r="B1481" s="237"/>
      <c r="C1481" s="237"/>
      <c r="D1481" s="302" t="s">
        <v>55</v>
      </c>
      <c r="E1481" s="302">
        <v>1.0</v>
      </c>
      <c r="F1481" s="303"/>
      <c r="G1481" s="303"/>
      <c r="H1481" s="304" t="s">
        <v>56</v>
      </c>
      <c r="I1481" s="485" t="s">
        <v>43</v>
      </c>
      <c r="J1481" s="214"/>
      <c r="K1481" s="214"/>
      <c r="L1481" s="214"/>
      <c r="M1481" s="214"/>
      <c r="N1481" s="214"/>
      <c r="O1481" s="214"/>
      <c r="P1481" s="214"/>
      <c r="Q1481" s="214"/>
      <c r="R1481" s="214"/>
      <c r="S1481" s="214"/>
      <c r="T1481" s="214"/>
      <c r="U1481" s="214"/>
      <c r="V1481" s="214"/>
      <c r="W1481" s="214"/>
      <c r="X1481" s="214"/>
      <c r="Y1481" s="214"/>
      <c r="Z1481" s="214"/>
      <c r="AA1481" s="214"/>
      <c r="AB1481" s="214"/>
      <c r="AC1481" s="214"/>
    </row>
    <row r="1482">
      <c r="A1482" s="349" t="s">
        <v>954</v>
      </c>
      <c r="B1482" s="529" t="s">
        <v>955</v>
      </c>
      <c r="C1482" s="416">
        <f>sum(E1482:E1484)</f>
        <v>4</v>
      </c>
      <c r="D1482" s="521" t="s">
        <v>159</v>
      </c>
      <c r="E1482" s="521">
        <v>1.0</v>
      </c>
      <c r="F1482" s="522"/>
      <c r="G1482" s="522"/>
      <c r="H1482" s="523" t="s">
        <v>160</v>
      </c>
      <c r="I1482" s="524" t="s">
        <v>144</v>
      </c>
    </row>
    <row r="1483">
      <c r="A1483" s="222"/>
      <c r="D1483" s="271" t="s">
        <v>172</v>
      </c>
      <c r="E1483" s="271">
        <v>1.0</v>
      </c>
      <c r="F1483" s="317"/>
      <c r="G1483" s="317"/>
      <c r="H1483" s="273" t="s">
        <v>389</v>
      </c>
      <c r="I1483" s="274" t="s">
        <v>163</v>
      </c>
    </row>
    <row r="1484">
      <c r="A1484" s="236"/>
      <c r="B1484" s="237"/>
      <c r="C1484" s="237"/>
      <c r="D1484" s="673" t="s">
        <v>956</v>
      </c>
      <c r="E1484" s="649">
        <v>2.0</v>
      </c>
      <c r="F1484" s="650"/>
      <c r="G1484" s="651"/>
      <c r="H1484" s="652" t="s">
        <v>957</v>
      </c>
      <c r="I1484" s="461" t="s">
        <v>105</v>
      </c>
    </row>
    <row r="1485">
      <c r="A1485" s="349" t="s">
        <v>958</v>
      </c>
      <c r="B1485" s="552" t="s">
        <v>959</v>
      </c>
      <c r="C1485" s="416">
        <f>sum(E1485:E1487)</f>
        <v>4</v>
      </c>
      <c r="D1485" s="472" t="s">
        <v>120</v>
      </c>
      <c r="E1485" s="472">
        <v>1.0</v>
      </c>
      <c r="F1485" s="473"/>
      <c r="G1485" s="309"/>
      <c r="H1485" s="474" t="s">
        <v>121</v>
      </c>
      <c r="I1485" s="438" t="s">
        <v>105</v>
      </c>
    </row>
    <row r="1486">
      <c r="A1486" s="222"/>
      <c r="D1486" s="232" t="s">
        <v>131</v>
      </c>
      <c r="E1486" s="232">
        <v>1.0</v>
      </c>
      <c r="F1486" s="233"/>
      <c r="G1486" s="233"/>
      <c r="H1486" s="234" t="s">
        <v>132</v>
      </c>
      <c r="I1486" s="235" t="s">
        <v>105</v>
      </c>
    </row>
    <row r="1487">
      <c r="A1487" s="236"/>
      <c r="B1487" s="237"/>
      <c r="C1487" s="237"/>
      <c r="D1487" s="287" t="s">
        <v>104</v>
      </c>
      <c r="E1487" s="287">
        <v>2.0</v>
      </c>
      <c r="F1487" s="288"/>
      <c r="G1487" s="288"/>
      <c r="H1487" s="289" t="s">
        <v>106</v>
      </c>
      <c r="I1487" s="290" t="s">
        <v>105</v>
      </c>
    </row>
    <row r="1488">
      <c r="A1488" s="242" t="s">
        <v>960</v>
      </c>
      <c r="B1488" s="243" t="s">
        <v>961</v>
      </c>
      <c r="C1488" s="416">
        <f>sum(E1488:E1489)</f>
        <v>3</v>
      </c>
      <c r="D1488" s="292" t="s">
        <v>79</v>
      </c>
      <c r="E1488" s="292">
        <v>2.0</v>
      </c>
      <c r="F1488" s="324"/>
      <c r="G1488" s="324"/>
      <c r="H1488" s="294" t="s">
        <v>80</v>
      </c>
      <c r="I1488" s="295" t="s">
        <v>65</v>
      </c>
      <c r="J1488" s="214"/>
      <c r="K1488" s="214"/>
      <c r="L1488" s="214"/>
      <c r="M1488" s="214"/>
      <c r="N1488" s="214"/>
      <c r="O1488" s="214"/>
      <c r="P1488" s="214"/>
      <c r="Q1488" s="214"/>
      <c r="R1488" s="214"/>
      <c r="S1488" s="214"/>
      <c r="T1488" s="214"/>
      <c r="U1488" s="214"/>
      <c r="V1488" s="214"/>
      <c r="W1488" s="214"/>
      <c r="X1488" s="214"/>
      <c r="Y1488" s="214"/>
      <c r="Z1488" s="214"/>
      <c r="AA1488" s="214"/>
      <c r="AB1488" s="214"/>
      <c r="AC1488" s="214"/>
    </row>
    <row r="1489">
      <c r="A1489" s="236"/>
      <c r="B1489" s="237"/>
      <c r="C1489" s="237"/>
      <c r="D1489" s="320" t="s">
        <v>159</v>
      </c>
      <c r="E1489" s="320">
        <v>1.0</v>
      </c>
      <c r="F1489" s="321"/>
      <c r="G1489" s="321"/>
      <c r="H1489" s="322" t="s">
        <v>160</v>
      </c>
      <c r="I1489" s="437" t="s">
        <v>144</v>
      </c>
      <c r="J1489" s="214"/>
      <c r="K1489" s="214"/>
      <c r="L1489" s="214"/>
      <c r="M1489" s="214"/>
      <c r="N1489" s="214"/>
      <c r="O1489" s="214"/>
      <c r="P1489" s="214"/>
      <c r="Q1489" s="214"/>
      <c r="R1489" s="214"/>
      <c r="S1489" s="214"/>
      <c r="T1489" s="214"/>
      <c r="U1489" s="214"/>
      <c r="V1489" s="214"/>
      <c r="W1489" s="214"/>
      <c r="X1489" s="214"/>
      <c r="Y1489" s="214"/>
      <c r="Z1489" s="214"/>
      <c r="AA1489" s="214"/>
      <c r="AB1489" s="214"/>
      <c r="AC1489" s="214"/>
    </row>
    <row r="1490">
      <c r="A1490" s="364" t="s">
        <v>962</v>
      </c>
      <c r="B1490" s="409" t="s">
        <v>963</v>
      </c>
      <c r="C1490" s="532">
        <f>sum(E1490:E1491)</f>
        <v>3</v>
      </c>
      <c r="D1490" s="271" t="s">
        <v>162</v>
      </c>
      <c r="E1490" s="271">
        <v>2.0</v>
      </c>
      <c r="F1490" s="272"/>
      <c r="G1490" s="272"/>
      <c r="H1490" s="273" t="s">
        <v>164</v>
      </c>
      <c r="I1490" s="393" t="s">
        <v>163</v>
      </c>
      <c r="J1490" s="214"/>
      <c r="K1490" s="214"/>
      <c r="L1490" s="214"/>
      <c r="M1490" s="214"/>
      <c r="N1490" s="214"/>
      <c r="O1490" s="214"/>
      <c r="P1490" s="214"/>
      <c r="Q1490" s="214"/>
      <c r="R1490" s="214"/>
      <c r="S1490" s="214"/>
      <c r="T1490" s="214"/>
      <c r="U1490" s="214"/>
      <c r="V1490" s="214"/>
      <c r="W1490" s="214"/>
      <c r="X1490" s="214"/>
      <c r="Y1490" s="214"/>
      <c r="Z1490" s="214"/>
      <c r="AA1490" s="214"/>
      <c r="AB1490" s="214"/>
      <c r="AC1490" s="214"/>
    </row>
    <row r="1491">
      <c r="A1491" s="236"/>
      <c r="B1491" s="237"/>
      <c r="C1491" s="237"/>
      <c r="D1491" s="320" t="s">
        <v>159</v>
      </c>
      <c r="E1491" s="320">
        <v>1.0</v>
      </c>
      <c r="F1491" s="321"/>
      <c r="G1491" s="321"/>
      <c r="H1491" s="322" t="s">
        <v>160</v>
      </c>
      <c r="I1491" s="323" t="s">
        <v>144</v>
      </c>
      <c r="J1491" s="214"/>
      <c r="K1491" s="214"/>
      <c r="L1491" s="214"/>
      <c r="M1491" s="214"/>
      <c r="N1491" s="214"/>
      <c r="O1491" s="214"/>
      <c r="P1491" s="214"/>
      <c r="Q1491" s="214"/>
      <c r="R1491" s="214"/>
      <c r="S1491" s="214"/>
      <c r="T1491" s="214"/>
      <c r="U1491" s="214"/>
      <c r="V1491" s="214"/>
      <c r="W1491" s="214"/>
      <c r="X1491" s="214"/>
      <c r="Y1491" s="214"/>
      <c r="Z1491" s="214"/>
      <c r="AA1491" s="214"/>
      <c r="AB1491" s="214"/>
      <c r="AC1491" s="214"/>
    </row>
    <row r="1492">
      <c r="A1492" s="364" t="s">
        <v>964</v>
      </c>
      <c r="B1492" s="643" t="s">
        <v>965</v>
      </c>
      <c r="C1492" s="532">
        <f>sum(E1492:E1493)</f>
        <v>3</v>
      </c>
      <c r="D1492" s="271" t="s">
        <v>162</v>
      </c>
      <c r="E1492" s="271">
        <v>2.0</v>
      </c>
      <c r="F1492" s="272"/>
      <c r="G1492" s="272"/>
      <c r="H1492" s="273" t="s">
        <v>164</v>
      </c>
      <c r="I1492" s="393" t="s">
        <v>163</v>
      </c>
      <c r="J1492" s="214"/>
      <c r="K1492" s="214"/>
      <c r="L1492" s="214"/>
      <c r="M1492" s="214"/>
      <c r="N1492" s="214"/>
      <c r="O1492" s="214"/>
      <c r="P1492" s="214"/>
      <c r="Q1492" s="214"/>
      <c r="R1492" s="214"/>
      <c r="S1492" s="214"/>
      <c r="T1492" s="214"/>
      <c r="U1492" s="214"/>
      <c r="V1492" s="214"/>
      <c r="W1492" s="214"/>
      <c r="X1492" s="214"/>
      <c r="Y1492" s="214"/>
      <c r="Z1492" s="214"/>
      <c r="AA1492" s="214"/>
      <c r="AB1492" s="214"/>
      <c r="AC1492" s="214"/>
    </row>
    <row r="1493">
      <c r="A1493" s="236"/>
      <c r="B1493" s="237"/>
      <c r="C1493" s="237"/>
      <c r="D1493" s="302" t="s">
        <v>52</v>
      </c>
      <c r="E1493" s="302">
        <v>1.0</v>
      </c>
      <c r="F1493" s="303"/>
      <c r="G1493" s="303"/>
      <c r="H1493" s="304" t="s">
        <v>53</v>
      </c>
      <c r="I1493" s="594" t="s">
        <v>43</v>
      </c>
      <c r="J1493" s="214"/>
      <c r="K1493" s="214"/>
      <c r="L1493" s="214"/>
      <c r="M1493" s="214"/>
      <c r="N1493" s="214"/>
      <c r="O1493" s="214"/>
      <c r="P1493" s="214"/>
      <c r="Q1493" s="214"/>
      <c r="R1493" s="214"/>
      <c r="S1493" s="214"/>
      <c r="T1493" s="214"/>
      <c r="U1493" s="214"/>
      <c r="V1493" s="214"/>
      <c r="W1493" s="214"/>
      <c r="X1493" s="214"/>
      <c r="Y1493" s="214"/>
      <c r="Z1493" s="214"/>
      <c r="AA1493" s="214"/>
      <c r="AB1493" s="214"/>
      <c r="AC1493" s="214"/>
    </row>
    <row r="1494">
      <c r="A1494" s="453" t="s">
        <v>966</v>
      </c>
      <c r="B1494" s="643" t="s">
        <v>967</v>
      </c>
      <c r="C1494" s="532">
        <f>sum(E1494:E1495)</f>
        <v>3</v>
      </c>
      <c r="D1494" s="299" t="s">
        <v>159</v>
      </c>
      <c r="E1494" s="299">
        <v>1.0</v>
      </c>
      <c r="F1494" s="251"/>
      <c r="G1494" s="251"/>
      <c r="H1494" s="312" t="s">
        <v>160</v>
      </c>
      <c r="I1494" s="253" t="s">
        <v>144</v>
      </c>
      <c r="J1494" s="214"/>
      <c r="K1494" s="214"/>
      <c r="L1494" s="214"/>
      <c r="M1494" s="214"/>
      <c r="N1494" s="214"/>
      <c r="O1494" s="214"/>
      <c r="P1494" s="214"/>
      <c r="Q1494" s="214"/>
      <c r="R1494" s="214"/>
      <c r="S1494" s="214"/>
      <c r="T1494" s="214"/>
      <c r="U1494" s="214"/>
      <c r="V1494" s="214"/>
      <c r="W1494" s="214"/>
      <c r="X1494" s="214"/>
      <c r="Y1494" s="214"/>
      <c r="Z1494" s="214"/>
      <c r="AA1494" s="214"/>
      <c r="AB1494" s="214"/>
      <c r="AC1494" s="214"/>
    </row>
    <row r="1495">
      <c r="A1495" s="236"/>
      <c r="B1495" s="237"/>
      <c r="C1495" s="237"/>
      <c r="D1495" s="374" t="s">
        <v>17</v>
      </c>
      <c r="E1495" s="374">
        <v>2.0</v>
      </c>
      <c r="F1495" s="375"/>
      <c r="G1495" s="375"/>
      <c r="H1495" s="458" t="s">
        <v>260</v>
      </c>
      <c r="I1495" s="505" t="s">
        <v>7</v>
      </c>
      <c r="J1495" s="214"/>
      <c r="K1495" s="214"/>
      <c r="L1495" s="214"/>
      <c r="M1495" s="214"/>
      <c r="N1495" s="214"/>
      <c r="O1495" s="214"/>
      <c r="P1495" s="214"/>
      <c r="Q1495" s="214"/>
      <c r="R1495" s="214"/>
      <c r="S1495" s="214"/>
      <c r="T1495" s="214"/>
      <c r="U1495" s="214"/>
      <c r="V1495" s="214"/>
      <c r="W1495" s="214"/>
      <c r="X1495" s="214"/>
      <c r="Y1495" s="214"/>
      <c r="Z1495" s="214"/>
      <c r="AA1495" s="214"/>
      <c r="AB1495" s="214"/>
      <c r="AC1495" s="214"/>
    </row>
    <row r="1496">
      <c r="A1496" s="455" t="s">
        <v>968</v>
      </c>
      <c r="B1496" s="672" t="s">
        <v>969</v>
      </c>
      <c r="C1496" s="416">
        <f>sum(E1496:E1498)</f>
        <v>3</v>
      </c>
      <c r="D1496" s="245" t="s">
        <v>52</v>
      </c>
      <c r="E1496" s="245">
        <v>1.0</v>
      </c>
      <c r="F1496" s="246"/>
      <c r="G1496" s="246"/>
      <c r="H1496" s="247" t="s">
        <v>53</v>
      </c>
      <c r="I1496" s="417" t="s">
        <v>43</v>
      </c>
      <c r="J1496" s="214"/>
      <c r="K1496" s="214"/>
      <c r="L1496" s="214"/>
      <c r="M1496" s="214"/>
      <c r="N1496" s="214"/>
      <c r="O1496" s="214"/>
      <c r="P1496" s="214"/>
      <c r="Q1496" s="214"/>
      <c r="R1496" s="214"/>
      <c r="S1496" s="214"/>
      <c r="T1496" s="214"/>
      <c r="U1496" s="214"/>
      <c r="V1496" s="214"/>
      <c r="W1496" s="214"/>
      <c r="X1496" s="214"/>
      <c r="Y1496" s="214"/>
      <c r="Z1496" s="214"/>
      <c r="AA1496" s="214"/>
      <c r="AB1496" s="214"/>
      <c r="AC1496" s="214"/>
    </row>
    <row r="1497">
      <c r="A1497" s="222"/>
      <c r="D1497" s="279" t="s">
        <v>58</v>
      </c>
      <c r="E1497" s="279">
        <v>1.0</v>
      </c>
      <c r="F1497" s="280"/>
      <c r="G1497" s="280"/>
      <c r="H1497" s="281" t="s">
        <v>59</v>
      </c>
      <c r="I1497" s="448" t="s">
        <v>43</v>
      </c>
      <c r="J1497" s="214"/>
      <c r="K1497" s="214"/>
      <c r="L1497" s="214"/>
      <c r="M1497" s="214"/>
      <c r="N1497" s="214"/>
      <c r="O1497" s="214"/>
      <c r="P1497" s="214"/>
      <c r="Q1497" s="214"/>
      <c r="R1497" s="214"/>
      <c r="S1497" s="214"/>
      <c r="T1497" s="214"/>
      <c r="U1497" s="214"/>
      <c r="V1497" s="214"/>
      <c r="W1497" s="214"/>
      <c r="X1497" s="214"/>
      <c r="Y1497" s="214"/>
      <c r="Z1497" s="214"/>
      <c r="AA1497" s="214"/>
      <c r="AB1497" s="214"/>
      <c r="AC1497" s="214"/>
    </row>
    <row r="1498">
      <c r="A1498" s="236"/>
      <c r="B1498" s="237"/>
      <c r="C1498" s="237"/>
      <c r="D1498" s="264" t="s">
        <v>172</v>
      </c>
      <c r="E1498" s="264">
        <v>1.0</v>
      </c>
      <c r="F1498" s="479"/>
      <c r="G1498" s="479"/>
      <c r="H1498" s="266" t="s">
        <v>389</v>
      </c>
      <c r="I1498" s="393" t="s">
        <v>163</v>
      </c>
      <c r="J1498" s="214"/>
      <c r="K1498" s="214"/>
      <c r="L1498" s="214"/>
      <c r="M1498" s="214"/>
      <c r="N1498" s="214"/>
      <c r="O1498" s="214"/>
      <c r="P1498" s="214"/>
      <c r="Q1498" s="214"/>
      <c r="R1498" s="214"/>
      <c r="S1498" s="214"/>
      <c r="T1498" s="214"/>
      <c r="U1498" s="214"/>
      <c r="V1498" s="214"/>
      <c r="W1498" s="214"/>
      <c r="X1498" s="214"/>
      <c r="Y1498" s="214"/>
      <c r="Z1498" s="214"/>
      <c r="AA1498" s="214"/>
      <c r="AB1498" s="214"/>
      <c r="AC1498" s="214"/>
    </row>
    <row r="1499">
      <c r="A1499" s="242" t="s">
        <v>970</v>
      </c>
      <c r="B1499" s="439" t="s">
        <v>971</v>
      </c>
      <c r="C1499" s="416">
        <f>sum(E1499:E1500)</f>
        <v>3</v>
      </c>
      <c r="D1499" s="245" t="s">
        <v>55</v>
      </c>
      <c r="E1499" s="245">
        <v>1.0</v>
      </c>
      <c r="F1499" s="246"/>
      <c r="G1499" s="246"/>
      <c r="H1499" s="247" t="s">
        <v>56</v>
      </c>
      <c r="I1499" s="417" t="s">
        <v>43</v>
      </c>
      <c r="J1499" s="214"/>
      <c r="K1499" s="214"/>
      <c r="L1499" s="214"/>
      <c r="M1499" s="214"/>
      <c r="N1499" s="214"/>
      <c r="O1499" s="214"/>
      <c r="P1499" s="214"/>
      <c r="Q1499" s="214"/>
      <c r="R1499" s="214"/>
      <c r="S1499" s="214"/>
      <c r="T1499" s="214"/>
      <c r="U1499" s="214"/>
      <c r="V1499" s="214"/>
      <c r="W1499" s="214"/>
      <c r="X1499" s="214"/>
      <c r="Y1499" s="214"/>
      <c r="Z1499" s="214"/>
      <c r="AA1499" s="214"/>
      <c r="AB1499" s="214"/>
      <c r="AC1499" s="214"/>
    </row>
    <row r="1500">
      <c r="A1500" s="236"/>
      <c r="B1500" s="237"/>
      <c r="C1500" s="237"/>
      <c r="D1500" s="264" t="s">
        <v>162</v>
      </c>
      <c r="E1500" s="264">
        <v>2.0</v>
      </c>
      <c r="F1500" s="479"/>
      <c r="G1500" s="479"/>
      <c r="H1500" s="266" t="s">
        <v>164</v>
      </c>
      <c r="I1500" s="393" t="s">
        <v>163</v>
      </c>
      <c r="J1500" s="214"/>
      <c r="K1500" s="214"/>
      <c r="L1500" s="214"/>
      <c r="M1500" s="214"/>
      <c r="N1500" s="214"/>
      <c r="O1500" s="214"/>
      <c r="P1500" s="214"/>
      <c r="Q1500" s="214"/>
      <c r="R1500" s="214"/>
      <c r="S1500" s="214"/>
      <c r="T1500" s="214"/>
      <c r="U1500" s="214"/>
      <c r="V1500" s="214"/>
      <c r="W1500" s="214"/>
      <c r="X1500" s="214"/>
      <c r="Y1500" s="214"/>
      <c r="Z1500" s="214"/>
      <c r="AA1500" s="214"/>
      <c r="AB1500" s="214"/>
      <c r="AC1500" s="214"/>
    </row>
    <row r="1501">
      <c r="A1501" s="215" t="s">
        <v>972</v>
      </c>
      <c r="B1501" s="439" t="s">
        <v>973</v>
      </c>
      <c r="C1501" s="416">
        <f>sum(E1501:E1502)</f>
        <v>3</v>
      </c>
      <c r="D1501" s="335" t="s">
        <v>162</v>
      </c>
      <c r="E1501" s="335">
        <v>2.0</v>
      </c>
      <c r="F1501" s="354"/>
      <c r="G1501" s="354"/>
      <c r="H1501" s="337" t="s">
        <v>164</v>
      </c>
      <c r="I1501" s="338" t="s">
        <v>163</v>
      </c>
      <c r="J1501" s="214"/>
      <c r="K1501" s="214"/>
      <c r="L1501" s="214"/>
      <c r="M1501" s="214"/>
      <c r="N1501" s="214"/>
      <c r="O1501" s="214"/>
      <c r="P1501" s="214"/>
      <c r="Q1501" s="214"/>
      <c r="R1501" s="214"/>
      <c r="S1501" s="214"/>
      <c r="T1501" s="214"/>
      <c r="U1501" s="214"/>
      <c r="V1501" s="214"/>
      <c r="W1501" s="214"/>
      <c r="X1501" s="214"/>
      <c r="Y1501" s="214"/>
      <c r="Z1501" s="214"/>
      <c r="AA1501" s="214"/>
      <c r="AB1501" s="214"/>
      <c r="AC1501" s="214"/>
    </row>
    <row r="1502">
      <c r="A1502" s="236"/>
      <c r="B1502" s="237"/>
      <c r="C1502" s="237"/>
      <c r="D1502" s="360" t="s">
        <v>36</v>
      </c>
      <c r="E1502" s="360">
        <v>1.0</v>
      </c>
      <c r="F1502" s="517"/>
      <c r="G1502" s="517"/>
      <c r="H1502" s="362" t="s">
        <v>37</v>
      </c>
      <c r="I1502" s="363" t="s">
        <v>30</v>
      </c>
      <c r="J1502" s="214"/>
      <c r="K1502" s="214"/>
      <c r="L1502" s="214"/>
      <c r="M1502" s="214"/>
      <c r="N1502" s="214"/>
      <c r="O1502" s="214"/>
      <c r="P1502" s="214"/>
      <c r="Q1502" s="214"/>
      <c r="R1502" s="214"/>
      <c r="S1502" s="214"/>
      <c r="T1502" s="214"/>
      <c r="U1502" s="214"/>
      <c r="V1502" s="214"/>
      <c r="W1502" s="214"/>
      <c r="X1502" s="214"/>
      <c r="Y1502" s="214"/>
      <c r="Z1502" s="214"/>
      <c r="AA1502" s="214"/>
      <c r="AB1502" s="214"/>
      <c r="AC1502" s="214"/>
    </row>
    <row r="1503">
      <c r="A1503" s="242" t="s">
        <v>974</v>
      </c>
      <c r="B1503" s="439" t="s">
        <v>642</v>
      </c>
      <c r="C1503" s="416">
        <f>sum(E1503:E1504)</f>
        <v>3</v>
      </c>
      <c r="D1503" s="218" t="s">
        <v>179</v>
      </c>
      <c r="E1503" s="218">
        <v>2.0</v>
      </c>
      <c r="F1503" s="270"/>
      <c r="G1503" s="270"/>
      <c r="H1503" s="220" t="s">
        <v>180</v>
      </c>
      <c r="I1503" s="646" t="s">
        <v>176</v>
      </c>
      <c r="J1503" s="214"/>
      <c r="K1503" s="214"/>
      <c r="L1503" s="214"/>
      <c r="M1503" s="214"/>
      <c r="N1503" s="214"/>
      <c r="O1503" s="214"/>
      <c r="P1503" s="214"/>
      <c r="Q1503" s="214"/>
      <c r="R1503" s="214"/>
      <c r="S1503" s="214"/>
      <c r="T1503" s="214"/>
      <c r="U1503" s="214"/>
      <c r="V1503" s="214"/>
      <c r="W1503" s="214"/>
      <c r="X1503" s="214"/>
      <c r="Y1503" s="214"/>
      <c r="Z1503" s="214"/>
      <c r="AA1503" s="214"/>
      <c r="AB1503" s="214"/>
      <c r="AC1503" s="214"/>
    </row>
    <row r="1504">
      <c r="A1504" s="236"/>
      <c r="B1504" s="237"/>
      <c r="C1504" s="237"/>
      <c r="D1504" s="495" t="s">
        <v>185</v>
      </c>
      <c r="E1504" s="495">
        <v>1.0</v>
      </c>
      <c r="F1504" s="500"/>
      <c r="G1504" s="500"/>
      <c r="H1504" s="497" t="s">
        <v>187</v>
      </c>
      <c r="I1504" s="498" t="s">
        <v>186</v>
      </c>
      <c r="J1504" s="214"/>
      <c r="K1504" s="214"/>
      <c r="L1504" s="214"/>
      <c r="M1504" s="214"/>
      <c r="N1504" s="214"/>
      <c r="O1504" s="214"/>
      <c r="P1504" s="214"/>
      <c r="Q1504" s="214"/>
      <c r="R1504" s="214"/>
      <c r="S1504" s="214"/>
      <c r="T1504" s="214"/>
      <c r="U1504" s="214"/>
      <c r="V1504" s="214"/>
      <c r="W1504" s="214"/>
      <c r="X1504" s="214"/>
      <c r="Y1504" s="214"/>
      <c r="Z1504" s="214"/>
      <c r="AA1504" s="214"/>
      <c r="AB1504" s="214"/>
      <c r="AC1504" s="214"/>
    </row>
    <row r="1505">
      <c r="A1505" s="215" t="s">
        <v>975</v>
      </c>
      <c r="B1505" s="674" t="s">
        <v>976</v>
      </c>
      <c r="C1505" s="663">
        <f>sum(E1505)</f>
        <v>3</v>
      </c>
      <c r="D1505" s="675" t="s">
        <v>306</v>
      </c>
      <c r="E1505" s="675">
        <v>3.0</v>
      </c>
      <c r="F1505" s="676"/>
      <c r="G1505" s="676"/>
      <c r="H1505" s="677" t="s">
        <v>31</v>
      </c>
      <c r="I1505" s="514" t="s">
        <v>30</v>
      </c>
      <c r="J1505" s="214"/>
      <c r="K1505" s="214"/>
      <c r="L1505" s="214"/>
      <c r="M1505" s="214"/>
      <c r="N1505" s="214"/>
      <c r="O1505" s="214"/>
      <c r="P1505" s="214"/>
      <c r="Q1505" s="214"/>
      <c r="R1505" s="214"/>
      <c r="S1505" s="214"/>
      <c r="T1505" s="214"/>
      <c r="U1505" s="214"/>
      <c r="V1505" s="214"/>
      <c r="W1505" s="214"/>
      <c r="X1505" s="214"/>
      <c r="Y1505" s="214"/>
      <c r="Z1505" s="214"/>
      <c r="AA1505" s="214"/>
      <c r="AB1505" s="214"/>
      <c r="AC1505" s="214"/>
    </row>
    <row r="1506">
      <c r="A1506" s="242" t="s">
        <v>977</v>
      </c>
      <c r="B1506" s="439" t="s">
        <v>978</v>
      </c>
      <c r="C1506" s="416">
        <f>sum(E1506:E1507)</f>
        <v>3</v>
      </c>
      <c r="D1506" s="335" t="s">
        <v>162</v>
      </c>
      <c r="E1506" s="335">
        <v>2.0</v>
      </c>
      <c r="F1506" s="354"/>
      <c r="G1506" s="354"/>
      <c r="H1506" s="337" t="s">
        <v>164</v>
      </c>
      <c r="I1506" s="338" t="s">
        <v>163</v>
      </c>
      <c r="J1506" s="214"/>
      <c r="K1506" s="214"/>
      <c r="L1506" s="214"/>
      <c r="M1506" s="214"/>
      <c r="N1506" s="214"/>
      <c r="O1506" s="214"/>
      <c r="P1506" s="214"/>
      <c r="Q1506" s="214"/>
      <c r="R1506" s="214"/>
      <c r="S1506" s="214"/>
      <c r="T1506" s="214"/>
      <c r="U1506" s="214"/>
      <c r="V1506" s="214"/>
      <c r="W1506" s="214"/>
      <c r="X1506" s="214"/>
      <c r="Y1506" s="214"/>
      <c r="Z1506" s="214"/>
      <c r="AA1506" s="214"/>
      <c r="AB1506" s="214"/>
      <c r="AC1506" s="214"/>
    </row>
    <row r="1507">
      <c r="A1507" s="236"/>
      <c r="B1507" s="237"/>
      <c r="C1507" s="237"/>
      <c r="D1507" s="287" t="s">
        <v>120</v>
      </c>
      <c r="E1507" s="287">
        <v>1.0</v>
      </c>
      <c r="F1507" s="288"/>
      <c r="G1507" s="288"/>
      <c r="H1507" s="289" t="s">
        <v>289</v>
      </c>
      <c r="I1507" s="461" t="s">
        <v>105</v>
      </c>
      <c r="J1507" s="214"/>
      <c r="K1507" s="214"/>
      <c r="L1507" s="214"/>
      <c r="M1507" s="214"/>
      <c r="N1507" s="214"/>
      <c r="O1507" s="214"/>
      <c r="P1507" s="214"/>
      <c r="Q1507" s="214"/>
      <c r="R1507" s="214"/>
      <c r="S1507" s="214"/>
      <c r="T1507" s="214"/>
      <c r="U1507" s="214"/>
      <c r="V1507" s="214"/>
      <c r="W1507" s="214"/>
      <c r="X1507" s="214"/>
      <c r="Y1507" s="214"/>
      <c r="Z1507" s="214"/>
      <c r="AA1507" s="214"/>
      <c r="AB1507" s="214"/>
      <c r="AC1507" s="214"/>
    </row>
    <row r="1508">
      <c r="A1508" s="242" t="s">
        <v>979</v>
      </c>
      <c r="B1508" s="439" t="s">
        <v>814</v>
      </c>
      <c r="C1508" s="416">
        <f>sum(E1508:E1509)</f>
        <v>3</v>
      </c>
      <c r="D1508" s="335" t="s">
        <v>162</v>
      </c>
      <c r="E1508" s="335">
        <v>2.0</v>
      </c>
      <c r="F1508" s="354"/>
      <c r="G1508" s="354"/>
      <c r="H1508" s="337" t="s">
        <v>164</v>
      </c>
      <c r="I1508" s="338" t="s">
        <v>163</v>
      </c>
      <c r="J1508" s="214"/>
      <c r="K1508" s="214"/>
      <c r="L1508" s="214"/>
      <c r="M1508" s="214"/>
      <c r="N1508" s="214"/>
      <c r="O1508" s="214"/>
      <c r="P1508" s="214"/>
      <c r="Q1508" s="214"/>
      <c r="R1508" s="214"/>
      <c r="S1508" s="214"/>
      <c r="T1508" s="214"/>
      <c r="U1508" s="214"/>
      <c r="V1508" s="214"/>
      <c r="W1508" s="214"/>
      <c r="X1508" s="214"/>
      <c r="Y1508" s="214"/>
      <c r="Z1508" s="214"/>
      <c r="AA1508" s="214"/>
      <c r="AB1508" s="214"/>
      <c r="AC1508" s="214"/>
    </row>
    <row r="1509">
      <c r="A1509" s="236"/>
      <c r="B1509" s="237"/>
      <c r="C1509" s="237"/>
      <c r="D1509" s="287" t="s">
        <v>137</v>
      </c>
      <c r="E1509" s="287">
        <v>1.0</v>
      </c>
      <c r="F1509" s="288"/>
      <c r="G1509" s="288"/>
      <c r="H1509" s="289" t="s">
        <v>138</v>
      </c>
      <c r="I1509" s="461" t="s">
        <v>105</v>
      </c>
      <c r="J1509" s="214"/>
      <c r="K1509" s="214"/>
      <c r="L1509" s="214"/>
      <c r="M1509" s="214"/>
      <c r="N1509" s="214"/>
      <c r="O1509" s="214"/>
      <c r="P1509" s="214"/>
      <c r="Q1509" s="214"/>
      <c r="R1509" s="214"/>
      <c r="S1509" s="214"/>
      <c r="T1509" s="214"/>
      <c r="U1509" s="214"/>
      <c r="V1509" s="214"/>
      <c r="W1509" s="214"/>
      <c r="X1509" s="214"/>
      <c r="Y1509" s="214"/>
      <c r="Z1509" s="214"/>
      <c r="AA1509" s="214"/>
      <c r="AB1509" s="214"/>
      <c r="AC1509" s="214"/>
    </row>
    <row r="1510">
      <c r="A1510" s="242" t="s">
        <v>980</v>
      </c>
      <c r="B1510" s="439" t="s">
        <v>981</v>
      </c>
      <c r="C1510" s="416">
        <f>sum(E1510:E1511)</f>
        <v>3</v>
      </c>
      <c r="D1510" s="335" t="s">
        <v>162</v>
      </c>
      <c r="E1510" s="335">
        <v>2.0</v>
      </c>
      <c r="F1510" s="354"/>
      <c r="G1510" s="354"/>
      <c r="H1510" s="337" t="s">
        <v>164</v>
      </c>
      <c r="I1510" s="338" t="s">
        <v>163</v>
      </c>
      <c r="J1510" s="214"/>
      <c r="K1510" s="214"/>
      <c r="L1510" s="214"/>
      <c r="M1510" s="214"/>
      <c r="N1510" s="214"/>
      <c r="O1510" s="214"/>
      <c r="P1510" s="214"/>
      <c r="Q1510" s="214"/>
      <c r="R1510" s="214"/>
      <c r="S1510" s="214"/>
      <c r="T1510" s="214"/>
      <c r="U1510" s="214"/>
      <c r="V1510" s="214"/>
      <c r="W1510" s="214"/>
      <c r="X1510" s="214"/>
      <c r="Y1510" s="214"/>
      <c r="Z1510" s="214"/>
      <c r="AA1510" s="214"/>
      <c r="AB1510" s="214"/>
      <c r="AC1510" s="214"/>
    </row>
    <row r="1511">
      <c r="A1511" s="236"/>
      <c r="B1511" s="237"/>
      <c r="C1511" s="237"/>
      <c r="D1511" s="287" t="s">
        <v>120</v>
      </c>
      <c r="E1511" s="287">
        <v>1.0</v>
      </c>
      <c r="F1511" s="288"/>
      <c r="G1511" s="288"/>
      <c r="H1511" s="289" t="s">
        <v>121</v>
      </c>
      <c r="I1511" s="461" t="s">
        <v>105</v>
      </c>
      <c r="J1511" s="214"/>
      <c r="K1511" s="214"/>
      <c r="L1511" s="214"/>
      <c r="M1511" s="214"/>
      <c r="N1511" s="214"/>
      <c r="O1511" s="214"/>
      <c r="P1511" s="214"/>
      <c r="Q1511" s="214"/>
      <c r="R1511" s="214"/>
      <c r="S1511" s="214"/>
      <c r="T1511" s="214"/>
      <c r="U1511" s="214"/>
      <c r="V1511" s="214"/>
      <c r="W1511" s="214"/>
      <c r="X1511" s="214"/>
      <c r="Y1511" s="214"/>
      <c r="Z1511" s="214"/>
      <c r="AA1511" s="214"/>
      <c r="AB1511" s="214"/>
      <c r="AC1511" s="214"/>
    </row>
    <row r="1512">
      <c r="A1512" s="678" t="s">
        <v>982</v>
      </c>
      <c r="B1512" s="679" t="s">
        <v>983</v>
      </c>
      <c r="C1512" s="663">
        <f>sum(E1512)</f>
        <v>3</v>
      </c>
      <c r="D1512" s="680" t="s">
        <v>64</v>
      </c>
      <c r="E1512" s="680">
        <v>3.0</v>
      </c>
      <c r="F1512" s="681"/>
      <c r="G1512" s="681"/>
      <c r="H1512" s="262" t="s">
        <v>66</v>
      </c>
      <c r="I1512" s="682" t="s">
        <v>65</v>
      </c>
    </row>
    <row r="1513">
      <c r="A1513" s="349" t="s">
        <v>984</v>
      </c>
      <c r="B1513" s="529" t="s">
        <v>985</v>
      </c>
      <c r="C1513" s="416">
        <f>sum(E1513:E1514)</f>
        <v>3</v>
      </c>
      <c r="D1513" s="335" t="s">
        <v>162</v>
      </c>
      <c r="E1513" s="335">
        <v>2.0</v>
      </c>
      <c r="F1513" s="354"/>
      <c r="G1513" s="354"/>
      <c r="H1513" s="337" t="s">
        <v>164</v>
      </c>
      <c r="I1513" s="338" t="s">
        <v>163</v>
      </c>
    </row>
    <row r="1514">
      <c r="A1514" s="236"/>
      <c r="B1514" s="237"/>
      <c r="C1514" s="237"/>
      <c r="D1514" s="302" t="s">
        <v>58</v>
      </c>
      <c r="E1514" s="302">
        <v>1.0</v>
      </c>
      <c r="F1514" s="303"/>
      <c r="G1514" s="303"/>
      <c r="H1514" s="304" t="s">
        <v>59</v>
      </c>
      <c r="I1514" s="485" t="s">
        <v>43</v>
      </c>
    </row>
    <row r="1515">
      <c r="A1515" s="636" t="s">
        <v>986</v>
      </c>
      <c r="B1515" s="529" t="s">
        <v>987</v>
      </c>
      <c r="C1515" s="416">
        <f>sum(E1515:E1516)</f>
        <v>3</v>
      </c>
      <c r="D1515" s="521" t="s">
        <v>159</v>
      </c>
      <c r="E1515" s="521">
        <v>1.0</v>
      </c>
      <c r="F1515" s="522"/>
      <c r="G1515" s="522"/>
      <c r="H1515" s="523" t="s">
        <v>160</v>
      </c>
      <c r="I1515" s="524" t="s">
        <v>144</v>
      </c>
    </row>
    <row r="1516">
      <c r="A1516" s="236"/>
      <c r="B1516" s="237"/>
      <c r="C1516" s="237"/>
      <c r="D1516" s="264" t="s">
        <v>162</v>
      </c>
      <c r="E1516" s="264">
        <v>2.0</v>
      </c>
      <c r="F1516" s="479"/>
      <c r="G1516" s="479"/>
      <c r="H1516" s="266" t="s">
        <v>164</v>
      </c>
      <c r="I1516" s="480" t="s">
        <v>163</v>
      </c>
    </row>
    <row r="1517">
      <c r="A1517" s="455" t="s">
        <v>988</v>
      </c>
      <c r="B1517" s="672" t="s">
        <v>989</v>
      </c>
      <c r="C1517" s="416">
        <f t="shared" ref="C1517:C1519" si="1">sum(E1517)</f>
        <v>2</v>
      </c>
      <c r="D1517" s="475" t="s">
        <v>97</v>
      </c>
      <c r="E1517" s="475">
        <v>2.0</v>
      </c>
      <c r="F1517" s="379"/>
      <c r="G1517" s="379"/>
      <c r="H1517" s="476" t="s">
        <v>99</v>
      </c>
      <c r="I1517" s="493" t="s">
        <v>98</v>
      </c>
      <c r="J1517" s="214"/>
      <c r="K1517" s="214"/>
      <c r="L1517" s="214"/>
      <c r="M1517" s="214"/>
      <c r="N1517" s="214"/>
      <c r="O1517" s="214"/>
      <c r="P1517" s="214"/>
      <c r="Q1517" s="214"/>
      <c r="R1517" s="214"/>
      <c r="S1517" s="214"/>
      <c r="T1517" s="214"/>
      <c r="U1517" s="214"/>
      <c r="V1517" s="214"/>
      <c r="W1517" s="214"/>
      <c r="X1517" s="214"/>
      <c r="Y1517" s="214"/>
      <c r="Z1517" s="214"/>
      <c r="AA1517" s="214"/>
      <c r="AB1517" s="214"/>
      <c r="AC1517" s="214"/>
    </row>
    <row r="1518">
      <c r="A1518" s="215" t="s">
        <v>990</v>
      </c>
      <c r="B1518" s="439" t="s">
        <v>991</v>
      </c>
      <c r="C1518" s="416">
        <f t="shared" si="1"/>
        <v>2</v>
      </c>
      <c r="D1518" s="356" t="s">
        <v>19</v>
      </c>
      <c r="E1518" s="356">
        <v>2.0</v>
      </c>
      <c r="F1518" s="357"/>
      <c r="G1518" s="357"/>
      <c r="H1518" s="447" t="s">
        <v>20</v>
      </c>
      <c r="I1518" s="482" t="s">
        <v>7</v>
      </c>
      <c r="J1518" s="214"/>
      <c r="K1518" s="214"/>
      <c r="L1518" s="214"/>
      <c r="M1518" s="214"/>
      <c r="N1518" s="214"/>
      <c r="O1518" s="214"/>
      <c r="P1518" s="214"/>
      <c r="Q1518" s="214"/>
      <c r="R1518" s="214"/>
      <c r="S1518" s="214"/>
      <c r="T1518" s="214"/>
      <c r="U1518" s="214"/>
      <c r="V1518" s="214"/>
      <c r="W1518" s="214"/>
      <c r="X1518" s="214"/>
      <c r="Y1518" s="214"/>
      <c r="Z1518" s="214"/>
      <c r="AA1518" s="214"/>
      <c r="AB1518" s="214"/>
      <c r="AC1518" s="214"/>
    </row>
    <row r="1519">
      <c r="A1519" s="683" t="s">
        <v>992</v>
      </c>
      <c r="B1519" s="674" t="s">
        <v>993</v>
      </c>
      <c r="C1519" s="663">
        <f t="shared" si="1"/>
        <v>2</v>
      </c>
      <c r="D1519" s="684" t="s">
        <v>17</v>
      </c>
      <c r="E1519" s="684">
        <v>2.0</v>
      </c>
      <c r="F1519" s="685"/>
      <c r="G1519" s="685"/>
      <c r="H1519" s="686" t="s">
        <v>260</v>
      </c>
      <c r="I1519" s="687" t="s">
        <v>7</v>
      </c>
      <c r="J1519" s="214"/>
      <c r="K1519" s="214"/>
      <c r="L1519" s="214"/>
      <c r="M1519" s="214"/>
      <c r="N1519" s="214"/>
      <c r="O1519" s="214"/>
      <c r="P1519" s="214"/>
      <c r="Q1519" s="214"/>
      <c r="R1519" s="214"/>
      <c r="S1519" s="214"/>
      <c r="T1519" s="214"/>
      <c r="U1519" s="214"/>
      <c r="V1519" s="214"/>
      <c r="W1519" s="214"/>
      <c r="X1519" s="214"/>
      <c r="Y1519" s="214"/>
      <c r="Z1519" s="214"/>
      <c r="AA1519" s="214"/>
      <c r="AB1519" s="214"/>
      <c r="AC1519" s="214"/>
    </row>
    <row r="1520">
      <c r="A1520" s="242" t="s">
        <v>994</v>
      </c>
      <c r="B1520" s="439" t="s">
        <v>995</v>
      </c>
      <c r="C1520" s="416">
        <f>sum(E1520:E1521)</f>
        <v>2</v>
      </c>
      <c r="D1520" s="440" t="s">
        <v>185</v>
      </c>
      <c r="E1520" s="440">
        <v>1.0</v>
      </c>
      <c r="F1520" s="441"/>
      <c r="G1520" s="441"/>
      <c r="H1520" s="442" t="s">
        <v>187</v>
      </c>
      <c r="I1520" s="443" t="s">
        <v>186</v>
      </c>
      <c r="J1520" s="214"/>
      <c r="K1520" s="214"/>
      <c r="L1520" s="214"/>
      <c r="M1520" s="214"/>
      <c r="N1520" s="214"/>
      <c r="O1520" s="214"/>
      <c r="P1520" s="214"/>
      <c r="Q1520" s="214"/>
      <c r="R1520" s="214"/>
      <c r="S1520" s="214"/>
      <c r="T1520" s="214"/>
      <c r="U1520" s="214"/>
      <c r="V1520" s="214"/>
      <c r="W1520" s="214"/>
      <c r="X1520" s="214"/>
      <c r="Y1520" s="214"/>
      <c r="Z1520" s="214"/>
      <c r="AA1520" s="214"/>
      <c r="AB1520" s="214"/>
      <c r="AC1520" s="214"/>
    </row>
    <row r="1521">
      <c r="A1521" s="236"/>
      <c r="B1521" s="237"/>
      <c r="C1521" s="237"/>
      <c r="D1521" s="287" t="s">
        <v>140</v>
      </c>
      <c r="E1521" s="287">
        <v>1.0</v>
      </c>
      <c r="F1521" s="288"/>
      <c r="G1521" s="288"/>
      <c r="H1521" s="289" t="s">
        <v>141</v>
      </c>
      <c r="I1521" s="461" t="s">
        <v>105</v>
      </c>
      <c r="J1521" s="214"/>
      <c r="K1521" s="214"/>
      <c r="L1521" s="214"/>
      <c r="M1521" s="214"/>
      <c r="N1521" s="214"/>
      <c r="O1521" s="214"/>
      <c r="P1521" s="214"/>
      <c r="Q1521" s="214"/>
      <c r="R1521" s="214"/>
      <c r="S1521" s="214"/>
      <c r="T1521" s="214"/>
      <c r="U1521" s="214"/>
      <c r="V1521" s="214"/>
      <c r="W1521" s="214"/>
      <c r="X1521" s="214"/>
      <c r="Y1521" s="214"/>
      <c r="Z1521" s="214"/>
      <c r="AA1521" s="214"/>
      <c r="AB1521" s="214"/>
      <c r="AC1521" s="214"/>
    </row>
    <row r="1522">
      <c r="A1522" s="242" t="s">
        <v>996</v>
      </c>
      <c r="B1522" s="439" t="s">
        <v>997</v>
      </c>
      <c r="C1522" s="416">
        <f>sum(E1522:E1523)</f>
        <v>2</v>
      </c>
      <c r="D1522" s="308" t="s">
        <v>131</v>
      </c>
      <c r="E1522" s="308">
        <v>1.0</v>
      </c>
      <c r="F1522" s="309"/>
      <c r="G1522" s="309"/>
      <c r="H1522" s="310" t="s">
        <v>132</v>
      </c>
      <c r="I1522" s="438" t="s">
        <v>105</v>
      </c>
      <c r="J1522" s="214"/>
      <c r="K1522" s="214"/>
      <c r="L1522" s="214"/>
      <c r="M1522" s="214"/>
      <c r="N1522" s="214"/>
      <c r="O1522" s="214"/>
      <c r="P1522" s="214"/>
      <c r="Q1522" s="214"/>
      <c r="R1522" s="214"/>
      <c r="S1522" s="214"/>
      <c r="T1522" s="214"/>
      <c r="U1522" s="214"/>
      <c r="V1522" s="214"/>
      <c r="W1522" s="214"/>
      <c r="X1522" s="214"/>
      <c r="Y1522" s="214"/>
      <c r="Z1522" s="214"/>
      <c r="AA1522" s="214"/>
      <c r="AB1522" s="214"/>
      <c r="AC1522" s="214"/>
    </row>
    <row r="1523">
      <c r="A1523" s="236"/>
      <c r="B1523" s="237"/>
      <c r="C1523" s="237"/>
      <c r="D1523" s="232" t="s">
        <v>123</v>
      </c>
      <c r="E1523" s="232">
        <v>1.0</v>
      </c>
      <c r="F1523" s="233"/>
      <c r="G1523" s="233"/>
      <c r="H1523" s="234" t="s">
        <v>124</v>
      </c>
      <c r="I1523" s="298" t="s">
        <v>105</v>
      </c>
      <c r="J1523" s="214"/>
      <c r="K1523" s="214"/>
      <c r="L1523" s="214"/>
      <c r="M1523" s="214"/>
      <c r="N1523" s="214"/>
      <c r="O1523" s="214"/>
      <c r="P1523" s="214"/>
      <c r="Q1523" s="214"/>
      <c r="R1523" s="214"/>
      <c r="S1523" s="214"/>
      <c r="T1523" s="214"/>
      <c r="U1523" s="214"/>
      <c r="V1523" s="214"/>
      <c r="W1523" s="214"/>
      <c r="X1523" s="214"/>
      <c r="Y1523" s="214"/>
      <c r="Z1523" s="214"/>
      <c r="AA1523" s="214"/>
      <c r="AB1523" s="214"/>
      <c r="AC1523" s="214"/>
    </row>
    <row r="1524">
      <c r="A1524" s="242" t="s">
        <v>998</v>
      </c>
      <c r="B1524" s="439" t="s">
        <v>999</v>
      </c>
      <c r="C1524" s="416">
        <f>sum(E1524:E1525)</f>
        <v>2</v>
      </c>
      <c r="D1524" s="308" t="s">
        <v>131</v>
      </c>
      <c r="E1524" s="308">
        <v>1.0</v>
      </c>
      <c r="F1524" s="309"/>
      <c r="G1524" s="309"/>
      <c r="H1524" s="310" t="s">
        <v>132</v>
      </c>
      <c r="I1524" s="438" t="s">
        <v>105</v>
      </c>
      <c r="J1524" s="214"/>
      <c r="K1524" s="214"/>
      <c r="L1524" s="214"/>
      <c r="M1524" s="214"/>
      <c r="N1524" s="214"/>
      <c r="O1524" s="214"/>
      <c r="P1524" s="214"/>
      <c r="Q1524" s="214"/>
      <c r="R1524" s="214"/>
      <c r="S1524" s="214"/>
      <c r="T1524" s="214"/>
      <c r="U1524" s="214"/>
      <c r="V1524" s="214"/>
      <c r="W1524" s="214"/>
      <c r="X1524" s="214"/>
      <c r="Y1524" s="214"/>
      <c r="Z1524" s="214"/>
      <c r="AA1524" s="214"/>
      <c r="AB1524" s="214"/>
      <c r="AC1524" s="214"/>
    </row>
    <row r="1525">
      <c r="A1525" s="236"/>
      <c r="B1525" s="237"/>
      <c r="C1525" s="237"/>
      <c r="D1525" s="238" t="s">
        <v>85</v>
      </c>
      <c r="E1525" s="238">
        <v>1.0</v>
      </c>
      <c r="F1525" s="239"/>
      <c r="G1525" s="239"/>
      <c r="H1525" s="240" t="s">
        <v>86</v>
      </c>
      <c r="I1525" s="688" t="s">
        <v>65</v>
      </c>
      <c r="J1525" s="214"/>
      <c r="K1525" s="214"/>
      <c r="L1525" s="214"/>
      <c r="M1525" s="214"/>
      <c r="N1525" s="214"/>
      <c r="O1525" s="214"/>
      <c r="P1525" s="214"/>
      <c r="Q1525" s="214"/>
      <c r="R1525" s="214"/>
      <c r="S1525" s="214"/>
      <c r="T1525" s="214"/>
      <c r="U1525" s="214"/>
      <c r="V1525" s="214"/>
      <c r="W1525" s="214"/>
      <c r="X1525" s="214"/>
      <c r="Y1525" s="214"/>
      <c r="Z1525" s="214"/>
      <c r="AA1525" s="214"/>
      <c r="AB1525" s="214"/>
      <c r="AC1525" s="214"/>
    </row>
    <row r="1526">
      <c r="A1526" s="408" t="s">
        <v>1000</v>
      </c>
      <c r="B1526" s="643" t="s">
        <v>262</v>
      </c>
      <c r="C1526" s="532">
        <f>sum(E1526:E1527)</f>
        <v>2</v>
      </c>
      <c r="D1526" s="279" t="s">
        <v>58</v>
      </c>
      <c r="E1526" s="279">
        <v>1.0</v>
      </c>
      <c r="F1526" s="280"/>
      <c r="G1526" s="280"/>
      <c r="H1526" s="281" t="s">
        <v>59</v>
      </c>
      <c r="I1526" s="448" t="s">
        <v>43</v>
      </c>
      <c r="J1526" s="214"/>
      <c r="K1526" s="214"/>
      <c r="L1526" s="214"/>
      <c r="M1526" s="214"/>
      <c r="N1526" s="214"/>
      <c r="O1526" s="214"/>
      <c r="P1526" s="214"/>
      <c r="Q1526" s="214"/>
      <c r="R1526" s="214"/>
      <c r="S1526" s="214"/>
      <c r="T1526" s="214"/>
      <c r="U1526" s="214"/>
      <c r="V1526" s="214"/>
      <c r="W1526" s="214"/>
      <c r="X1526" s="214"/>
      <c r="Y1526" s="214"/>
      <c r="Z1526" s="214"/>
      <c r="AA1526" s="214"/>
      <c r="AB1526" s="214"/>
      <c r="AC1526" s="214"/>
    </row>
    <row r="1527">
      <c r="A1527" s="236"/>
      <c r="B1527" s="237"/>
      <c r="C1527" s="237"/>
      <c r="D1527" s="495" t="s">
        <v>185</v>
      </c>
      <c r="E1527" s="495">
        <v>1.0</v>
      </c>
      <c r="F1527" s="500"/>
      <c r="G1527" s="500"/>
      <c r="H1527" s="497" t="s">
        <v>187</v>
      </c>
      <c r="I1527" s="498" t="s">
        <v>186</v>
      </c>
      <c r="J1527" s="214"/>
      <c r="K1527" s="214"/>
      <c r="L1527" s="214"/>
      <c r="M1527" s="214"/>
      <c r="N1527" s="214"/>
      <c r="O1527" s="214"/>
      <c r="P1527" s="214"/>
      <c r="Q1527" s="214"/>
      <c r="R1527" s="214"/>
      <c r="S1527" s="214"/>
      <c r="T1527" s="214"/>
      <c r="U1527" s="214"/>
      <c r="V1527" s="214"/>
      <c r="W1527" s="214"/>
      <c r="X1527" s="214"/>
      <c r="Y1527" s="214"/>
      <c r="Z1527" s="214"/>
      <c r="AA1527" s="214"/>
      <c r="AB1527" s="214"/>
      <c r="AC1527" s="214"/>
    </row>
    <row r="1528">
      <c r="A1528" s="409" t="s">
        <v>1001</v>
      </c>
      <c r="B1528" s="643" t="s">
        <v>1002</v>
      </c>
      <c r="C1528" s="416">
        <f>sum(E1528)</f>
        <v>2</v>
      </c>
      <c r="D1528" s="335" t="s">
        <v>162</v>
      </c>
      <c r="E1528" s="335">
        <v>2.0</v>
      </c>
      <c r="F1528" s="354"/>
      <c r="G1528" s="354"/>
      <c r="H1528" s="337" t="s">
        <v>164</v>
      </c>
      <c r="I1528" s="338" t="s">
        <v>163</v>
      </c>
      <c r="J1528" s="214"/>
      <c r="K1528" s="214"/>
      <c r="L1528" s="214"/>
      <c r="M1528" s="214"/>
      <c r="N1528" s="214"/>
      <c r="O1528" s="214"/>
      <c r="P1528" s="214"/>
      <c r="Q1528" s="214"/>
      <c r="R1528" s="214"/>
      <c r="S1528" s="214"/>
      <c r="T1528" s="214"/>
      <c r="U1528" s="214"/>
      <c r="V1528" s="214"/>
      <c r="W1528" s="214"/>
      <c r="X1528" s="214"/>
      <c r="Y1528" s="214"/>
      <c r="Z1528" s="214"/>
      <c r="AA1528" s="214"/>
      <c r="AB1528" s="214"/>
      <c r="AC1528" s="214"/>
    </row>
    <row r="1529">
      <c r="A1529" s="215" t="s">
        <v>1003</v>
      </c>
      <c r="B1529" s="439" t="s">
        <v>1004</v>
      </c>
      <c r="C1529" s="416">
        <f>sum(E1529:E1530)</f>
        <v>2</v>
      </c>
      <c r="D1529" s="335" t="s">
        <v>169</v>
      </c>
      <c r="E1529" s="335">
        <v>1.0</v>
      </c>
      <c r="F1529" s="354"/>
      <c r="G1529" s="354"/>
      <c r="H1529" s="337" t="s">
        <v>170</v>
      </c>
      <c r="I1529" s="689" t="s">
        <v>163</v>
      </c>
      <c r="J1529" s="214"/>
      <c r="K1529" s="214"/>
      <c r="L1529" s="214"/>
      <c r="M1529" s="214"/>
      <c r="N1529" s="214"/>
      <c r="O1529" s="214"/>
      <c r="P1529" s="214"/>
      <c r="Q1529" s="214"/>
      <c r="R1529" s="214"/>
      <c r="S1529" s="214"/>
      <c r="T1529" s="214"/>
      <c r="U1529" s="214"/>
      <c r="V1529" s="214"/>
      <c r="W1529" s="214"/>
      <c r="X1529" s="214"/>
      <c r="Y1529" s="214"/>
      <c r="Z1529" s="214"/>
      <c r="AA1529" s="214"/>
      <c r="AB1529" s="214"/>
      <c r="AC1529" s="214"/>
    </row>
    <row r="1530">
      <c r="A1530" s="236"/>
      <c r="B1530" s="237"/>
      <c r="C1530" s="237"/>
      <c r="D1530" s="302" t="s">
        <v>55</v>
      </c>
      <c r="E1530" s="302">
        <v>1.0</v>
      </c>
      <c r="F1530" s="303"/>
      <c r="G1530" s="303"/>
      <c r="H1530" s="304" t="s">
        <v>56</v>
      </c>
      <c r="I1530" s="594" t="s">
        <v>43</v>
      </c>
      <c r="J1530" s="214"/>
      <c r="K1530" s="214"/>
      <c r="L1530" s="214"/>
      <c r="M1530" s="214"/>
      <c r="N1530" s="214"/>
      <c r="O1530" s="214"/>
      <c r="P1530" s="214"/>
      <c r="Q1530" s="214"/>
      <c r="R1530" s="214"/>
      <c r="S1530" s="214"/>
      <c r="T1530" s="214"/>
      <c r="U1530" s="214"/>
      <c r="V1530" s="214"/>
      <c r="W1530" s="214"/>
      <c r="X1530" s="214"/>
      <c r="Y1530" s="214"/>
      <c r="Z1530" s="214"/>
      <c r="AA1530" s="214"/>
      <c r="AB1530" s="214"/>
      <c r="AC1530" s="214"/>
    </row>
    <row r="1531">
      <c r="A1531" s="242" t="s">
        <v>1005</v>
      </c>
      <c r="B1531" s="439" t="s">
        <v>642</v>
      </c>
      <c r="C1531" s="416">
        <f>sum(E1531:E1532)</f>
        <v>2</v>
      </c>
      <c r="D1531" s="521" t="s">
        <v>159</v>
      </c>
      <c r="E1531" s="521">
        <v>1.0</v>
      </c>
      <c r="F1531" s="522"/>
      <c r="G1531" s="522"/>
      <c r="H1531" s="523" t="s">
        <v>160</v>
      </c>
      <c r="I1531" s="524" t="s">
        <v>144</v>
      </c>
      <c r="J1531" s="527"/>
      <c r="K1531" s="527"/>
      <c r="L1531" s="527"/>
      <c r="M1531" s="527"/>
      <c r="N1531" s="527"/>
      <c r="O1531" s="527"/>
      <c r="P1531" s="527"/>
      <c r="Q1531" s="527"/>
      <c r="R1531" s="527"/>
      <c r="S1531" s="527"/>
      <c r="T1531" s="527"/>
      <c r="U1531" s="527"/>
      <c r="V1531" s="527"/>
      <c r="W1531" s="527"/>
      <c r="X1531" s="527"/>
      <c r="Y1531" s="527"/>
      <c r="Z1531" s="527"/>
      <c r="AA1531" s="527"/>
      <c r="AB1531" s="527"/>
      <c r="AC1531" s="527"/>
    </row>
    <row r="1532">
      <c r="A1532" s="236"/>
      <c r="B1532" s="237"/>
      <c r="C1532" s="237"/>
      <c r="D1532" s="287" t="s">
        <v>120</v>
      </c>
      <c r="E1532" s="287">
        <v>1.0</v>
      </c>
      <c r="F1532" s="288"/>
      <c r="G1532" s="288"/>
      <c r="H1532" s="289" t="s">
        <v>289</v>
      </c>
      <c r="I1532" s="461" t="s">
        <v>105</v>
      </c>
      <c r="J1532" s="527"/>
      <c r="K1532" s="527"/>
      <c r="L1532" s="527"/>
      <c r="M1532" s="527"/>
      <c r="N1532" s="527"/>
      <c r="O1532" s="527"/>
      <c r="P1532" s="527"/>
      <c r="Q1532" s="527"/>
      <c r="R1532" s="527"/>
      <c r="S1532" s="527"/>
      <c r="T1532" s="527"/>
      <c r="U1532" s="527"/>
      <c r="V1532" s="527"/>
      <c r="W1532" s="527"/>
      <c r="X1532" s="527"/>
      <c r="Y1532" s="527"/>
      <c r="Z1532" s="527"/>
      <c r="AA1532" s="527"/>
      <c r="AB1532" s="527"/>
      <c r="AC1532" s="527"/>
    </row>
    <row r="1533">
      <c r="A1533" s="409" t="s">
        <v>1006</v>
      </c>
      <c r="B1533" s="674" t="s">
        <v>1007</v>
      </c>
      <c r="C1533" s="663">
        <f>sum(E1533)</f>
        <v>2</v>
      </c>
      <c r="D1533" s="690" t="s">
        <v>166</v>
      </c>
      <c r="E1533" s="690">
        <v>2.0</v>
      </c>
      <c r="F1533" s="691"/>
      <c r="G1533" s="691"/>
      <c r="H1533" s="692" t="s">
        <v>167</v>
      </c>
      <c r="I1533" s="693" t="s">
        <v>163</v>
      </c>
      <c r="J1533" s="527"/>
      <c r="K1533" s="527"/>
      <c r="L1533" s="527"/>
      <c r="M1533" s="527"/>
      <c r="N1533" s="527"/>
      <c r="O1533" s="527"/>
      <c r="P1533" s="527"/>
      <c r="Q1533" s="527"/>
      <c r="R1533" s="527"/>
      <c r="S1533" s="527"/>
      <c r="T1533" s="527"/>
      <c r="U1533" s="527"/>
      <c r="V1533" s="527"/>
      <c r="W1533" s="527"/>
      <c r="X1533" s="527"/>
      <c r="Y1533" s="527"/>
      <c r="Z1533" s="527"/>
      <c r="AA1533" s="527"/>
      <c r="AB1533" s="527"/>
      <c r="AC1533" s="527"/>
    </row>
    <row r="1534">
      <c r="A1534" s="534" t="s">
        <v>1008</v>
      </c>
      <c r="B1534" s="529" t="s">
        <v>1009</v>
      </c>
      <c r="C1534" s="416">
        <f>sum(E1534:E1535)</f>
        <v>2</v>
      </c>
      <c r="D1534" s="472" t="s">
        <v>120</v>
      </c>
      <c r="E1534" s="472">
        <v>1.0</v>
      </c>
      <c r="F1534" s="473"/>
      <c r="G1534" s="309"/>
      <c r="H1534" s="474" t="s">
        <v>121</v>
      </c>
      <c r="I1534" s="438" t="s">
        <v>105</v>
      </c>
    </row>
    <row r="1535">
      <c r="A1535" s="236"/>
      <c r="B1535" s="237"/>
      <c r="C1535" s="237"/>
      <c r="D1535" s="287" t="s">
        <v>123</v>
      </c>
      <c r="E1535" s="287">
        <v>1.0</v>
      </c>
      <c r="F1535" s="288"/>
      <c r="G1535" s="288"/>
      <c r="H1535" s="289" t="s">
        <v>124</v>
      </c>
      <c r="I1535" s="290" t="s">
        <v>105</v>
      </c>
    </row>
    <row r="1536">
      <c r="A1536" s="215" t="s">
        <v>1010</v>
      </c>
      <c r="B1536" s="439" t="s">
        <v>1011</v>
      </c>
      <c r="C1536" s="416">
        <f t="shared" ref="C1536:C1567" si="2">sum(E1536)</f>
        <v>1</v>
      </c>
      <c r="D1536" s="308" t="s">
        <v>239</v>
      </c>
      <c r="E1536" s="308">
        <v>1.0</v>
      </c>
      <c r="F1536" s="309"/>
      <c r="G1536" s="309"/>
      <c r="H1536" s="310" t="s">
        <v>115</v>
      </c>
      <c r="I1536" s="438" t="s">
        <v>105</v>
      </c>
      <c r="J1536" s="214"/>
      <c r="K1536" s="214"/>
      <c r="L1536" s="214"/>
      <c r="M1536" s="214"/>
      <c r="N1536" s="214"/>
      <c r="O1536" s="214"/>
      <c r="P1536" s="214"/>
      <c r="Q1536" s="214"/>
      <c r="R1536" s="214"/>
      <c r="S1536" s="214"/>
      <c r="T1536" s="214"/>
      <c r="U1536" s="214"/>
      <c r="V1536" s="214"/>
      <c r="W1536" s="214"/>
      <c r="X1536" s="214"/>
      <c r="Y1536" s="214"/>
      <c r="Z1536" s="214"/>
      <c r="AA1536" s="214"/>
      <c r="AB1536" s="214"/>
      <c r="AC1536" s="214"/>
    </row>
    <row r="1537">
      <c r="A1537" s="694" t="s">
        <v>1012</v>
      </c>
      <c r="B1537" s="695" t="s">
        <v>1013</v>
      </c>
      <c r="C1537" s="663">
        <f t="shared" si="2"/>
        <v>1</v>
      </c>
      <c r="D1537" s="612" t="s">
        <v>1014</v>
      </c>
      <c r="E1537" s="612">
        <v>1.0</v>
      </c>
      <c r="F1537" s="613"/>
      <c r="G1537" s="613"/>
      <c r="H1537" s="614" t="s">
        <v>1015</v>
      </c>
      <c r="I1537" s="615" t="s">
        <v>105</v>
      </c>
      <c r="J1537" s="214"/>
      <c r="K1537" s="214"/>
      <c r="L1537" s="214"/>
      <c r="M1537" s="214"/>
      <c r="N1537" s="214"/>
      <c r="O1537" s="214"/>
      <c r="P1537" s="214"/>
      <c r="Q1537" s="214"/>
      <c r="R1537" s="214"/>
      <c r="S1537" s="214"/>
      <c r="T1537" s="214"/>
      <c r="U1537" s="214"/>
      <c r="V1537" s="214"/>
      <c r="W1537" s="214"/>
      <c r="X1537" s="214"/>
      <c r="Y1537" s="214"/>
      <c r="Z1537" s="214"/>
      <c r="AA1537" s="214"/>
      <c r="AB1537" s="214"/>
      <c r="AC1537" s="214"/>
    </row>
    <row r="1538">
      <c r="A1538" s="242" t="s">
        <v>1016</v>
      </c>
      <c r="B1538" s="661" t="s">
        <v>1017</v>
      </c>
      <c r="C1538" s="416">
        <f t="shared" si="2"/>
        <v>1</v>
      </c>
      <c r="D1538" s="308" t="s">
        <v>123</v>
      </c>
      <c r="E1538" s="308">
        <v>1.0</v>
      </c>
      <c r="F1538" s="309"/>
      <c r="G1538" s="309"/>
      <c r="H1538" s="310" t="s">
        <v>124</v>
      </c>
      <c r="I1538" s="438" t="s">
        <v>105</v>
      </c>
      <c r="J1538" s="214"/>
      <c r="K1538" s="214"/>
      <c r="L1538" s="214"/>
      <c r="M1538" s="214"/>
      <c r="N1538" s="214"/>
      <c r="O1538" s="214"/>
      <c r="P1538" s="214"/>
      <c r="Q1538" s="214"/>
      <c r="R1538" s="214"/>
      <c r="S1538" s="214"/>
      <c r="T1538" s="214"/>
      <c r="U1538" s="214"/>
      <c r="V1538" s="214"/>
      <c r="W1538" s="214"/>
      <c r="X1538" s="214"/>
      <c r="Y1538" s="214"/>
      <c r="Z1538" s="214"/>
      <c r="AA1538" s="214"/>
      <c r="AB1538" s="214"/>
      <c r="AC1538" s="214"/>
    </row>
    <row r="1539">
      <c r="A1539" s="242" t="s">
        <v>1018</v>
      </c>
      <c r="B1539" s="439" t="s">
        <v>629</v>
      </c>
      <c r="C1539" s="416">
        <f t="shared" si="2"/>
        <v>1</v>
      </c>
      <c r="D1539" s="308" t="s">
        <v>137</v>
      </c>
      <c r="E1539" s="308">
        <v>1.0</v>
      </c>
      <c r="F1539" s="309"/>
      <c r="G1539" s="309"/>
      <c r="H1539" s="310" t="s">
        <v>138</v>
      </c>
      <c r="I1539" s="438" t="s">
        <v>105</v>
      </c>
      <c r="J1539" s="214"/>
      <c r="K1539" s="214"/>
      <c r="L1539" s="214"/>
      <c r="M1539" s="214"/>
      <c r="N1539" s="214"/>
      <c r="O1539" s="214"/>
      <c r="P1539" s="214"/>
      <c r="Q1539" s="214"/>
      <c r="R1539" s="214"/>
      <c r="S1539" s="214"/>
      <c r="T1539" s="214"/>
      <c r="U1539" s="214"/>
      <c r="V1539" s="214"/>
      <c r="W1539" s="214"/>
      <c r="X1539" s="214"/>
      <c r="Y1539" s="214"/>
      <c r="Z1539" s="214"/>
      <c r="AA1539" s="214"/>
      <c r="AB1539" s="214"/>
      <c r="AC1539" s="214"/>
    </row>
    <row r="1540">
      <c r="A1540" s="636" t="s">
        <v>1019</v>
      </c>
      <c r="B1540" s="529" t="s">
        <v>1020</v>
      </c>
      <c r="C1540" s="416">
        <f t="shared" si="2"/>
        <v>1</v>
      </c>
      <c r="D1540" s="308" t="s">
        <v>120</v>
      </c>
      <c r="E1540" s="308">
        <v>1.0</v>
      </c>
      <c r="F1540" s="309"/>
      <c r="G1540" s="309"/>
      <c r="H1540" s="310" t="s">
        <v>121</v>
      </c>
      <c r="I1540" s="438" t="s">
        <v>105</v>
      </c>
    </row>
    <row r="1541">
      <c r="A1541" s="696" t="s">
        <v>1021</v>
      </c>
      <c r="B1541" s="679" t="s">
        <v>1022</v>
      </c>
      <c r="C1541" s="663">
        <f t="shared" si="2"/>
        <v>0</v>
      </c>
      <c r="D1541" s="697" t="s">
        <v>1023</v>
      </c>
      <c r="E1541" s="698"/>
      <c r="F1541" s="698"/>
      <c r="G1541" s="698"/>
      <c r="H1541" s="698"/>
      <c r="I1541" s="699"/>
    </row>
    <row r="1542">
      <c r="A1542" s="408" t="s">
        <v>1024</v>
      </c>
      <c r="B1542" s="643" t="s">
        <v>1025</v>
      </c>
      <c r="C1542" s="532">
        <f t="shared" si="2"/>
        <v>0</v>
      </c>
      <c r="D1542" s="700" t="s">
        <v>1023</v>
      </c>
      <c r="I1542" s="368"/>
      <c r="J1542" s="214"/>
      <c r="K1542" s="214"/>
      <c r="L1542" s="214"/>
      <c r="M1542" s="214"/>
      <c r="N1542" s="214"/>
      <c r="O1542" s="214"/>
      <c r="P1542" s="214"/>
      <c r="Q1542" s="214"/>
      <c r="R1542" s="214"/>
      <c r="S1542" s="214"/>
      <c r="T1542" s="214"/>
      <c r="U1542" s="214"/>
      <c r="V1542" s="214"/>
      <c r="W1542" s="214"/>
      <c r="X1542" s="214"/>
      <c r="Y1542" s="214"/>
      <c r="Z1542" s="214"/>
      <c r="AA1542" s="214"/>
      <c r="AB1542" s="214"/>
      <c r="AC1542" s="214"/>
    </row>
    <row r="1543">
      <c r="A1543" s="683" t="s">
        <v>1026</v>
      </c>
      <c r="B1543" s="674" t="s">
        <v>1027</v>
      </c>
      <c r="C1543" s="663">
        <f t="shared" si="2"/>
        <v>0</v>
      </c>
      <c r="D1543" s="697" t="s">
        <v>1023</v>
      </c>
      <c r="E1543" s="698"/>
      <c r="F1543" s="698"/>
      <c r="G1543" s="698"/>
      <c r="H1543" s="698"/>
      <c r="I1543" s="699"/>
      <c r="J1543" s="214"/>
      <c r="K1543" s="214"/>
      <c r="L1543" s="214"/>
      <c r="M1543" s="214"/>
      <c r="N1543" s="214"/>
      <c r="O1543" s="214"/>
      <c r="P1543" s="214"/>
      <c r="Q1543" s="214"/>
      <c r="R1543" s="214"/>
      <c r="S1543" s="214"/>
      <c r="T1543" s="214"/>
      <c r="U1543" s="214"/>
      <c r="V1543" s="214"/>
      <c r="W1543" s="214"/>
      <c r="X1543" s="214"/>
      <c r="Y1543" s="214"/>
      <c r="Z1543" s="214"/>
      <c r="AA1543" s="214"/>
      <c r="AB1543" s="214"/>
      <c r="AC1543" s="214"/>
    </row>
    <row r="1544">
      <c r="A1544" s="701" t="s">
        <v>1028</v>
      </c>
      <c r="B1544" s="702" t="s">
        <v>1029</v>
      </c>
      <c r="C1544" s="703">
        <f t="shared" si="2"/>
        <v>0</v>
      </c>
      <c r="D1544" s="704" t="s">
        <v>1023</v>
      </c>
      <c r="E1544" s="237"/>
      <c r="F1544" s="237"/>
      <c r="G1544" s="237"/>
      <c r="H1544" s="237"/>
      <c r="I1544" s="581"/>
      <c r="J1544" s="214"/>
      <c r="K1544" s="214"/>
      <c r="L1544" s="214"/>
      <c r="M1544" s="214"/>
      <c r="N1544" s="214"/>
      <c r="O1544" s="214"/>
      <c r="P1544" s="214"/>
      <c r="Q1544" s="214"/>
      <c r="R1544" s="214"/>
      <c r="S1544" s="214"/>
      <c r="T1544" s="214"/>
      <c r="U1544" s="214"/>
      <c r="V1544" s="214"/>
      <c r="W1544" s="214"/>
      <c r="X1544" s="214"/>
      <c r="Y1544" s="214"/>
      <c r="Z1544" s="214"/>
      <c r="AA1544" s="214"/>
      <c r="AB1544" s="214"/>
      <c r="AC1544" s="214"/>
    </row>
    <row r="1545">
      <c r="A1545" s="701" t="s">
        <v>1030</v>
      </c>
      <c r="B1545" s="702" t="s">
        <v>492</v>
      </c>
      <c r="C1545" s="703">
        <f t="shared" si="2"/>
        <v>0</v>
      </c>
      <c r="D1545" s="704" t="s">
        <v>1031</v>
      </c>
      <c r="E1545" s="237"/>
      <c r="F1545" s="237"/>
      <c r="G1545" s="237"/>
      <c r="H1545" s="237"/>
      <c r="I1545" s="581"/>
      <c r="J1545" s="214"/>
      <c r="K1545" s="214"/>
      <c r="L1545" s="214"/>
      <c r="M1545" s="214"/>
      <c r="N1545" s="214"/>
      <c r="O1545" s="214"/>
      <c r="P1545" s="214"/>
      <c r="Q1545" s="214"/>
      <c r="R1545" s="214"/>
      <c r="S1545" s="214"/>
      <c r="T1545" s="214"/>
      <c r="U1545" s="214"/>
      <c r="V1545" s="214"/>
      <c r="W1545" s="214"/>
      <c r="X1545" s="214"/>
      <c r="Y1545" s="214"/>
      <c r="Z1545" s="214"/>
      <c r="AA1545" s="214"/>
      <c r="AB1545" s="214"/>
      <c r="AC1545" s="214"/>
    </row>
    <row r="1546">
      <c r="A1546" s="242" t="s">
        <v>1032</v>
      </c>
      <c r="B1546" s="439" t="s">
        <v>1033</v>
      </c>
      <c r="C1546" s="416">
        <f t="shared" si="2"/>
        <v>0</v>
      </c>
      <c r="D1546" s="705" t="s">
        <v>1034</v>
      </c>
      <c r="E1546" s="570"/>
      <c r="F1546" s="570"/>
      <c r="G1546" s="570"/>
      <c r="H1546" s="570"/>
      <c r="I1546" s="706"/>
      <c r="J1546" s="214"/>
      <c r="K1546" s="214"/>
      <c r="L1546" s="214"/>
      <c r="M1546" s="214"/>
      <c r="N1546" s="214"/>
      <c r="O1546" s="214"/>
      <c r="P1546" s="214"/>
      <c r="Q1546" s="214"/>
      <c r="R1546" s="214"/>
      <c r="S1546" s="214"/>
      <c r="T1546" s="214"/>
      <c r="U1546" s="214"/>
      <c r="V1546" s="214"/>
      <c r="W1546" s="214"/>
      <c r="X1546" s="214"/>
      <c r="Y1546" s="214"/>
      <c r="Z1546" s="214"/>
      <c r="AA1546" s="214"/>
      <c r="AB1546" s="214"/>
      <c r="AC1546" s="214"/>
    </row>
    <row r="1547">
      <c r="A1547" s="242" t="s">
        <v>1035</v>
      </c>
      <c r="B1547" s="439" t="s">
        <v>1036</v>
      </c>
      <c r="C1547" s="416">
        <f t="shared" si="2"/>
        <v>0</v>
      </c>
      <c r="D1547" s="705" t="s">
        <v>1034</v>
      </c>
      <c r="E1547" s="570"/>
      <c r="F1547" s="570"/>
      <c r="G1547" s="570"/>
      <c r="H1547" s="570"/>
      <c r="I1547" s="706"/>
      <c r="J1547" s="214"/>
      <c r="K1547" s="214"/>
      <c r="L1547" s="214"/>
      <c r="M1547" s="214"/>
      <c r="N1547" s="214"/>
      <c r="O1547" s="214"/>
      <c r="P1547" s="214"/>
      <c r="Q1547" s="214"/>
      <c r="R1547" s="214"/>
      <c r="S1547" s="214"/>
      <c r="T1547" s="214"/>
      <c r="U1547" s="214"/>
      <c r="V1547" s="214"/>
      <c r="W1547" s="214"/>
      <c r="X1547" s="214"/>
      <c r="Y1547" s="214"/>
      <c r="Z1547" s="214"/>
      <c r="AA1547" s="214"/>
      <c r="AB1547" s="214"/>
      <c r="AC1547" s="214"/>
    </row>
    <row r="1548">
      <c r="A1548" s="242" t="s">
        <v>1037</v>
      </c>
      <c r="B1548" s="439" t="s">
        <v>1038</v>
      </c>
      <c r="C1548" s="416">
        <f t="shared" si="2"/>
        <v>0</v>
      </c>
      <c r="D1548" s="705" t="s">
        <v>1034</v>
      </c>
      <c r="E1548" s="570"/>
      <c r="F1548" s="570"/>
      <c r="G1548" s="570"/>
      <c r="H1548" s="570"/>
      <c r="I1548" s="706"/>
      <c r="J1548" s="214"/>
      <c r="K1548" s="214"/>
      <c r="L1548" s="214"/>
      <c r="M1548" s="214"/>
      <c r="N1548" s="214"/>
      <c r="O1548" s="214"/>
      <c r="P1548" s="214"/>
      <c r="Q1548" s="214"/>
      <c r="R1548" s="214"/>
      <c r="S1548" s="214"/>
      <c r="T1548" s="214"/>
      <c r="U1548" s="214"/>
      <c r="V1548" s="214"/>
      <c r="W1548" s="214"/>
      <c r="X1548" s="214"/>
      <c r="Y1548" s="214"/>
      <c r="Z1548" s="214"/>
      <c r="AA1548" s="214"/>
      <c r="AB1548" s="214"/>
      <c r="AC1548" s="214"/>
    </row>
    <row r="1549">
      <c r="A1549" s="683" t="s">
        <v>1039</v>
      </c>
      <c r="B1549" s="674" t="s">
        <v>668</v>
      </c>
      <c r="C1549" s="663">
        <f t="shared" si="2"/>
        <v>0</v>
      </c>
      <c r="D1549" s="697" t="s">
        <v>1034</v>
      </c>
      <c r="E1549" s="698"/>
      <c r="F1549" s="698"/>
      <c r="G1549" s="698"/>
      <c r="H1549" s="698"/>
      <c r="I1549" s="699"/>
      <c r="J1549" s="214"/>
      <c r="K1549" s="214"/>
      <c r="L1549" s="214"/>
      <c r="M1549" s="214"/>
      <c r="N1549" s="214"/>
      <c r="O1549" s="214"/>
      <c r="P1549" s="214"/>
      <c r="Q1549" s="214"/>
      <c r="R1549" s="214"/>
      <c r="S1549" s="214"/>
      <c r="T1549" s="214"/>
      <c r="U1549" s="214"/>
      <c r="V1549" s="214"/>
      <c r="W1549" s="214"/>
      <c r="X1549" s="214"/>
      <c r="Y1549" s="214"/>
      <c r="Z1549" s="214"/>
      <c r="AA1549" s="214"/>
      <c r="AB1549" s="214"/>
      <c r="AC1549" s="214"/>
    </row>
    <row r="1550">
      <c r="A1550" s="408" t="s">
        <v>1040</v>
      </c>
      <c r="B1550" s="643" t="s">
        <v>1041</v>
      </c>
      <c r="C1550" s="532">
        <f t="shared" si="2"/>
        <v>0</v>
      </c>
      <c r="D1550" s="700" t="s">
        <v>1034</v>
      </c>
      <c r="I1550" s="368"/>
      <c r="J1550" s="214"/>
      <c r="K1550" s="214"/>
      <c r="L1550" s="214"/>
      <c r="M1550" s="214"/>
      <c r="N1550" s="214"/>
      <c r="O1550" s="214"/>
      <c r="P1550" s="214"/>
      <c r="Q1550" s="214"/>
      <c r="R1550" s="214"/>
      <c r="S1550" s="214"/>
      <c r="T1550" s="214"/>
      <c r="U1550" s="214"/>
      <c r="V1550" s="214"/>
      <c r="W1550" s="214"/>
      <c r="X1550" s="214"/>
      <c r="Y1550" s="214"/>
      <c r="Z1550" s="214"/>
      <c r="AA1550" s="214"/>
      <c r="AB1550" s="214"/>
      <c r="AC1550" s="214"/>
    </row>
    <row r="1551">
      <c r="A1551" s="609" t="s">
        <v>1042</v>
      </c>
      <c r="B1551" s="707" t="s">
        <v>672</v>
      </c>
      <c r="C1551" s="663">
        <f t="shared" si="2"/>
        <v>0</v>
      </c>
      <c r="D1551" s="697" t="s">
        <v>1043</v>
      </c>
      <c r="E1551" s="698"/>
      <c r="F1551" s="698"/>
      <c r="G1551" s="698"/>
      <c r="H1551" s="698"/>
      <c r="I1551" s="699"/>
      <c r="J1551" s="214"/>
      <c r="K1551" s="214"/>
      <c r="L1551" s="214"/>
      <c r="M1551" s="214"/>
      <c r="N1551" s="214"/>
      <c r="O1551" s="214"/>
      <c r="P1551" s="214"/>
      <c r="Q1551" s="214"/>
      <c r="R1551" s="214"/>
      <c r="S1551" s="214"/>
      <c r="T1551" s="214"/>
      <c r="U1551" s="214"/>
      <c r="V1551" s="214"/>
      <c r="W1551" s="214"/>
      <c r="X1551" s="214"/>
      <c r="Y1551" s="214"/>
      <c r="Z1551" s="214"/>
      <c r="AA1551" s="214"/>
      <c r="AB1551" s="214"/>
      <c r="AC1551" s="214"/>
    </row>
    <row r="1552">
      <c r="A1552" s="609" t="s">
        <v>1044</v>
      </c>
      <c r="B1552" s="707" t="s">
        <v>1045</v>
      </c>
      <c r="C1552" s="663">
        <f t="shared" si="2"/>
        <v>0</v>
      </c>
      <c r="D1552" s="697" t="s">
        <v>1034</v>
      </c>
      <c r="E1552" s="698"/>
      <c r="F1552" s="698"/>
      <c r="G1552" s="698"/>
      <c r="H1552" s="698"/>
      <c r="I1552" s="699"/>
      <c r="J1552" s="214"/>
      <c r="K1552" s="214"/>
      <c r="L1552" s="214"/>
      <c r="M1552" s="214"/>
      <c r="N1552" s="214"/>
      <c r="O1552" s="214"/>
      <c r="P1552" s="214"/>
      <c r="Q1552" s="214"/>
      <c r="R1552" s="214"/>
      <c r="S1552" s="214"/>
      <c r="T1552" s="214"/>
      <c r="U1552" s="214"/>
      <c r="V1552" s="214"/>
      <c r="W1552" s="214"/>
      <c r="X1552" s="214"/>
      <c r="Y1552" s="214"/>
      <c r="Z1552" s="214"/>
      <c r="AA1552" s="214"/>
      <c r="AB1552" s="214"/>
      <c r="AC1552" s="214"/>
    </row>
    <row r="1553">
      <c r="A1553" s="455" t="s">
        <v>1046</v>
      </c>
      <c r="B1553" s="708" t="s">
        <v>452</v>
      </c>
      <c r="C1553" s="416">
        <f t="shared" si="2"/>
        <v>0</v>
      </c>
      <c r="D1553" s="705" t="s">
        <v>1034</v>
      </c>
      <c r="E1553" s="570"/>
      <c r="F1553" s="570"/>
      <c r="G1553" s="570"/>
      <c r="H1553" s="570"/>
      <c r="I1553" s="706"/>
      <c r="J1553" s="214"/>
      <c r="K1553" s="214"/>
      <c r="L1553" s="214"/>
      <c r="M1553" s="214"/>
      <c r="N1553" s="214"/>
      <c r="O1553" s="214"/>
      <c r="P1553" s="214"/>
      <c r="Q1553" s="214"/>
      <c r="R1553" s="214"/>
      <c r="S1553" s="214"/>
      <c r="T1553" s="214"/>
      <c r="U1553" s="214"/>
      <c r="V1553" s="214"/>
      <c r="W1553" s="214"/>
      <c r="X1553" s="214"/>
      <c r="Y1553" s="214"/>
      <c r="Z1553" s="214"/>
      <c r="AA1553" s="214"/>
      <c r="AB1553" s="214"/>
      <c r="AC1553" s="214"/>
    </row>
    <row r="1554">
      <c r="A1554" s="242" t="s">
        <v>1047</v>
      </c>
      <c r="B1554" s="439" t="s">
        <v>1048</v>
      </c>
      <c r="C1554" s="416">
        <f t="shared" si="2"/>
        <v>0</v>
      </c>
      <c r="D1554" s="705" t="s">
        <v>1034</v>
      </c>
      <c r="E1554" s="570"/>
      <c r="F1554" s="570"/>
      <c r="G1554" s="570"/>
      <c r="H1554" s="570"/>
      <c r="I1554" s="706"/>
      <c r="J1554" s="214"/>
      <c r="K1554" s="214"/>
      <c r="L1554" s="214"/>
      <c r="M1554" s="214"/>
      <c r="N1554" s="214"/>
      <c r="O1554" s="214"/>
      <c r="P1554" s="214"/>
      <c r="Q1554" s="214"/>
      <c r="R1554" s="214"/>
      <c r="S1554" s="214"/>
      <c r="T1554" s="214"/>
      <c r="U1554" s="214"/>
      <c r="V1554" s="214"/>
      <c r="W1554" s="214"/>
      <c r="X1554" s="214"/>
      <c r="Y1554" s="214"/>
      <c r="Z1554" s="214"/>
      <c r="AA1554" s="214"/>
      <c r="AB1554" s="214"/>
      <c r="AC1554" s="214"/>
    </row>
    <row r="1555">
      <c r="A1555" s="242" t="s">
        <v>1049</v>
      </c>
      <c r="B1555" s="661" t="s">
        <v>712</v>
      </c>
      <c r="C1555" s="416">
        <f t="shared" si="2"/>
        <v>0</v>
      </c>
      <c r="D1555" s="705" t="s">
        <v>1034</v>
      </c>
      <c r="E1555" s="570"/>
      <c r="F1555" s="570"/>
      <c r="G1555" s="570"/>
      <c r="H1555" s="570"/>
      <c r="I1555" s="706"/>
      <c r="J1555" s="214"/>
      <c r="K1555" s="214"/>
      <c r="L1555" s="214"/>
      <c r="M1555" s="214"/>
      <c r="N1555" s="214"/>
      <c r="O1555" s="214"/>
      <c r="P1555" s="214"/>
      <c r="Q1555" s="214"/>
      <c r="R1555" s="214"/>
      <c r="S1555" s="214"/>
      <c r="T1555" s="214"/>
      <c r="U1555" s="214"/>
      <c r="V1555" s="214"/>
      <c r="W1555" s="214"/>
      <c r="X1555" s="214"/>
      <c r="Y1555" s="214"/>
      <c r="Z1555" s="214"/>
      <c r="AA1555" s="214"/>
      <c r="AB1555" s="214"/>
      <c r="AC1555" s="214"/>
    </row>
    <row r="1556">
      <c r="A1556" s="683" t="s">
        <v>1050</v>
      </c>
      <c r="B1556" s="674" t="s">
        <v>1051</v>
      </c>
      <c r="C1556" s="663">
        <f t="shared" si="2"/>
        <v>0</v>
      </c>
      <c r="D1556" s="697" t="s">
        <v>1034</v>
      </c>
      <c r="E1556" s="698"/>
      <c r="F1556" s="698"/>
      <c r="G1556" s="698"/>
      <c r="H1556" s="698"/>
      <c r="I1556" s="699"/>
      <c r="J1556" s="214"/>
      <c r="K1556" s="214"/>
      <c r="L1556" s="214"/>
      <c r="M1556" s="214"/>
      <c r="N1556" s="214"/>
      <c r="O1556" s="214"/>
      <c r="P1556" s="214"/>
      <c r="Q1556" s="214"/>
      <c r="R1556" s="214"/>
      <c r="S1556" s="214"/>
      <c r="T1556" s="214"/>
      <c r="U1556" s="214"/>
      <c r="V1556" s="214"/>
      <c r="W1556" s="214"/>
      <c r="X1556" s="214"/>
      <c r="Y1556" s="214"/>
      <c r="Z1556" s="214"/>
      <c r="AA1556" s="214"/>
      <c r="AB1556" s="214"/>
      <c r="AC1556" s="214"/>
    </row>
    <row r="1557">
      <c r="A1557" s="409" t="s">
        <v>1052</v>
      </c>
      <c r="B1557" s="643" t="s">
        <v>691</v>
      </c>
      <c r="C1557" s="532">
        <f t="shared" si="2"/>
        <v>0</v>
      </c>
      <c r="D1557" s="700" t="s">
        <v>1034</v>
      </c>
      <c r="I1557" s="368"/>
      <c r="J1557" s="214"/>
      <c r="K1557" s="214"/>
      <c r="L1557" s="214"/>
      <c r="M1557" s="214"/>
      <c r="N1557" s="214"/>
      <c r="O1557" s="214"/>
      <c r="P1557" s="214"/>
      <c r="Q1557" s="214"/>
      <c r="R1557" s="214"/>
      <c r="S1557" s="214"/>
      <c r="T1557" s="214"/>
      <c r="U1557" s="214"/>
      <c r="V1557" s="214"/>
      <c r="W1557" s="214"/>
      <c r="X1557" s="214"/>
      <c r="Y1557" s="214"/>
      <c r="Z1557" s="214"/>
      <c r="AA1557" s="214"/>
      <c r="AB1557" s="214"/>
      <c r="AC1557" s="214"/>
    </row>
    <row r="1558">
      <c r="A1558" s="242" t="s">
        <v>1053</v>
      </c>
      <c r="B1558" s="439" t="s">
        <v>1054</v>
      </c>
      <c r="C1558" s="416">
        <f t="shared" si="2"/>
        <v>0</v>
      </c>
      <c r="D1558" s="705" t="s">
        <v>1034</v>
      </c>
      <c r="E1558" s="570"/>
      <c r="F1558" s="570"/>
      <c r="G1558" s="570"/>
      <c r="H1558" s="570"/>
      <c r="I1558" s="706"/>
      <c r="J1558" s="214"/>
      <c r="K1558" s="214"/>
      <c r="L1558" s="214"/>
      <c r="M1558" s="214"/>
      <c r="N1558" s="214"/>
      <c r="O1558" s="214"/>
      <c r="P1558" s="214"/>
      <c r="Q1558" s="214"/>
      <c r="R1558" s="214"/>
      <c r="S1558" s="214"/>
      <c r="T1558" s="214"/>
      <c r="U1558" s="214"/>
      <c r="V1558" s="214"/>
      <c r="W1558" s="214"/>
      <c r="X1558" s="214"/>
      <c r="Y1558" s="214"/>
      <c r="Z1558" s="214"/>
      <c r="AA1558" s="214"/>
      <c r="AB1558" s="214"/>
      <c r="AC1558" s="214"/>
    </row>
    <row r="1559">
      <c r="A1559" s="242" t="s">
        <v>1055</v>
      </c>
      <c r="B1559" s="439" t="s">
        <v>1056</v>
      </c>
      <c r="C1559" s="416">
        <f t="shared" si="2"/>
        <v>0</v>
      </c>
      <c r="D1559" s="705" t="s">
        <v>1034</v>
      </c>
      <c r="E1559" s="570"/>
      <c r="F1559" s="570"/>
      <c r="G1559" s="570"/>
      <c r="H1559" s="570"/>
      <c r="I1559" s="706"/>
      <c r="J1559" s="214"/>
      <c r="K1559" s="214"/>
      <c r="L1559" s="214"/>
      <c r="M1559" s="214"/>
      <c r="N1559" s="214"/>
      <c r="O1559" s="214"/>
      <c r="P1559" s="214"/>
      <c r="Q1559" s="214"/>
      <c r="R1559" s="214"/>
      <c r="S1559" s="214"/>
      <c r="T1559" s="214"/>
      <c r="U1559" s="214"/>
      <c r="V1559" s="214"/>
      <c r="W1559" s="214"/>
      <c r="X1559" s="214"/>
      <c r="Y1559" s="214"/>
      <c r="Z1559" s="214"/>
      <c r="AA1559" s="214"/>
      <c r="AB1559" s="214"/>
      <c r="AC1559" s="214"/>
    </row>
    <row r="1560">
      <c r="A1560" s="683" t="s">
        <v>1057</v>
      </c>
      <c r="B1560" s="439" t="s">
        <v>1058</v>
      </c>
      <c r="C1560" s="663">
        <f t="shared" si="2"/>
        <v>0</v>
      </c>
      <c r="D1560" s="705" t="s">
        <v>1034</v>
      </c>
      <c r="E1560" s="570"/>
      <c r="F1560" s="570"/>
      <c r="G1560" s="570"/>
      <c r="H1560" s="570"/>
      <c r="I1560" s="706"/>
      <c r="J1560" s="214"/>
      <c r="K1560" s="214"/>
      <c r="L1560" s="214"/>
      <c r="M1560" s="214"/>
      <c r="N1560" s="214"/>
      <c r="O1560" s="214"/>
      <c r="P1560" s="214"/>
      <c r="Q1560" s="214"/>
      <c r="R1560" s="214"/>
      <c r="S1560" s="214"/>
      <c r="T1560" s="214"/>
      <c r="U1560" s="214"/>
      <c r="V1560" s="214"/>
      <c r="W1560" s="214"/>
      <c r="X1560" s="214"/>
      <c r="Y1560" s="214"/>
      <c r="Z1560" s="214"/>
      <c r="AA1560" s="214"/>
      <c r="AB1560" s="214"/>
      <c r="AC1560" s="214"/>
    </row>
    <row r="1561">
      <c r="A1561" s="242" t="s">
        <v>1059</v>
      </c>
      <c r="B1561" s="674" t="s">
        <v>1060</v>
      </c>
      <c r="C1561" s="532">
        <f t="shared" si="2"/>
        <v>0</v>
      </c>
      <c r="D1561" s="705" t="s">
        <v>1034</v>
      </c>
      <c r="E1561" s="570"/>
      <c r="F1561" s="570"/>
      <c r="G1561" s="570"/>
      <c r="H1561" s="570"/>
      <c r="I1561" s="706"/>
      <c r="J1561" s="214"/>
      <c r="K1561" s="214"/>
      <c r="L1561" s="214"/>
      <c r="M1561" s="214"/>
      <c r="N1561" s="214"/>
      <c r="O1561" s="214"/>
      <c r="P1561" s="214"/>
      <c r="Q1561" s="214"/>
      <c r="R1561" s="214"/>
      <c r="S1561" s="214"/>
      <c r="T1561" s="214"/>
      <c r="U1561" s="214"/>
      <c r="V1561" s="214"/>
      <c r="W1561" s="214"/>
      <c r="X1561" s="214"/>
      <c r="Y1561" s="214"/>
      <c r="Z1561" s="214"/>
      <c r="AA1561" s="214"/>
      <c r="AB1561" s="214"/>
      <c r="AC1561" s="214"/>
    </row>
    <row r="1562">
      <c r="A1562" s="242" t="s">
        <v>1061</v>
      </c>
      <c r="B1562" s="643" t="s">
        <v>1062</v>
      </c>
      <c r="C1562" s="416">
        <f t="shared" si="2"/>
        <v>0</v>
      </c>
      <c r="D1562" s="705" t="s">
        <v>1034</v>
      </c>
      <c r="E1562" s="570"/>
      <c r="F1562" s="570"/>
      <c r="G1562" s="570"/>
      <c r="H1562" s="570"/>
      <c r="I1562" s="706"/>
      <c r="J1562" s="214"/>
      <c r="K1562" s="214"/>
      <c r="L1562" s="214"/>
      <c r="M1562" s="214"/>
      <c r="N1562" s="214"/>
      <c r="O1562" s="214"/>
      <c r="P1562" s="214"/>
      <c r="Q1562" s="214"/>
      <c r="R1562" s="214"/>
      <c r="S1562" s="214"/>
      <c r="T1562" s="214"/>
      <c r="U1562" s="214"/>
      <c r="V1562" s="214"/>
      <c r="W1562" s="214"/>
      <c r="X1562" s="214"/>
      <c r="Y1562" s="214"/>
      <c r="Z1562" s="214"/>
      <c r="AA1562" s="214"/>
      <c r="AB1562" s="214"/>
      <c r="AC1562" s="214"/>
    </row>
    <row r="1563">
      <c r="A1563" s="242" t="s">
        <v>1063</v>
      </c>
      <c r="B1563" s="439" t="s">
        <v>1064</v>
      </c>
      <c r="C1563" s="416">
        <f t="shared" si="2"/>
        <v>0</v>
      </c>
      <c r="D1563" s="705" t="s">
        <v>1034</v>
      </c>
      <c r="E1563" s="570"/>
      <c r="F1563" s="570"/>
      <c r="G1563" s="570"/>
      <c r="H1563" s="570"/>
      <c r="I1563" s="706"/>
      <c r="J1563" s="214"/>
      <c r="K1563" s="214"/>
      <c r="L1563" s="214"/>
      <c r="M1563" s="214"/>
      <c r="N1563" s="214"/>
      <c r="O1563" s="214"/>
      <c r="P1563" s="214"/>
      <c r="Q1563" s="214"/>
      <c r="R1563" s="214"/>
      <c r="S1563" s="214"/>
      <c r="T1563" s="214"/>
      <c r="U1563" s="214"/>
      <c r="V1563" s="214"/>
      <c r="W1563" s="214"/>
      <c r="X1563" s="214"/>
      <c r="Y1563" s="214"/>
      <c r="Z1563" s="214"/>
      <c r="AA1563" s="214"/>
      <c r="AB1563" s="214"/>
      <c r="AC1563" s="214"/>
    </row>
    <row r="1564">
      <c r="A1564" s="242" t="s">
        <v>1065</v>
      </c>
      <c r="B1564" s="439" t="s">
        <v>399</v>
      </c>
      <c r="C1564" s="416">
        <f t="shared" si="2"/>
        <v>0</v>
      </c>
      <c r="D1564" s="705" t="s">
        <v>1034</v>
      </c>
      <c r="E1564" s="570"/>
      <c r="F1564" s="570"/>
      <c r="G1564" s="570"/>
      <c r="H1564" s="570"/>
      <c r="I1564" s="706"/>
      <c r="J1564" s="214"/>
      <c r="K1564" s="214"/>
      <c r="L1564" s="214"/>
      <c r="M1564" s="214"/>
      <c r="N1564" s="214"/>
      <c r="O1564" s="214"/>
      <c r="P1564" s="214"/>
      <c r="Q1564" s="214"/>
      <c r="R1564" s="214"/>
      <c r="S1564" s="214"/>
      <c r="T1564" s="214"/>
      <c r="U1564" s="214"/>
      <c r="V1564" s="214"/>
      <c r="W1564" s="214"/>
      <c r="X1564" s="214"/>
      <c r="Y1564" s="214"/>
      <c r="Z1564" s="214"/>
      <c r="AA1564" s="214"/>
      <c r="AB1564" s="214"/>
      <c r="AC1564" s="214"/>
    </row>
    <row r="1565">
      <c r="A1565" s="683" t="s">
        <v>1066</v>
      </c>
      <c r="B1565" s="674" t="s">
        <v>1067</v>
      </c>
      <c r="C1565" s="663">
        <f t="shared" si="2"/>
        <v>0</v>
      </c>
      <c r="D1565" s="697" t="s">
        <v>1034</v>
      </c>
      <c r="E1565" s="698"/>
      <c r="F1565" s="698"/>
      <c r="G1565" s="698"/>
      <c r="H1565" s="698"/>
      <c r="I1565" s="699"/>
      <c r="J1565" s="214"/>
      <c r="K1565" s="214"/>
      <c r="L1565" s="214"/>
      <c r="M1565" s="214"/>
      <c r="N1565" s="214"/>
      <c r="O1565" s="214"/>
      <c r="P1565" s="214"/>
      <c r="Q1565" s="214"/>
      <c r="R1565" s="214"/>
      <c r="S1565" s="214"/>
      <c r="T1565" s="214"/>
      <c r="U1565" s="214"/>
      <c r="V1565" s="214"/>
      <c r="W1565" s="214"/>
      <c r="X1565" s="214"/>
      <c r="Y1565" s="214"/>
      <c r="Z1565" s="214"/>
      <c r="AA1565" s="214"/>
      <c r="AB1565" s="214"/>
      <c r="AC1565" s="214"/>
    </row>
    <row r="1566">
      <c r="A1566" s="678" t="s">
        <v>1068</v>
      </c>
      <c r="B1566" s="679" t="s">
        <v>1069</v>
      </c>
      <c r="C1566" s="663">
        <f t="shared" si="2"/>
        <v>0</v>
      </c>
      <c r="D1566" s="697" t="s">
        <v>1034</v>
      </c>
      <c r="E1566" s="698"/>
      <c r="F1566" s="698"/>
      <c r="G1566" s="698"/>
      <c r="H1566" s="698"/>
      <c r="I1566" s="699"/>
    </row>
    <row r="1567">
      <c r="A1567" s="678" t="s">
        <v>1070</v>
      </c>
      <c r="B1567" s="679" t="s">
        <v>1071</v>
      </c>
      <c r="C1567" s="663">
        <f t="shared" si="2"/>
        <v>0</v>
      </c>
      <c r="D1567" s="697" t="s">
        <v>1034</v>
      </c>
      <c r="E1567" s="698"/>
      <c r="F1567" s="698"/>
      <c r="G1567" s="698"/>
      <c r="H1567" s="698"/>
      <c r="I1567" s="699"/>
    </row>
    <row r="1568">
      <c r="A1568" s="709"/>
      <c r="B1568" s="710"/>
      <c r="C1568" s="711"/>
      <c r="D1568" s="712"/>
      <c r="E1568" s="712"/>
      <c r="F1568" s="713"/>
      <c r="G1568" s="714"/>
      <c r="H1568" s="715"/>
      <c r="I1568" s="716"/>
    </row>
    <row r="1569">
      <c r="A1569" s="709"/>
      <c r="B1569" s="710"/>
      <c r="C1569" s="711"/>
      <c r="D1569" s="712"/>
      <c r="E1569" s="712"/>
      <c r="F1569" s="713"/>
      <c r="G1569" s="714"/>
      <c r="H1569" s="715"/>
      <c r="I1569" s="716"/>
    </row>
    <row r="1570">
      <c r="A1570" s="709"/>
      <c r="B1570" s="710"/>
      <c r="C1570" s="711"/>
      <c r="D1570" s="712"/>
      <c r="E1570" s="712"/>
      <c r="F1570" s="713"/>
      <c r="G1570" s="714"/>
      <c r="H1570" s="715"/>
      <c r="I1570" s="716"/>
    </row>
    <row r="1571">
      <c r="A1571" s="709"/>
      <c r="B1571" s="710"/>
      <c r="C1571" s="711"/>
      <c r="D1571" s="712"/>
      <c r="E1571" s="712"/>
      <c r="F1571" s="713"/>
      <c r="G1571" s="714"/>
      <c r="H1571" s="715"/>
      <c r="I1571" s="716"/>
    </row>
    <row r="1572">
      <c r="A1572" s="709"/>
      <c r="B1572" s="710"/>
      <c r="C1572" s="711"/>
      <c r="D1572" s="712"/>
      <c r="E1572" s="712"/>
      <c r="F1572" s="713"/>
      <c r="G1572" s="714"/>
      <c r="H1572" s="715"/>
      <c r="I1572" s="716"/>
    </row>
    <row r="1573">
      <c r="A1573" s="709"/>
      <c r="B1573" s="710"/>
      <c r="C1573" s="711"/>
      <c r="D1573" s="712"/>
      <c r="E1573" s="712"/>
      <c r="F1573" s="713"/>
      <c r="G1573" s="714"/>
      <c r="H1573" s="715"/>
      <c r="I1573" s="716"/>
    </row>
    <row r="1574">
      <c r="A1574" s="709"/>
      <c r="B1574" s="710"/>
      <c r="C1574" s="711"/>
      <c r="D1574" s="712"/>
      <c r="E1574" s="712"/>
      <c r="F1574" s="713"/>
      <c r="G1574" s="714"/>
      <c r="H1574" s="715"/>
      <c r="I1574" s="716"/>
    </row>
    <row r="1575">
      <c r="A1575" s="709"/>
      <c r="B1575" s="710"/>
      <c r="C1575" s="711"/>
      <c r="D1575" s="712"/>
      <c r="E1575" s="712"/>
      <c r="F1575" s="713"/>
      <c r="G1575" s="714"/>
      <c r="H1575" s="715"/>
      <c r="I1575" s="716"/>
    </row>
    <row r="1576">
      <c r="A1576" s="709"/>
      <c r="B1576" s="710"/>
      <c r="C1576" s="711"/>
      <c r="D1576" s="712"/>
      <c r="E1576" s="712"/>
      <c r="F1576" s="713"/>
      <c r="G1576" s="714"/>
      <c r="H1576" s="715"/>
      <c r="I1576" s="716"/>
    </row>
    <row r="1577">
      <c r="A1577" s="709"/>
      <c r="B1577" s="710"/>
      <c r="C1577" s="711"/>
      <c r="D1577" s="712"/>
      <c r="E1577" s="712"/>
      <c r="F1577" s="713"/>
      <c r="G1577" s="714"/>
      <c r="H1577" s="715"/>
      <c r="I1577" s="716"/>
    </row>
    <row r="1578">
      <c r="A1578" s="709"/>
      <c r="B1578" s="710"/>
      <c r="C1578" s="711"/>
      <c r="D1578" s="712"/>
      <c r="E1578" s="712"/>
      <c r="F1578" s="713"/>
      <c r="G1578" s="714"/>
      <c r="H1578" s="715"/>
      <c r="I1578" s="716"/>
    </row>
    <row r="1579">
      <c r="A1579" s="709"/>
      <c r="B1579" s="710"/>
      <c r="C1579" s="711"/>
      <c r="D1579" s="712"/>
      <c r="E1579" s="712"/>
      <c r="F1579" s="713"/>
      <c r="G1579" s="714"/>
      <c r="H1579" s="715"/>
      <c r="I1579" s="716"/>
    </row>
    <row r="1580">
      <c r="A1580" s="709"/>
      <c r="B1580" s="710"/>
      <c r="C1580" s="711"/>
      <c r="D1580" s="712"/>
      <c r="E1580" s="712"/>
      <c r="F1580" s="713"/>
      <c r="G1580" s="714"/>
      <c r="H1580" s="715"/>
      <c r="I1580" s="716"/>
    </row>
    <row r="1581">
      <c r="A1581" s="709"/>
      <c r="B1581" s="710"/>
      <c r="C1581" s="711"/>
      <c r="D1581" s="712"/>
      <c r="E1581" s="712"/>
      <c r="F1581" s="713"/>
      <c r="G1581" s="714"/>
      <c r="H1581" s="715"/>
      <c r="I1581" s="716"/>
    </row>
    <row r="1582">
      <c r="A1582" s="709"/>
      <c r="B1582" s="710"/>
      <c r="C1582" s="711"/>
      <c r="D1582" s="712"/>
      <c r="E1582" s="712"/>
      <c r="F1582" s="713"/>
      <c r="G1582" s="714"/>
      <c r="H1582" s="715"/>
      <c r="I1582" s="716"/>
    </row>
    <row r="1583">
      <c r="A1583" s="709"/>
      <c r="B1583" s="710"/>
      <c r="C1583" s="711"/>
      <c r="D1583" s="712"/>
      <c r="E1583" s="712"/>
      <c r="F1583" s="713"/>
      <c r="G1583" s="714"/>
      <c r="H1583" s="715"/>
      <c r="I1583" s="716"/>
    </row>
    <row r="1584">
      <c r="A1584" s="709"/>
      <c r="B1584" s="710"/>
      <c r="C1584" s="711"/>
      <c r="D1584" s="712"/>
      <c r="E1584" s="712"/>
      <c r="F1584" s="713"/>
      <c r="G1584" s="714"/>
      <c r="H1584" s="715"/>
      <c r="I1584" s="716"/>
    </row>
    <row r="1585">
      <c r="A1585" s="709"/>
      <c r="B1585" s="710"/>
      <c r="C1585" s="711"/>
      <c r="D1585" s="712"/>
      <c r="E1585" s="712"/>
      <c r="F1585" s="713"/>
      <c r="G1585" s="714"/>
      <c r="H1585" s="715"/>
      <c r="I1585" s="716"/>
    </row>
    <row r="1586">
      <c r="A1586" s="709"/>
      <c r="B1586" s="710"/>
      <c r="C1586" s="711"/>
      <c r="D1586" s="712"/>
      <c r="E1586" s="712"/>
      <c r="F1586" s="713"/>
      <c r="G1586" s="714"/>
      <c r="H1586" s="715"/>
      <c r="I1586" s="716"/>
    </row>
    <row r="1587">
      <c r="A1587" s="709"/>
      <c r="B1587" s="710"/>
      <c r="C1587" s="711"/>
      <c r="D1587" s="712"/>
      <c r="E1587" s="712"/>
      <c r="F1587" s="713"/>
      <c r="G1587" s="714"/>
      <c r="H1587" s="715"/>
      <c r="I1587" s="716"/>
    </row>
    <row r="1588">
      <c r="A1588" s="709"/>
      <c r="B1588" s="710"/>
      <c r="C1588" s="711"/>
      <c r="D1588" s="712"/>
      <c r="E1588" s="712"/>
      <c r="F1588" s="713"/>
      <c r="G1588" s="714"/>
      <c r="H1588" s="715"/>
      <c r="I1588" s="716"/>
    </row>
    <row r="1589">
      <c r="A1589" s="709"/>
      <c r="B1589" s="710"/>
      <c r="C1589" s="711"/>
      <c r="D1589" s="712"/>
      <c r="E1589" s="712"/>
      <c r="F1589" s="713"/>
      <c r="G1589" s="714"/>
      <c r="H1589" s="715"/>
      <c r="I1589" s="716"/>
    </row>
    <row r="1590">
      <c r="A1590" s="709"/>
      <c r="B1590" s="710"/>
      <c r="C1590" s="711"/>
      <c r="D1590" s="712"/>
      <c r="E1590" s="712"/>
      <c r="F1590" s="713"/>
      <c r="G1590" s="714"/>
      <c r="H1590" s="715"/>
      <c r="I1590" s="716"/>
    </row>
    <row r="1591">
      <c r="A1591" s="709"/>
      <c r="B1591" s="710"/>
      <c r="C1591" s="711"/>
      <c r="D1591" s="712"/>
      <c r="E1591" s="712"/>
      <c r="F1591" s="713"/>
      <c r="G1591" s="714"/>
      <c r="H1591" s="715"/>
      <c r="I1591" s="716"/>
    </row>
    <row r="1592">
      <c r="A1592" s="709"/>
      <c r="B1592" s="710"/>
      <c r="C1592" s="711"/>
      <c r="D1592" s="712"/>
      <c r="E1592" s="712"/>
      <c r="F1592" s="713"/>
      <c r="G1592" s="714"/>
      <c r="H1592" s="715"/>
      <c r="I1592" s="716"/>
    </row>
    <row r="1593">
      <c r="A1593" s="709"/>
      <c r="B1593" s="710"/>
      <c r="C1593" s="711"/>
      <c r="D1593" s="712"/>
      <c r="E1593" s="712"/>
      <c r="F1593" s="713"/>
      <c r="G1593" s="714"/>
      <c r="H1593" s="715"/>
      <c r="I1593" s="716"/>
    </row>
    <row r="1594">
      <c r="A1594" s="709"/>
      <c r="B1594" s="710"/>
      <c r="C1594" s="711"/>
      <c r="D1594" s="712"/>
      <c r="E1594" s="712"/>
      <c r="F1594" s="713"/>
      <c r="G1594" s="714"/>
      <c r="H1594" s="715"/>
      <c r="I1594" s="716"/>
    </row>
    <row r="1595">
      <c r="A1595" s="709"/>
      <c r="B1595" s="710"/>
      <c r="C1595" s="711"/>
      <c r="D1595" s="712"/>
      <c r="E1595" s="712"/>
      <c r="F1595" s="713"/>
      <c r="G1595" s="714"/>
      <c r="H1595" s="715"/>
      <c r="I1595" s="716"/>
    </row>
    <row r="1596">
      <c r="A1596" s="709"/>
      <c r="B1596" s="710"/>
      <c r="C1596" s="711"/>
      <c r="D1596" s="712"/>
      <c r="E1596" s="712"/>
      <c r="F1596" s="713"/>
      <c r="G1596" s="714"/>
      <c r="H1596" s="715"/>
      <c r="I1596" s="716"/>
    </row>
    <row r="1597">
      <c r="A1597" s="709"/>
      <c r="B1597" s="710"/>
      <c r="C1597" s="711"/>
      <c r="D1597" s="712"/>
      <c r="E1597" s="712"/>
      <c r="F1597" s="713"/>
      <c r="G1597" s="714"/>
      <c r="H1597" s="715"/>
      <c r="I1597" s="716"/>
    </row>
    <row r="1598">
      <c r="A1598" s="709"/>
      <c r="B1598" s="710"/>
      <c r="C1598" s="711"/>
      <c r="D1598" s="712"/>
      <c r="E1598" s="712"/>
      <c r="F1598" s="713"/>
      <c r="G1598" s="714"/>
      <c r="H1598" s="715"/>
      <c r="I1598" s="716"/>
    </row>
    <row r="1599">
      <c r="A1599" s="709"/>
      <c r="B1599" s="710"/>
      <c r="C1599" s="711"/>
      <c r="D1599" s="712"/>
      <c r="E1599" s="712"/>
      <c r="F1599" s="713"/>
      <c r="G1599" s="714"/>
      <c r="H1599" s="715"/>
      <c r="I1599" s="716"/>
    </row>
    <row r="1600">
      <c r="A1600" s="709"/>
      <c r="B1600" s="710"/>
      <c r="C1600" s="711"/>
      <c r="D1600" s="712"/>
      <c r="E1600" s="712"/>
      <c r="F1600" s="713"/>
      <c r="G1600" s="714"/>
      <c r="H1600" s="715"/>
      <c r="I1600" s="716"/>
    </row>
    <row r="1601">
      <c r="A1601" s="709"/>
      <c r="B1601" s="710"/>
      <c r="C1601" s="711"/>
      <c r="D1601" s="712"/>
      <c r="E1601" s="712"/>
      <c r="F1601" s="713"/>
      <c r="G1601" s="714"/>
      <c r="H1601" s="715"/>
      <c r="I1601" s="716"/>
    </row>
    <row r="1602">
      <c r="A1602" s="709"/>
      <c r="B1602" s="710"/>
      <c r="C1602" s="711"/>
      <c r="D1602" s="712"/>
      <c r="E1602" s="712"/>
      <c r="F1602" s="713"/>
      <c r="G1602" s="714"/>
      <c r="H1602" s="715"/>
      <c r="I1602" s="716"/>
    </row>
    <row r="1603">
      <c r="A1603" s="709"/>
      <c r="B1603" s="710"/>
      <c r="C1603" s="711"/>
      <c r="D1603" s="712"/>
      <c r="E1603" s="712"/>
      <c r="F1603" s="713"/>
      <c r="G1603" s="714"/>
      <c r="H1603" s="715"/>
      <c r="I1603" s="716"/>
    </row>
    <row r="1604">
      <c r="A1604" s="709"/>
      <c r="B1604" s="710"/>
      <c r="C1604" s="711"/>
      <c r="D1604" s="712"/>
      <c r="E1604" s="712"/>
      <c r="F1604" s="713"/>
      <c r="G1604" s="714"/>
      <c r="H1604" s="715"/>
      <c r="I1604" s="716"/>
    </row>
    <row r="1605">
      <c r="A1605" s="709"/>
      <c r="B1605" s="710"/>
      <c r="C1605" s="711"/>
      <c r="D1605" s="712"/>
      <c r="E1605" s="712"/>
      <c r="F1605" s="713"/>
      <c r="G1605" s="714"/>
      <c r="H1605" s="715"/>
      <c r="I1605" s="716"/>
    </row>
    <row r="1606">
      <c r="A1606" s="709"/>
      <c r="B1606" s="710"/>
      <c r="C1606" s="711"/>
      <c r="D1606" s="712"/>
      <c r="E1606" s="712"/>
      <c r="F1606" s="713"/>
      <c r="G1606" s="714"/>
      <c r="H1606" s="715"/>
      <c r="I1606" s="716"/>
    </row>
    <row r="1607">
      <c r="A1607" s="709"/>
      <c r="B1607" s="710"/>
      <c r="C1607" s="711"/>
      <c r="D1607" s="712"/>
      <c r="E1607" s="712"/>
      <c r="F1607" s="713"/>
      <c r="G1607" s="714"/>
      <c r="H1607" s="715"/>
      <c r="I1607" s="716"/>
    </row>
    <row r="1608">
      <c r="A1608" s="709"/>
      <c r="B1608" s="710"/>
      <c r="C1608" s="711"/>
      <c r="D1608" s="712"/>
      <c r="E1608" s="712"/>
      <c r="F1608" s="713"/>
      <c r="G1608" s="714"/>
      <c r="H1608" s="715"/>
      <c r="I1608" s="716"/>
    </row>
    <row r="1609">
      <c r="A1609" s="709"/>
      <c r="B1609" s="710"/>
      <c r="C1609" s="711"/>
      <c r="D1609" s="712"/>
      <c r="E1609" s="712"/>
      <c r="F1609" s="713"/>
      <c r="G1609" s="714"/>
      <c r="H1609" s="715"/>
      <c r="I1609" s="716"/>
    </row>
    <row r="1610">
      <c r="A1610" s="709"/>
      <c r="B1610" s="710"/>
      <c r="C1610" s="711"/>
      <c r="D1610" s="712"/>
      <c r="E1610" s="712"/>
      <c r="F1610" s="713"/>
      <c r="G1610" s="714"/>
      <c r="H1610" s="715"/>
      <c r="I1610" s="716"/>
    </row>
    <row r="1611">
      <c r="A1611" s="709"/>
      <c r="B1611" s="710"/>
      <c r="C1611" s="711"/>
      <c r="D1611" s="712"/>
      <c r="E1611" s="712"/>
      <c r="F1611" s="713"/>
      <c r="G1611" s="714"/>
      <c r="H1611" s="715"/>
      <c r="I1611" s="716"/>
    </row>
    <row r="1612">
      <c r="A1612" s="709"/>
      <c r="B1612" s="710"/>
      <c r="C1612" s="711"/>
      <c r="D1612" s="712"/>
      <c r="E1612" s="712"/>
      <c r="F1612" s="713"/>
      <c r="G1612" s="714"/>
      <c r="H1612" s="715"/>
      <c r="I1612" s="716"/>
    </row>
    <row r="1613">
      <c r="A1613" s="709"/>
      <c r="B1613" s="710"/>
      <c r="C1613" s="711"/>
      <c r="D1613" s="712"/>
      <c r="E1613" s="712"/>
      <c r="F1613" s="713"/>
      <c r="G1613" s="714"/>
      <c r="H1613" s="715"/>
      <c r="I1613" s="716"/>
    </row>
    <row r="1614">
      <c r="A1614" s="709"/>
      <c r="B1614" s="710"/>
      <c r="C1614" s="711"/>
      <c r="D1614" s="712"/>
      <c r="E1614" s="712"/>
      <c r="F1614" s="713"/>
      <c r="G1614" s="714"/>
      <c r="H1614" s="715"/>
      <c r="I1614" s="716"/>
    </row>
    <row r="1615">
      <c r="A1615" s="709"/>
      <c r="B1615" s="710"/>
      <c r="C1615" s="711"/>
      <c r="D1615" s="712"/>
      <c r="E1615" s="712"/>
      <c r="F1615" s="713"/>
      <c r="G1615" s="714"/>
      <c r="H1615" s="715"/>
      <c r="I1615" s="716"/>
    </row>
    <row r="1616">
      <c r="A1616" s="709"/>
      <c r="B1616" s="710"/>
      <c r="C1616" s="711"/>
      <c r="D1616" s="712"/>
      <c r="E1616" s="712"/>
      <c r="F1616" s="713"/>
      <c r="G1616" s="714"/>
      <c r="H1616" s="715"/>
      <c r="I1616" s="716"/>
    </row>
    <row r="1617">
      <c r="A1617" s="709"/>
      <c r="B1617" s="710"/>
      <c r="C1617" s="711"/>
      <c r="D1617" s="712"/>
      <c r="E1617" s="712"/>
      <c r="F1617" s="713"/>
      <c r="G1617" s="714"/>
      <c r="H1617" s="715"/>
      <c r="I1617" s="716"/>
    </row>
    <row r="1618">
      <c r="A1618" s="709"/>
      <c r="B1618" s="710"/>
      <c r="C1618" s="711"/>
      <c r="D1618" s="712"/>
      <c r="E1618" s="712"/>
      <c r="F1618" s="713"/>
      <c r="G1618" s="714"/>
      <c r="H1618" s="715"/>
      <c r="I1618" s="716"/>
    </row>
    <row r="1619">
      <c r="A1619" s="709"/>
      <c r="B1619" s="710"/>
      <c r="C1619" s="711"/>
      <c r="D1619" s="712"/>
      <c r="E1619" s="712"/>
      <c r="F1619" s="713"/>
      <c r="G1619" s="714"/>
      <c r="H1619" s="715"/>
      <c r="I1619" s="716"/>
    </row>
    <row r="1620">
      <c r="A1620" s="709"/>
      <c r="B1620" s="710"/>
      <c r="C1620" s="711"/>
      <c r="D1620" s="712"/>
      <c r="E1620" s="712"/>
      <c r="F1620" s="713"/>
      <c r="G1620" s="714"/>
      <c r="H1620" s="715"/>
      <c r="I1620" s="716"/>
    </row>
    <row r="1621">
      <c r="A1621" s="709"/>
      <c r="B1621" s="710"/>
      <c r="C1621" s="711"/>
      <c r="D1621" s="712"/>
      <c r="E1621" s="712"/>
      <c r="F1621" s="713"/>
      <c r="G1621" s="714"/>
      <c r="H1621" s="715"/>
      <c r="I1621" s="716"/>
    </row>
    <row r="1622">
      <c r="A1622" s="709"/>
      <c r="B1622" s="710"/>
      <c r="C1622" s="711"/>
      <c r="D1622" s="712"/>
      <c r="E1622" s="712"/>
      <c r="F1622" s="713"/>
      <c r="G1622" s="714"/>
      <c r="H1622" s="715"/>
      <c r="I1622" s="716"/>
    </row>
    <row r="1623">
      <c r="A1623" s="709"/>
      <c r="B1623" s="710"/>
      <c r="C1623" s="711"/>
      <c r="D1623" s="712"/>
      <c r="E1623" s="712"/>
      <c r="F1623" s="713"/>
      <c r="G1623" s="714"/>
      <c r="H1623" s="715"/>
      <c r="I1623" s="716"/>
    </row>
    <row r="1624">
      <c r="A1624" s="709"/>
      <c r="B1624" s="710"/>
      <c r="C1624" s="711"/>
      <c r="D1624" s="712"/>
      <c r="E1624" s="712"/>
      <c r="F1624" s="713"/>
      <c r="G1624" s="714"/>
      <c r="H1624" s="715"/>
      <c r="I1624" s="716"/>
    </row>
    <row r="1625">
      <c r="A1625" s="709"/>
      <c r="B1625" s="710"/>
      <c r="C1625" s="711"/>
      <c r="D1625" s="712"/>
      <c r="E1625" s="712"/>
      <c r="F1625" s="713"/>
      <c r="G1625" s="714"/>
      <c r="H1625" s="715"/>
      <c r="I1625" s="716"/>
    </row>
    <row r="1626">
      <c r="A1626" s="709"/>
      <c r="B1626" s="710"/>
      <c r="C1626" s="711"/>
      <c r="D1626" s="712"/>
      <c r="E1626" s="712"/>
      <c r="F1626" s="713"/>
      <c r="G1626" s="714"/>
      <c r="H1626" s="715"/>
      <c r="I1626" s="716"/>
    </row>
    <row r="1627">
      <c r="A1627" s="709"/>
      <c r="B1627" s="710"/>
      <c r="C1627" s="711"/>
      <c r="D1627" s="712"/>
      <c r="E1627" s="712"/>
      <c r="F1627" s="713"/>
      <c r="G1627" s="714"/>
      <c r="H1627" s="715"/>
      <c r="I1627" s="716"/>
    </row>
    <row r="1628">
      <c r="A1628" s="709"/>
      <c r="B1628" s="710"/>
      <c r="C1628" s="711"/>
      <c r="D1628" s="712"/>
      <c r="E1628" s="712"/>
      <c r="F1628" s="713"/>
      <c r="G1628" s="714"/>
      <c r="H1628" s="715"/>
      <c r="I1628" s="716"/>
    </row>
    <row r="1629">
      <c r="A1629" s="709"/>
      <c r="B1629" s="710"/>
      <c r="C1629" s="711"/>
      <c r="D1629" s="712"/>
      <c r="E1629" s="712"/>
      <c r="F1629" s="713"/>
      <c r="G1629" s="714"/>
      <c r="H1629" s="715"/>
      <c r="I1629" s="716"/>
    </row>
    <row r="1630">
      <c r="A1630" s="709"/>
      <c r="B1630" s="710"/>
      <c r="C1630" s="711"/>
      <c r="D1630" s="712"/>
      <c r="E1630" s="712"/>
      <c r="F1630" s="713"/>
      <c r="G1630" s="714"/>
      <c r="H1630" s="715"/>
      <c r="I1630" s="716"/>
    </row>
    <row r="1631">
      <c r="A1631" s="709"/>
      <c r="B1631" s="710"/>
      <c r="C1631" s="711"/>
      <c r="D1631" s="712"/>
      <c r="E1631" s="712"/>
      <c r="F1631" s="713"/>
      <c r="G1631" s="714"/>
      <c r="H1631" s="715"/>
      <c r="I1631" s="716"/>
    </row>
    <row r="1632">
      <c r="A1632" s="709"/>
      <c r="B1632" s="710"/>
      <c r="C1632" s="711"/>
      <c r="D1632" s="712"/>
      <c r="E1632" s="712"/>
      <c r="F1632" s="713"/>
      <c r="G1632" s="714"/>
      <c r="H1632" s="715"/>
      <c r="I1632" s="716"/>
    </row>
    <row r="1633">
      <c r="A1633" s="709"/>
      <c r="B1633" s="710"/>
      <c r="C1633" s="711"/>
      <c r="D1633" s="712"/>
      <c r="E1633" s="712"/>
      <c r="F1633" s="713"/>
      <c r="G1633" s="714"/>
      <c r="H1633" s="715"/>
      <c r="I1633" s="716"/>
    </row>
    <row r="1634">
      <c r="A1634" s="709"/>
      <c r="B1634" s="710"/>
      <c r="C1634" s="711"/>
      <c r="D1634" s="712"/>
      <c r="E1634" s="712"/>
      <c r="F1634" s="713"/>
      <c r="G1634" s="714"/>
      <c r="H1634" s="715"/>
      <c r="I1634" s="716"/>
    </row>
    <row r="1635">
      <c r="A1635" s="709"/>
      <c r="B1635" s="710"/>
      <c r="C1635" s="711"/>
      <c r="D1635" s="712"/>
      <c r="E1635" s="712"/>
      <c r="F1635" s="713"/>
      <c r="G1635" s="714"/>
      <c r="H1635" s="715"/>
      <c r="I1635" s="716"/>
    </row>
    <row r="1636">
      <c r="A1636" s="709"/>
      <c r="B1636" s="710"/>
      <c r="C1636" s="711"/>
      <c r="D1636" s="712"/>
      <c r="E1636" s="712"/>
      <c r="F1636" s="713"/>
      <c r="G1636" s="714"/>
      <c r="H1636" s="715"/>
      <c r="I1636" s="716"/>
    </row>
    <row r="1637">
      <c r="A1637" s="709"/>
      <c r="B1637" s="710"/>
      <c r="C1637" s="711"/>
      <c r="D1637" s="712"/>
      <c r="E1637" s="712"/>
      <c r="F1637" s="713"/>
      <c r="G1637" s="714"/>
      <c r="H1637" s="715"/>
      <c r="I1637" s="716"/>
    </row>
    <row r="1638">
      <c r="A1638" s="709"/>
      <c r="B1638" s="710"/>
      <c r="C1638" s="711"/>
      <c r="D1638" s="712"/>
      <c r="E1638" s="712"/>
      <c r="F1638" s="713"/>
      <c r="G1638" s="714"/>
      <c r="H1638" s="715"/>
      <c r="I1638" s="716"/>
    </row>
    <row r="1639">
      <c r="A1639" s="709"/>
      <c r="B1639" s="710"/>
      <c r="C1639" s="711"/>
      <c r="D1639" s="712"/>
      <c r="E1639" s="712"/>
      <c r="F1639" s="713"/>
      <c r="G1639" s="714"/>
      <c r="H1639" s="715"/>
      <c r="I1639" s="716"/>
    </row>
    <row r="1640">
      <c r="A1640" s="709"/>
      <c r="B1640" s="710"/>
      <c r="C1640" s="711"/>
      <c r="D1640" s="712"/>
      <c r="E1640" s="712"/>
      <c r="F1640" s="713"/>
      <c r="G1640" s="714"/>
      <c r="H1640" s="715"/>
      <c r="I1640" s="716"/>
    </row>
    <row r="1641">
      <c r="A1641" s="709"/>
      <c r="B1641" s="710"/>
      <c r="C1641" s="711"/>
      <c r="D1641" s="712"/>
      <c r="E1641" s="712"/>
      <c r="F1641" s="713"/>
      <c r="G1641" s="714"/>
      <c r="H1641" s="715"/>
      <c r="I1641" s="716"/>
    </row>
    <row r="1642">
      <c r="A1642" s="709"/>
      <c r="B1642" s="710"/>
      <c r="C1642" s="711"/>
      <c r="D1642" s="712"/>
      <c r="E1642" s="712"/>
      <c r="F1642" s="713"/>
      <c r="G1642" s="714"/>
      <c r="H1642" s="715"/>
      <c r="I1642" s="716"/>
    </row>
    <row r="1643">
      <c r="A1643" s="709"/>
      <c r="B1643" s="710"/>
      <c r="C1643" s="711"/>
      <c r="D1643" s="712"/>
      <c r="E1643" s="712"/>
      <c r="F1643" s="713"/>
      <c r="G1643" s="714"/>
      <c r="H1643" s="715"/>
      <c r="I1643" s="716"/>
    </row>
    <row r="1644">
      <c r="A1644" s="709"/>
      <c r="B1644" s="710"/>
      <c r="C1644" s="711"/>
      <c r="D1644" s="712"/>
      <c r="E1644" s="712"/>
      <c r="F1644" s="713"/>
      <c r="G1644" s="714"/>
      <c r="H1644" s="715"/>
      <c r="I1644" s="716"/>
    </row>
    <row r="1645">
      <c r="A1645" s="709"/>
      <c r="B1645" s="710"/>
      <c r="C1645" s="711"/>
      <c r="D1645" s="712"/>
      <c r="E1645" s="712"/>
      <c r="F1645" s="713"/>
      <c r="G1645" s="714"/>
      <c r="H1645" s="715"/>
      <c r="I1645" s="716"/>
    </row>
    <row r="1646">
      <c r="A1646" s="709"/>
      <c r="B1646" s="710"/>
      <c r="C1646" s="711"/>
      <c r="D1646" s="712"/>
      <c r="E1646" s="712"/>
      <c r="F1646" s="713"/>
      <c r="G1646" s="714"/>
      <c r="H1646" s="715"/>
      <c r="I1646" s="716"/>
    </row>
    <row r="1647">
      <c r="A1647" s="709"/>
      <c r="B1647" s="710"/>
      <c r="C1647" s="711"/>
      <c r="D1647" s="712"/>
      <c r="E1647" s="712"/>
      <c r="F1647" s="713"/>
      <c r="G1647" s="714"/>
      <c r="H1647" s="715"/>
      <c r="I1647" s="716"/>
    </row>
    <row r="1648">
      <c r="A1648" s="709"/>
      <c r="B1648" s="710"/>
      <c r="C1648" s="711"/>
      <c r="D1648" s="712"/>
      <c r="E1648" s="712"/>
      <c r="F1648" s="713"/>
      <c r="G1648" s="714"/>
      <c r="H1648" s="715"/>
      <c r="I1648" s="716"/>
    </row>
    <row r="1649">
      <c r="A1649" s="709"/>
      <c r="B1649" s="710"/>
      <c r="C1649" s="711"/>
      <c r="D1649" s="712"/>
      <c r="E1649" s="712"/>
      <c r="F1649" s="713"/>
      <c r="G1649" s="714"/>
      <c r="H1649" s="715"/>
      <c r="I1649" s="716"/>
    </row>
    <row r="1650">
      <c r="A1650" s="709"/>
      <c r="B1650" s="710"/>
      <c r="C1650" s="711"/>
      <c r="D1650" s="712"/>
      <c r="E1650" s="712"/>
      <c r="F1650" s="713"/>
      <c r="G1650" s="714"/>
      <c r="H1650" s="715"/>
      <c r="I1650" s="716"/>
    </row>
    <row r="1651">
      <c r="A1651" s="709"/>
      <c r="B1651" s="710"/>
      <c r="C1651" s="711"/>
      <c r="D1651" s="712"/>
      <c r="E1651" s="712"/>
      <c r="F1651" s="713"/>
      <c r="G1651" s="714"/>
      <c r="H1651" s="715"/>
      <c r="I1651" s="716"/>
    </row>
    <row r="1652">
      <c r="A1652" s="709"/>
      <c r="B1652" s="710"/>
      <c r="C1652" s="711"/>
      <c r="D1652" s="712"/>
      <c r="E1652" s="712"/>
      <c r="F1652" s="713"/>
      <c r="G1652" s="714"/>
      <c r="H1652" s="715"/>
      <c r="I1652" s="716"/>
    </row>
    <row r="1653">
      <c r="A1653" s="709"/>
      <c r="B1653" s="710"/>
      <c r="C1653" s="711"/>
      <c r="D1653" s="712"/>
      <c r="E1653" s="712"/>
      <c r="F1653" s="713"/>
      <c r="G1653" s="714"/>
      <c r="H1653" s="715"/>
      <c r="I1653" s="716"/>
    </row>
    <row r="1654">
      <c r="A1654" s="709"/>
      <c r="B1654" s="710"/>
      <c r="C1654" s="711"/>
      <c r="D1654" s="712"/>
      <c r="E1654" s="712"/>
      <c r="F1654" s="713"/>
      <c r="G1654" s="714"/>
      <c r="H1654" s="715"/>
      <c r="I1654" s="716"/>
    </row>
    <row r="1655">
      <c r="A1655" s="709"/>
      <c r="B1655" s="710"/>
      <c r="C1655" s="711"/>
      <c r="D1655" s="712"/>
      <c r="E1655" s="712"/>
      <c r="F1655" s="713"/>
      <c r="G1655" s="714"/>
      <c r="H1655" s="715"/>
      <c r="I1655" s="716"/>
    </row>
    <row r="1656">
      <c r="A1656" s="709"/>
      <c r="B1656" s="710"/>
      <c r="C1656" s="711"/>
      <c r="D1656" s="712"/>
      <c r="E1656" s="712"/>
      <c r="F1656" s="713"/>
      <c r="G1656" s="714"/>
      <c r="H1656" s="715"/>
      <c r="I1656" s="716"/>
    </row>
    <row r="1657">
      <c r="A1657" s="709"/>
      <c r="B1657" s="710"/>
      <c r="C1657" s="711"/>
      <c r="D1657" s="712"/>
      <c r="E1657" s="712"/>
      <c r="F1657" s="713"/>
      <c r="G1657" s="714"/>
      <c r="H1657" s="715"/>
      <c r="I1657" s="716"/>
    </row>
    <row r="1658">
      <c r="A1658" s="709"/>
      <c r="B1658" s="710"/>
      <c r="C1658" s="711"/>
      <c r="D1658" s="712"/>
      <c r="E1658" s="712"/>
      <c r="F1658" s="713"/>
      <c r="G1658" s="714"/>
      <c r="H1658" s="715"/>
      <c r="I1658" s="716"/>
    </row>
    <row r="1659">
      <c r="A1659" s="709"/>
      <c r="B1659" s="710"/>
      <c r="C1659" s="711"/>
      <c r="D1659" s="712"/>
      <c r="E1659" s="712"/>
      <c r="F1659" s="713"/>
      <c r="G1659" s="714"/>
      <c r="H1659" s="715"/>
      <c r="I1659" s="716"/>
    </row>
    <row r="1660">
      <c r="A1660" s="709"/>
      <c r="B1660" s="710"/>
      <c r="C1660" s="711"/>
      <c r="D1660" s="712"/>
      <c r="E1660" s="712"/>
      <c r="F1660" s="713"/>
      <c r="G1660" s="714"/>
      <c r="H1660" s="715"/>
      <c r="I1660" s="716"/>
    </row>
    <row r="1661">
      <c r="A1661" s="709"/>
      <c r="B1661" s="710"/>
      <c r="C1661" s="711"/>
      <c r="D1661" s="712"/>
      <c r="E1661" s="712"/>
      <c r="F1661" s="713"/>
      <c r="G1661" s="714"/>
      <c r="H1661" s="715"/>
      <c r="I1661" s="716"/>
    </row>
    <row r="1662">
      <c r="A1662" s="709"/>
      <c r="B1662" s="710"/>
      <c r="C1662" s="711"/>
      <c r="D1662" s="712"/>
      <c r="E1662" s="712"/>
      <c r="F1662" s="713"/>
      <c r="G1662" s="714"/>
      <c r="H1662" s="715"/>
      <c r="I1662" s="716"/>
    </row>
    <row r="1663">
      <c r="A1663" s="709"/>
      <c r="B1663" s="710"/>
      <c r="C1663" s="711"/>
      <c r="D1663" s="712"/>
      <c r="E1663" s="712"/>
      <c r="F1663" s="713"/>
      <c r="G1663" s="714"/>
      <c r="H1663" s="715"/>
      <c r="I1663" s="716"/>
    </row>
    <row r="1664">
      <c r="A1664" s="709"/>
      <c r="B1664" s="710"/>
      <c r="C1664" s="711"/>
      <c r="D1664" s="712"/>
      <c r="E1664" s="712"/>
      <c r="F1664" s="713"/>
      <c r="G1664" s="714"/>
      <c r="H1664" s="715"/>
      <c r="I1664" s="716"/>
    </row>
    <row r="1665">
      <c r="A1665" s="709"/>
      <c r="B1665" s="710"/>
      <c r="C1665" s="711"/>
      <c r="D1665" s="712"/>
      <c r="E1665" s="712"/>
      <c r="F1665" s="713"/>
      <c r="G1665" s="714"/>
      <c r="H1665" s="715"/>
      <c r="I1665" s="716"/>
    </row>
    <row r="1666">
      <c r="A1666" s="709"/>
      <c r="B1666" s="710"/>
      <c r="C1666" s="711"/>
      <c r="D1666" s="712"/>
      <c r="E1666" s="712"/>
      <c r="F1666" s="713"/>
      <c r="G1666" s="714"/>
      <c r="H1666" s="715"/>
      <c r="I1666" s="716"/>
    </row>
    <row r="1667">
      <c r="A1667" s="709"/>
      <c r="B1667" s="710"/>
      <c r="C1667" s="711"/>
      <c r="D1667" s="712"/>
      <c r="E1667" s="712"/>
      <c r="F1667" s="713"/>
      <c r="G1667" s="714"/>
      <c r="H1667" s="715"/>
      <c r="I1667" s="716"/>
    </row>
    <row r="1668">
      <c r="A1668" s="709"/>
      <c r="B1668" s="710"/>
      <c r="C1668" s="711"/>
      <c r="D1668" s="712"/>
      <c r="E1668" s="712"/>
      <c r="F1668" s="713"/>
      <c r="G1668" s="714"/>
      <c r="H1668" s="715"/>
      <c r="I1668" s="716"/>
    </row>
    <row r="1669">
      <c r="A1669" s="709"/>
      <c r="B1669" s="710"/>
      <c r="C1669" s="711"/>
      <c r="D1669" s="712"/>
      <c r="E1669" s="712"/>
      <c r="F1669" s="713"/>
      <c r="G1669" s="714"/>
      <c r="H1669" s="715"/>
      <c r="I1669" s="716"/>
    </row>
    <row r="1670">
      <c r="A1670" s="709"/>
      <c r="B1670" s="710"/>
      <c r="C1670" s="711"/>
      <c r="D1670" s="712"/>
      <c r="E1670" s="712"/>
      <c r="F1670" s="713"/>
      <c r="G1670" s="714"/>
      <c r="H1670" s="715"/>
      <c r="I1670" s="716"/>
    </row>
    <row r="1671">
      <c r="A1671" s="709"/>
      <c r="B1671" s="710"/>
      <c r="C1671" s="711"/>
      <c r="D1671" s="712"/>
      <c r="E1671" s="712"/>
      <c r="F1671" s="713"/>
      <c r="G1671" s="714"/>
      <c r="H1671" s="715"/>
      <c r="I1671" s="716"/>
    </row>
    <row r="1672">
      <c r="A1672" s="709"/>
      <c r="B1672" s="710"/>
      <c r="C1672" s="711"/>
      <c r="D1672" s="712"/>
      <c r="E1672" s="712"/>
      <c r="F1672" s="713"/>
      <c r="G1672" s="714"/>
      <c r="H1672" s="715"/>
      <c r="I1672" s="716"/>
    </row>
    <row r="1673">
      <c r="A1673" s="709"/>
      <c r="B1673" s="710"/>
      <c r="C1673" s="711"/>
      <c r="D1673" s="712"/>
      <c r="E1673" s="712"/>
      <c r="F1673" s="713"/>
      <c r="G1673" s="714"/>
      <c r="H1673" s="715"/>
      <c r="I1673" s="716"/>
    </row>
    <row r="1674">
      <c r="A1674" s="709"/>
      <c r="B1674" s="710"/>
      <c r="C1674" s="711"/>
      <c r="D1674" s="712"/>
      <c r="E1674" s="712"/>
      <c r="F1674" s="713"/>
      <c r="G1674" s="714"/>
      <c r="H1674" s="715"/>
      <c r="I1674" s="716"/>
    </row>
    <row r="1675">
      <c r="A1675" s="709"/>
      <c r="B1675" s="710"/>
      <c r="C1675" s="711"/>
      <c r="D1675" s="712"/>
      <c r="E1675" s="712"/>
      <c r="F1675" s="713"/>
      <c r="G1675" s="714"/>
      <c r="H1675" s="715"/>
      <c r="I1675" s="716"/>
    </row>
    <row r="1676">
      <c r="A1676" s="709"/>
      <c r="B1676" s="710"/>
      <c r="C1676" s="711"/>
      <c r="D1676" s="712"/>
      <c r="E1676" s="712"/>
      <c r="F1676" s="713"/>
      <c r="G1676" s="714"/>
      <c r="H1676" s="715"/>
      <c r="I1676" s="716"/>
    </row>
    <row r="1677">
      <c r="A1677" s="709"/>
      <c r="B1677" s="710"/>
      <c r="C1677" s="711"/>
      <c r="D1677" s="712"/>
      <c r="E1677" s="712"/>
      <c r="F1677" s="713"/>
      <c r="G1677" s="714"/>
      <c r="H1677" s="715"/>
      <c r="I1677" s="716"/>
    </row>
    <row r="1678">
      <c r="A1678" s="709"/>
      <c r="B1678" s="710"/>
      <c r="C1678" s="711"/>
      <c r="D1678" s="712"/>
      <c r="E1678" s="712"/>
      <c r="F1678" s="713"/>
      <c r="G1678" s="714"/>
      <c r="H1678" s="715"/>
      <c r="I1678" s="716"/>
    </row>
    <row r="1679">
      <c r="A1679" s="709"/>
      <c r="B1679" s="710"/>
      <c r="C1679" s="711"/>
      <c r="D1679" s="712"/>
      <c r="E1679" s="712"/>
      <c r="F1679" s="713"/>
      <c r="G1679" s="714"/>
      <c r="H1679" s="715"/>
      <c r="I1679" s="716"/>
    </row>
    <row r="1680">
      <c r="A1680" s="709"/>
      <c r="B1680" s="710"/>
      <c r="C1680" s="711"/>
      <c r="D1680" s="712"/>
      <c r="E1680" s="712"/>
      <c r="F1680" s="713"/>
      <c r="G1680" s="714"/>
      <c r="H1680" s="715"/>
      <c r="I1680" s="716"/>
    </row>
    <row r="1681">
      <c r="A1681" s="709"/>
      <c r="B1681" s="710"/>
      <c r="C1681" s="711"/>
      <c r="D1681" s="712"/>
      <c r="E1681" s="712"/>
      <c r="F1681" s="713"/>
      <c r="G1681" s="714"/>
      <c r="H1681" s="715"/>
      <c r="I1681" s="716"/>
    </row>
    <row r="1682">
      <c r="A1682" s="709"/>
      <c r="B1682" s="710"/>
      <c r="C1682" s="711"/>
      <c r="D1682" s="712"/>
      <c r="E1682" s="712"/>
      <c r="F1682" s="713"/>
      <c r="G1682" s="714"/>
      <c r="H1682" s="715"/>
      <c r="I1682" s="716"/>
    </row>
    <row r="1683">
      <c r="A1683" s="709"/>
      <c r="B1683" s="710"/>
      <c r="C1683" s="711"/>
      <c r="D1683" s="712"/>
      <c r="E1683" s="712"/>
      <c r="F1683" s="713"/>
      <c r="G1683" s="714"/>
      <c r="H1683" s="715"/>
      <c r="I1683" s="716"/>
    </row>
    <row r="1684">
      <c r="A1684" s="709"/>
      <c r="B1684" s="710"/>
      <c r="C1684" s="711"/>
      <c r="D1684" s="712"/>
      <c r="E1684" s="712"/>
      <c r="F1684" s="713"/>
      <c r="G1684" s="714"/>
      <c r="H1684" s="715"/>
      <c r="I1684" s="716"/>
    </row>
    <row r="1685">
      <c r="A1685" s="709"/>
      <c r="B1685" s="710"/>
      <c r="C1685" s="711"/>
      <c r="D1685" s="712"/>
      <c r="E1685" s="712"/>
      <c r="F1685" s="713"/>
      <c r="G1685" s="714"/>
      <c r="H1685" s="715"/>
      <c r="I1685" s="716"/>
    </row>
    <row r="1686">
      <c r="A1686" s="709"/>
      <c r="B1686" s="710"/>
      <c r="C1686" s="711"/>
      <c r="D1686" s="712"/>
      <c r="E1686" s="712"/>
      <c r="F1686" s="713"/>
      <c r="G1686" s="714"/>
      <c r="H1686" s="715"/>
      <c r="I1686" s="716"/>
    </row>
    <row r="1687">
      <c r="A1687" s="709"/>
      <c r="B1687" s="710"/>
      <c r="C1687" s="711"/>
      <c r="D1687" s="712"/>
      <c r="E1687" s="712"/>
      <c r="F1687" s="713"/>
      <c r="G1687" s="714"/>
      <c r="H1687" s="715"/>
      <c r="I1687" s="716"/>
    </row>
    <row r="1688">
      <c r="A1688" s="709"/>
      <c r="B1688" s="710"/>
      <c r="C1688" s="711"/>
      <c r="D1688" s="712"/>
      <c r="E1688" s="712"/>
      <c r="F1688" s="713"/>
      <c r="G1688" s="714"/>
      <c r="H1688" s="715"/>
      <c r="I1688" s="716"/>
    </row>
    <row r="1689">
      <c r="A1689" s="709"/>
      <c r="B1689" s="710"/>
      <c r="C1689" s="711"/>
      <c r="D1689" s="712"/>
      <c r="E1689" s="712"/>
      <c r="F1689" s="713"/>
      <c r="G1689" s="714"/>
      <c r="H1689" s="715"/>
      <c r="I1689" s="716"/>
    </row>
    <row r="1690">
      <c r="A1690" s="709"/>
      <c r="B1690" s="710"/>
      <c r="C1690" s="711"/>
      <c r="D1690" s="712"/>
      <c r="E1690" s="712"/>
      <c r="F1690" s="713"/>
      <c r="G1690" s="714"/>
      <c r="H1690" s="715"/>
      <c r="I1690" s="716"/>
    </row>
    <row r="1691">
      <c r="A1691" s="709"/>
      <c r="B1691" s="710"/>
      <c r="C1691" s="711"/>
      <c r="D1691" s="712"/>
      <c r="E1691" s="712"/>
      <c r="F1691" s="713"/>
      <c r="G1691" s="714"/>
      <c r="H1691" s="715"/>
      <c r="I1691" s="716"/>
    </row>
    <row r="1692">
      <c r="A1692" s="709"/>
      <c r="B1692" s="710"/>
      <c r="C1692" s="711"/>
      <c r="D1692" s="712"/>
      <c r="E1692" s="712"/>
      <c r="F1692" s="713"/>
      <c r="G1692" s="714"/>
      <c r="H1692" s="715"/>
      <c r="I1692" s="716"/>
    </row>
    <row r="1693">
      <c r="A1693" s="709"/>
      <c r="B1693" s="710"/>
      <c r="C1693" s="711"/>
      <c r="D1693" s="712"/>
      <c r="E1693" s="712"/>
      <c r="F1693" s="713"/>
      <c r="G1693" s="714"/>
      <c r="H1693" s="715"/>
      <c r="I1693" s="716"/>
    </row>
    <row r="1694">
      <c r="A1694" s="709"/>
      <c r="B1694" s="710"/>
      <c r="C1694" s="711"/>
      <c r="D1694" s="712"/>
      <c r="E1694" s="712"/>
      <c r="F1694" s="713"/>
      <c r="G1694" s="714"/>
      <c r="H1694" s="715"/>
      <c r="I1694" s="716"/>
    </row>
    <row r="1695">
      <c r="A1695" s="709"/>
      <c r="B1695" s="710"/>
      <c r="C1695" s="711"/>
      <c r="D1695" s="712"/>
      <c r="E1695" s="712"/>
      <c r="F1695" s="713"/>
      <c r="G1695" s="714"/>
      <c r="H1695" s="715"/>
      <c r="I1695" s="716"/>
    </row>
    <row r="1696">
      <c r="A1696" s="709"/>
      <c r="B1696" s="710"/>
      <c r="C1696" s="711"/>
      <c r="D1696" s="712"/>
      <c r="E1696" s="712"/>
      <c r="F1696" s="713"/>
      <c r="G1696" s="714"/>
      <c r="H1696" s="715"/>
      <c r="I1696" s="716"/>
    </row>
    <row r="1697">
      <c r="A1697" s="709"/>
      <c r="B1697" s="710"/>
      <c r="C1697" s="711"/>
      <c r="D1697" s="712"/>
      <c r="E1697" s="712"/>
      <c r="F1697" s="713"/>
      <c r="G1697" s="714"/>
      <c r="H1697" s="715"/>
      <c r="I1697" s="716"/>
    </row>
    <row r="1698">
      <c r="A1698" s="709"/>
      <c r="B1698" s="710"/>
      <c r="C1698" s="711"/>
      <c r="D1698" s="712"/>
      <c r="E1698" s="712"/>
      <c r="F1698" s="713"/>
      <c r="G1698" s="714"/>
      <c r="H1698" s="715"/>
      <c r="I1698" s="716"/>
    </row>
    <row r="1699">
      <c r="A1699" s="709"/>
      <c r="B1699" s="710"/>
      <c r="C1699" s="711"/>
      <c r="D1699" s="712"/>
      <c r="E1699" s="712"/>
      <c r="F1699" s="713"/>
      <c r="G1699" s="714"/>
      <c r="H1699" s="715"/>
      <c r="I1699" s="716"/>
    </row>
    <row r="1700">
      <c r="A1700" s="709"/>
      <c r="B1700" s="710"/>
      <c r="C1700" s="711"/>
      <c r="D1700" s="712"/>
      <c r="E1700" s="712"/>
      <c r="F1700" s="713"/>
      <c r="G1700" s="714"/>
      <c r="H1700" s="715"/>
      <c r="I1700" s="716"/>
    </row>
    <row r="1701">
      <c r="A1701" s="709"/>
      <c r="B1701" s="710"/>
      <c r="C1701" s="711"/>
      <c r="D1701" s="712"/>
      <c r="E1701" s="712"/>
      <c r="F1701" s="713"/>
      <c r="G1701" s="714"/>
      <c r="H1701" s="715"/>
      <c r="I1701" s="716"/>
    </row>
    <row r="1702">
      <c r="A1702" s="709"/>
      <c r="B1702" s="710"/>
      <c r="C1702" s="711"/>
      <c r="D1702" s="712"/>
      <c r="E1702" s="712"/>
      <c r="F1702" s="713"/>
      <c r="G1702" s="714"/>
      <c r="H1702" s="715"/>
      <c r="I1702" s="716"/>
    </row>
    <row r="1703">
      <c r="A1703" s="709"/>
      <c r="B1703" s="710"/>
      <c r="C1703" s="711"/>
      <c r="D1703" s="712"/>
      <c r="E1703" s="712"/>
      <c r="F1703" s="713"/>
      <c r="G1703" s="714"/>
      <c r="H1703" s="715"/>
      <c r="I1703" s="716"/>
    </row>
    <row r="1704">
      <c r="A1704" s="709"/>
      <c r="B1704" s="710"/>
      <c r="C1704" s="711"/>
      <c r="D1704" s="712"/>
      <c r="E1704" s="712"/>
      <c r="F1704" s="713"/>
      <c r="G1704" s="714"/>
      <c r="H1704" s="715"/>
      <c r="I1704" s="716"/>
    </row>
    <row r="1705">
      <c r="A1705" s="709"/>
      <c r="B1705" s="710"/>
      <c r="C1705" s="711"/>
      <c r="D1705" s="712"/>
      <c r="E1705" s="712"/>
      <c r="F1705" s="713"/>
      <c r="G1705" s="714"/>
      <c r="H1705" s="715"/>
      <c r="I1705" s="716"/>
    </row>
    <row r="1706">
      <c r="A1706" s="709"/>
      <c r="B1706" s="710"/>
      <c r="C1706" s="711"/>
      <c r="D1706" s="712"/>
      <c r="E1706" s="712"/>
      <c r="F1706" s="713"/>
      <c r="G1706" s="714"/>
      <c r="H1706" s="715"/>
      <c r="I1706" s="716"/>
    </row>
    <row r="1707">
      <c r="A1707" s="709"/>
      <c r="B1707" s="710"/>
      <c r="C1707" s="711"/>
      <c r="D1707" s="712"/>
      <c r="E1707" s="712"/>
      <c r="F1707" s="713"/>
      <c r="G1707" s="714"/>
      <c r="H1707" s="715"/>
      <c r="I1707" s="716"/>
    </row>
    <row r="1708">
      <c r="A1708" s="709"/>
      <c r="B1708" s="710"/>
      <c r="C1708" s="711"/>
      <c r="D1708" s="712"/>
      <c r="E1708" s="712"/>
      <c r="F1708" s="713"/>
      <c r="G1708" s="714"/>
      <c r="H1708" s="715"/>
      <c r="I1708" s="716"/>
    </row>
    <row r="1709">
      <c r="A1709" s="709"/>
      <c r="B1709" s="710"/>
      <c r="C1709" s="711"/>
      <c r="D1709" s="712"/>
      <c r="E1709" s="712"/>
      <c r="F1709" s="713"/>
      <c r="G1709" s="714"/>
      <c r="H1709" s="715"/>
      <c r="I1709" s="716"/>
    </row>
    <row r="1710">
      <c r="A1710" s="709"/>
      <c r="B1710" s="710"/>
      <c r="C1710" s="711"/>
      <c r="D1710" s="712"/>
      <c r="E1710" s="712"/>
      <c r="F1710" s="713"/>
      <c r="G1710" s="714"/>
      <c r="H1710" s="715"/>
      <c r="I1710" s="716"/>
    </row>
    <row r="1711">
      <c r="A1711" s="709"/>
      <c r="B1711" s="710"/>
      <c r="C1711" s="711"/>
      <c r="D1711" s="712"/>
      <c r="E1711" s="712"/>
      <c r="F1711" s="713"/>
      <c r="G1711" s="714"/>
      <c r="H1711" s="715"/>
      <c r="I1711" s="716"/>
    </row>
    <row r="1712">
      <c r="A1712" s="709"/>
      <c r="B1712" s="710"/>
      <c r="C1712" s="711"/>
      <c r="D1712" s="712"/>
      <c r="E1712" s="712"/>
      <c r="F1712" s="713"/>
      <c r="G1712" s="714"/>
      <c r="H1712" s="715"/>
      <c r="I1712" s="716"/>
    </row>
    <row r="1713">
      <c r="A1713" s="709"/>
      <c r="B1713" s="710"/>
      <c r="C1713" s="711"/>
      <c r="D1713" s="712"/>
      <c r="E1713" s="712"/>
      <c r="F1713" s="713"/>
      <c r="G1713" s="714"/>
      <c r="H1713" s="715"/>
      <c r="I1713" s="716"/>
    </row>
    <row r="1714">
      <c r="A1714" s="709"/>
      <c r="B1714" s="710"/>
      <c r="C1714" s="711"/>
      <c r="D1714" s="712"/>
      <c r="E1714" s="712"/>
      <c r="F1714" s="713"/>
      <c r="G1714" s="714"/>
      <c r="H1714" s="715"/>
      <c r="I1714" s="716"/>
    </row>
    <row r="1715">
      <c r="A1715" s="709"/>
      <c r="B1715" s="710"/>
      <c r="C1715" s="711"/>
      <c r="D1715" s="712"/>
      <c r="E1715" s="712"/>
      <c r="F1715" s="713"/>
      <c r="G1715" s="714"/>
      <c r="H1715" s="715"/>
      <c r="I1715" s="716"/>
    </row>
    <row r="1716">
      <c r="A1716" s="709"/>
      <c r="B1716" s="710"/>
      <c r="C1716" s="711"/>
      <c r="D1716" s="712"/>
      <c r="E1716" s="712"/>
      <c r="F1716" s="713"/>
      <c r="G1716" s="714"/>
      <c r="H1716" s="715"/>
      <c r="I1716" s="716"/>
    </row>
    <row r="1717">
      <c r="A1717" s="709"/>
      <c r="B1717" s="710"/>
      <c r="C1717" s="711"/>
      <c r="D1717" s="712"/>
      <c r="E1717" s="712"/>
      <c r="F1717" s="713"/>
      <c r="G1717" s="714"/>
      <c r="H1717" s="715"/>
      <c r="I1717" s="716"/>
    </row>
    <row r="1718">
      <c r="A1718" s="709"/>
      <c r="B1718" s="710"/>
      <c r="C1718" s="711"/>
      <c r="D1718" s="712"/>
      <c r="E1718" s="712"/>
      <c r="F1718" s="713"/>
      <c r="G1718" s="714"/>
      <c r="H1718" s="715"/>
      <c r="I1718" s="716"/>
    </row>
    <row r="1719">
      <c r="A1719" s="709"/>
      <c r="B1719" s="710"/>
      <c r="C1719" s="711"/>
      <c r="D1719" s="712"/>
      <c r="E1719" s="712"/>
      <c r="F1719" s="713"/>
      <c r="G1719" s="714"/>
      <c r="H1719" s="715"/>
      <c r="I1719" s="716"/>
    </row>
    <row r="1720">
      <c r="A1720" s="709"/>
      <c r="B1720" s="710"/>
      <c r="C1720" s="711"/>
      <c r="D1720" s="712"/>
      <c r="E1720" s="712"/>
      <c r="F1720" s="713"/>
      <c r="G1720" s="714"/>
      <c r="H1720" s="715"/>
      <c r="I1720" s="716"/>
    </row>
    <row r="1721">
      <c r="A1721" s="709"/>
      <c r="B1721" s="710"/>
      <c r="C1721" s="711"/>
      <c r="D1721" s="712"/>
      <c r="E1721" s="712"/>
      <c r="F1721" s="713"/>
      <c r="G1721" s="714"/>
      <c r="H1721" s="715"/>
      <c r="I1721" s="716"/>
    </row>
    <row r="1722">
      <c r="A1722" s="709"/>
      <c r="B1722" s="710"/>
      <c r="C1722" s="711"/>
      <c r="D1722" s="712"/>
      <c r="E1722" s="712"/>
      <c r="F1722" s="713"/>
      <c r="G1722" s="714"/>
      <c r="H1722" s="715"/>
      <c r="I1722" s="716"/>
    </row>
    <row r="1723">
      <c r="A1723" s="709"/>
      <c r="B1723" s="710"/>
      <c r="C1723" s="711"/>
      <c r="D1723" s="712"/>
      <c r="E1723" s="712"/>
      <c r="F1723" s="713"/>
      <c r="G1723" s="714"/>
      <c r="H1723" s="715"/>
      <c r="I1723" s="716"/>
    </row>
    <row r="1724">
      <c r="A1724" s="709"/>
      <c r="B1724" s="710"/>
      <c r="C1724" s="711"/>
      <c r="D1724" s="712"/>
      <c r="E1724" s="712"/>
      <c r="F1724" s="713"/>
      <c r="G1724" s="714"/>
      <c r="H1724" s="715"/>
      <c r="I1724" s="716"/>
    </row>
    <row r="1725">
      <c r="A1725" s="709"/>
      <c r="B1725" s="710"/>
      <c r="C1725" s="711"/>
      <c r="D1725" s="712"/>
      <c r="E1725" s="712"/>
      <c r="F1725" s="713"/>
      <c r="G1725" s="714"/>
      <c r="H1725" s="715"/>
      <c r="I1725" s="716"/>
    </row>
    <row r="1726">
      <c r="A1726" s="709"/>
      <c r="B1726" s="710"/>
      <c r="C1726" s="711"/>
      <c r="D1726" s="712"/>
      <c r="E1726" s="712"/>
      <c r="F1726" s="713"/>
      <c r="G1726" s="714"/>
      <c r="H1726" s="715"/>
      <c r="I1726" s="716"/>
    </row>
    <row r="1727">
      <c r="A1727" s="709"/>
      <c r="B1727" s="710"/>
      <c r="C1727" s="711"/>
      <c r="D1727" s="712"/>
      <c r="E1727" s="712"/>
      <c r="F1727" s="713"/>
      <c r="G1727" s="714"/>
      <c r="H1727" s="715"/>
      <c r="I1727" s="716"/>
    </row>
    <row r="1728">
      <c r="A1728" s="709"/>
      <c r="B1728" s="710"/>
      <c r="C1728" s="711"/>
      <c r="D1728" s="712"/>
      <c r="E1728" s="712"/>
      <c r="F1728" s="713"/>
      <c r="G1728" s="714"/>
      <c r="H1728" s="715"/>
      <c r="I1728" s="716"/>
    </row>
    <row r="1729">
      <c r="A1729" s="709"/>
      <c r="B1729" s="710"/>
      <c r="C1729" s="711"/>
      <c r="D1729" s="712"/>
      <c r="E1729" s="712"/>
      <c r="F1729" s="713"/>
      <c r="G1729" s="714"/>
      <c r="H1729" s="715"/>
      <c r="I1729" s="716"/>
    </row>
    <row r="1730">
      <c r="A1730" s="709"/>
      <c r="B1730" s="710"/>
      <c r="C1730" s="711"/>
      <c r="D1730" s="712"/>
      <c r="E1730" s="712"/>
      <c r="F1730" s="713"/>
      <c r="G1730" s="714"/>
      <c r="H1730" s="715"/>
      <c r="I1730" s="716"/>
    </row>
    <row r="1731">
      <c r="A1731" s="709"/>
      <c r="B1731" s="710"/>
      <c r="C1731" s="711"/>
      <c r="D1731" s="712"/>
      <c r="E1731" s="712"/>
      <c r="F1731" s="713"/>
      <c r="G1731" s="714"/>
      <c r="H1731" s="715"/>
      <c r="I1731" s="716"/>
    </row>
    <row r="1732">
      <c r="A1732" s="709"/>
      <c r="B1732" s="710"/>
      <c r="C1732" s="711"/>
      <c r="D1732" s="712"/>
      <c r="E1732" s="712"/>
      <c r="F1732" s="713"/>
      <c r="G1732" s="714"/>
      <c r="H1732" s="715"/>
      <c r="I1732" s="716"/>
    </row>
    <row r="1733">
      <c r="A1733" s="709"/>
      <c r="B1733" s="710"/>
      <c r="C1733" s="711"/>
      <c r="D1733" s="712"/>
      <c r="E1733" s="712"/>
      <c r="F1733" s="713"/>
      <c r="G1733" s="714"/>
      <c r="H1733" s="715"/>
      <c r="I1733" s="716"/>
    </row>
    <row r="1734">
      <c r="A1734" s="709"/>
      <c r="B1734" s="710"/>
      <c r="C1734" s="711"/>
      <c r="D1734" s="712"/>
      <c r="E1734" s="712"/>
      <c r="F1734" s="713"/>
      <c r="G1734" s="714"/>
      <c r="H1734" s="715"/>
      <c r="I1734" s="716"/>
    </row>
    <row r="1735">
      <c r="A1735" s="709"/>
      <c r="B1735" s="710"/>
      <c r="C1735" s="711"/>
      <c r="D1735" s="712"/>
      <c r="E1735" s="712"/>
      <c r="F1735" s="713"/>
      <c r="G1735" s="714"/>
      <c r="H1735" s="715"/>
      <c r="I1735" s="716"/>
    </row>
    <row r="1736">
      <c r="A1736" s="709"/>
      <c r="B1736" s="710"/>
      <c r="C1736" s="711"/>
      <c r="D1736" s="712"/>
      <c r="E1736" s="712"/>
      <c r="F1736" s="713"/>
      <c r="G1736" s="714"/>
      <c r="H1736" s="715"/>
      <c r="I1736" s="716"/>
    </row>
    <row r="1737">
      <c r="A1737" s="709"/>
      <c r="B1737" s="710"/>
      <c r="C1737" s="711"/>
      <c r="D1737" s="712"/>
      <c r="E1737" s="712"/>
      <c r="F1737" s="713"/>
      <c r="G1737" s="714"/>
      <c r="H1737" s="715"/>
      <c r="I1737" s="716"/>
    </row>
    <row r="1738">
      <c r="A1738" s="709"/>
      <c r="B1738" s="710"/>
      <c r="C1738" s="711"/>
      <c r="D1738" s="712"/>
      <c r="E1738" s="712"/>
      <c r="F1738" s="713"/>
      <c r="G1738" s="714"/>
      <c r="H1738" s="715"/>
      <c r="I1738" s="716"/>
    </row>
    <row r="1739">
      <c r="A1739" s="709"/>
      <c r="B1739" s="710"/>
      <c r="C1739" s="711"/>
      <c r="D1739" s="712"/>
      <c r="E1739" s="712"/>
      <c r="F1739" s="713"/>
      <c r="G1739" s="714"/>
      <c r="H1739" s="715"/>
      <c r="I1739" s="716"/>
    </row>
    <row r="1740">
      <c r="A1740" s="709"/>
      <c r="B1740" s="710"/>
      <c r="C1740" s="711"/>
      <c r="D1740" s="712"/>
      <c r="E1740" s="712"/>
      <c r="F1740" s="713"/>
      <c r="G1740" s="714"/>
      <c r="H1740" s="715"/>
      <c r="I1740" s="716"/>
    </row>
    <row r="1741">
      <c r="A1741" s="709"/>
      <c r="B1741" s="710"/>
      <c r="C1741" s="711"/>
      <c r="D1741" s="712"/>
      <c r="E1741" s="712"/>
      <c r="F1741" s="713"/>
      <c r="G1741" s="714"/>
      <c r="H1741" s="715"/>
      <c r="I1741" s="716"/>
    </row>
    <row r="1742">
      <c r="A1742" s="709"/>
      <c r="B1742" s="710"/>
      <c r="C1742" s="711"/>
      <c r="D1742" s="712"/>
      <c r="E1742" s="712"/>
      <c r="F1742" s="713"/>
      <c r="G1742" s="714"/>
      <c r="H1742" s="715"/>
      <c r="I1742" s="716"/>
    </row>
    <row r="1743">
      <c r="A1743" s="709"/>
      <c r="B1743" s="710"/>
      <c r="C1743" s="711"/>
      <c r="D1743" s="712"/>
      <c r="E1743" s="712"/>
      <c r="F1743" s="713"/>
      <c r="G1743" s="714"/>
      <c r="H1743" s="715"/>
      <c r="I1743" s="716"/>
    </row>
    <row r="1744">
      <c r="A1744" s="709"/>
      <c r="B1744" s="710"/>
      <c r="C1744" s="711"/>
      <c r="D1744" s="712"/>
      <c r="E1744" s="712"/>
      <c r="F1744" s="713"/>
      <c r="G1744" s="714"/>
      <c r="H1744" s="715"/>
      <c r="I1744" s="716"/>
    </row>
    <row r="1745">
      <c r="A1745" s="709"/>
      <c r="B1745" s="710"/>
      <c r="C1745" s="711"/>
      <c r="D1745" s="712"/>
      <c r="E1745" s="712"/>
      <c r="F1745" s="713"/>
      <c r="G1745" s="714"/>
      <c r="H1745" s="715"/>
      <c r="I1745" s="716"/>
    </row>
    <row r="1746">
      <c r="A1746" s="709"/>
      <c r="B1746" s="710"/>
      <c r="C1746" s="711"/>
      <c r="D1746" s="712"/>
      <c r="E1746" s="712"/>
      <c r="F1746" s="713"/>
      <c r="G1746" s="714"/>
      <c r="H1746" s="715"/>
      <c r="I1746" s="716"/>
    </row>
    <row r="1747">
      <c r="A1747" s="709"/>
      <c r="B1747" s="710"/>
      <c r="C1747" s="711"/>
      <c r="D1747" s="712"/>
      <c r="E1747" s="712"/>
      <c r="F1747" s="713"/>
      <c r="G1747" s="714"/>
      <c r="H1747" s="715"/>
      <c r="I1747" s="716"/>
    </row>
    <row r="1748">
      <c r="A1748" s="709"/>
      <c r="B1748" s="710"/>
      <c r="C1748" s="711"/>
      <c r="D1748" s="712"/>
      <c r="E1748" s="712"/>
      <c r="F1748" s="713"/>
      <c r="G1748" s="714"/>
      <c r="H1748" s="715"/>
      <c r="I1748" s="716"/>
    </row>
    <row r="1749">
      <c r="A1749" s="709"/>
      <c r="B1749" s="710"/>
      <c r="C1749" s="711"/>
      <c r="D1749" s="712"/>
      <c r="E1749" s="712"/>
      <c r="F1749" s="713"/>
      <c r="G1749" s="714"/>
      <c r="H1749" s="715"/>
      <c r="I1749" s="716"/>
    </row>
    <row r="1750">
      <c r="A1750" s="709"/>
      <c r="B1750" s="710"/>
      <c r="C1750" s="711"/>
      <c r="D1750" s="712"/>
      <c r="E1750" s="712"/>
      <c r="F1750" s="713"/>
      <c r="G1750" s="714"/>
      <c r="H1750" s="715"/>
      <c r="I1750" s="716"/>
    </row>
    <row r="1751">
      <c r="A1751" s="709"/>
      <c r="B1751" s="710"/>
      <c r="C1751" s="711"/>
      <c r="D1751" s="712"/>
      <c r="E1751" s="712"/>
      <c r="F1751" s="713"/>
      <c r="G1751" s="714"/>
      <c r="H1751" s="715"/>
      <c r="I1751" s="716"/>
    </row>
    <row r="1752">
      <c r="A1752" s="709"/>
      <c r="B1752" s="710"/>
      <c r="C1752" s="711"/>
      <c r="D1752" s="712"/>
      <c r="E1752" s="712"/>
      <c r="F1752" s="713"/>
      <c r="G1752" s="714"/>
      <c r="H1752" s="715"/>
      <c r="I1752" s="716"/>
    </row>
    <row r="1753">
      <c r="A1753" s="709"/>
      <c r="B1753" s="710"/>
      <c r="C1753" s="711"/>
      <c r="D1753" s="712"/>
      <c r="E1753" s="712"/>
      <c r="F1753" s="713"/>
      <c r="G1753" s="714"/>
      <c r="H1753" s="715"/>
      <c r="I1753" s="716"/>
    </row>
    <row r="1754">
      <c r="A1754" s="709"/>
      <c r="B1754" s="710"/>
      <c r="C1754" s="711"/>
      <c r="D1754" s="712"/>
      <c r="E1754" s="712"/>
      <c r="F1754" s="713"/>
      <c r="G1754" s="714"/>
      <c r="H1754" s="715"/>
      <c r="I1754" s="716"/>
    </row>
    <row r="1755">
      <c r="A1755" s="709"/>
      <c r="B1755" s="710"/>
      <c r="C1755" s="711"/>
      <c r="D1755" s="712"/>
      <c r="E1755" s="712"/>
      <c r="F1755" s="713"/>
      <c r="G1755" s="714"/>
      <c r="H1755" s="715"/>
      <c r="I1755" s="716"/>
    </row>
    <row r="1756">
      <c r="A1756" s="709"/>
      <c r="B1756" s="710"/>
      <c r="C1756" s="711"/>
      <c r="D1756" s="712"/>
      <c r="E1756" s="712"/>
      <c r="F1756" s="713"/>
      <c r="G1756" s="714"/>
      <c r="H1756" s="715"/>
      <c r="I1756" s="716"/>
    </row>
    <row r="1757">
      <c r="A1757" s="709"/>
      <c r="B1757" s="710"/>
      <c r="C1757" s="711"/>
      <c r="D1757" s="712"/>
      <c r="E1757" s="712"/>
      <c r="F1757" s="713"/>
      <c r="G1757" s="714"/>
      <c r="H1757" s="715"/>
      <c r="I1757" s="716"/>
    </row>
    <row r="1758">
      <c r="A1758" s="709"/>
      <c r="B1758" s="710"/>
      <c r="C1758" s="711"/>
      <c r="D1758" s="712"/>
      <c r="E1758" s="712"/>
      <c r="F1758" s="713"/>
      <c r="G1758" s="714"/>
      <c r="H1758" s="715"/>
      <c r="I1758" s="716"/>
    </row>
    <row r="1759">
      <c r="A1759" s="709"/>
      <c r="B1759" s="710"/>
      <c r="C1759" s="711"/>
      <c r="D1759" s="712"/>
      <c r="E1759" s="712"/>
      <c r="F1759" s="713"/>
      <c r="G1759" s="714"/>
      <c r="H1759" s="715"/>
      <c r="I1759" s="716"/>
    </row>
    <row r="1760">
      <c r="A1760" s="709"/>
      <c r="B1760" s="710"/>
      <c r="C1760" s="711"/>
      <c r="D1760" s="712"/>
      <c r="E1760" s="712"/>
      <c r="F1760" s="713"/>
      <c r="G1760" s="714"/>
      <c r="H1760" s="715"/>
      <c r="I1760" s="716"/>
    </row>
    <row r="1761">
      <c r="A1761" s="709"/>
      <c r="B1761" s="710"/>
      <c r="C1761" s="711"/>
      <c r="D1761" s="712"/>
      <c r="E1761" s="712"/>
      <c r="F1761" s="713"/>
      <c r="G1761" s="714"/>
      <c r="H1761" s="715"/>
      <c r="I1761" s="716"/>
    </row>
    <row r="1762">
      <c r="A1762" s="709"/>
      <c r="B1762" s="710"/>
      <c r="C1762" s="711"/>
      <c r="D1762" s="712"/>
      <c r="E1762" s="712"/>
      <c r="F1762" s="713"/>
      <c r="G1762" s="714"/>
      <c r="H1762" s="715"/>
      <c r="I1762" s="716"/>
    </row>
    <row r="1763">
      <c r="A1763" s="709"/>
      <c r="B1763" s="710"/>
      <c r="C1763" s="711"/>
      <c r="D1763" s="712"/>
      <c r="E1763" s="712"/>
      <c r="F1763" s="713"/>
      <c r="G1763" s="714"/>
      <c r="H1763" s="715"/>
      <c r="I1763" s="716"/>
    </row>
    <row r="1764">
      <c r="A1764" s="709"/>
      <c r="B1764" s="710"/>
      <c r="C1764" s="711"/>
      <c r="D1764" s="712"/>
      <c r="E1764" s="712"/>
      <c r="F1764" s="713"/>
      <c r="G1764" s="714"/>
      <c r="H1764" s="715"/>
      <c r="I1764" s="716"/>
    </row>
    <row r="1765">
      <c r="A1765" s="709"/>
      <c r="B1765" s="710"/>
      <c r="C1765" s="711"/>
      <c r="D1765" s="712"/>
      <c r="E1765" s="712"/>
      <c r="F1765" s="713"/>
      <c r="G1765" s="714"/>
      <c r="H1765" s="715"/>
      <c r="I1765" s="716"/>
    </row>
    <row r="1766">
      <c r="A1766" s="709"/>
      <c r="B1766" s="710"/>
      <c r="C1766" s="711"/>
      <c r="D1766" s="712"/>
      <c r="E1766" s="712"/>
      <c r="F1766" s="713"/>
      <c r="G1766" s="714"/>
      <c r="H1766" s="715"/>
      <c r="I1766" s="716"/>
    </row>
    <row r="1767">
      <c r="A1767" s="709"/>
      <c r="B1767" s="710"/>
      <c r="C1767" s="711"/>
      <c r="D1767" s="712"/>
      <c r="E1767" s="712"/>
      <c r="F1767" s="713"/>
      <c r="G1767" s="714"/>
      <c r="H1767" s="715"/>
      <c r="I1767" s="716"/>
    </row>
    <row r="1768">
      <c r="A1768" s="709"/>
      <c r="B1768" s="710"/>
      <c r="C1768" s="711"/>
      <c r="D1768" s="712"/>
      <c r="E1768" s="712"/>
      <c r="F1768" s="713"/>
      <c r="G1768" s="714"/>
      <c r="H1768" s="715"/>
      <c r="I1768" s="716"/>
    </row>
    <row r="1769">
      <c r="A1769" s="709"/>
      <c r="B1769" s="710"/>
      <c r="C1769" s="711"/>
      <c r="D1769" s="712"/>
      <c r="E1769" s="712"/>
      <c r="F1769" s="713"/>
      <c r="G1769" s="714"/>
      <c r="H1769" s="715"/>
      <c r="I1769" s="716"/>
    </row>
    <row r="1770">
      <c r="A1770" s="709"/>
      <c r="B1770" s="710"/>
      <c r="C1770" s="711"/>
      <c r="D1770" s="712"/>
      <c r="E1770" s="712"/>
      <c r="F1770" s="713"/>
      <c r="G1770" s="714"/>
      <c r="H1770" s="715"/>
      <c r="I1770" s="716"/>
    </row>
    <row r="1771">
      <c r="A1771" s="709"/>
      <c r="B1771" s="710"/>
      <c r="C1771" s="711"/>
      <c r="D1771" s="712"/>
      <c r="E1771" s="712"/>
      <c r="F1771" s="713"/>
      <c r="G1771" s="714"/>
      <c r="H1771" s="715"/>
      <c r="I1771" s="716"/>
    </row>
    <row r="1772">
      <c r="A1772" s="709"/>
      <c r="B1772" s="710"/>
      <c r="C1772" s="711"/>
      <c r="D1772" s="712"/>
      <c r="E1772" s="712"/>
      <c r="F1772" s="713"/>
      <c r="G1772" s="714"/>
      <c r="H1772" s="715"/>
      <c r="I1772" s="716"/>
    </row>
    <row r="1773">
      <c r="A1773" s="709"/>
      <c r="B1773" s="710"/>
      <c r="C1773" s="711"/>
      <c r="D1773" s="712"/>
      <c r="E1773" s="712"/>
      <c r="F1773" s="713"/>
      <c r="G1773" s="714"/>
      <c r="H1773" s="715"/>
      <c r="I1773" s="716"/>
    </row>
    <row r="1774">
      <c r="A1774" s="709"/>
      <c r="B1774" s="710"/>
      <c r="C1774" s="711"/>
      <c r="D1774" s="712"/>
      <c r="E1774" s="712"/>
      <c r="F1774" s="713"/>
      <c r="G1774" s="714"/>
      <c r="H1774" s="715"/>
      <c r="I1774" s="716"/>
    </row>
    <row r="1775">
      <c r="A1775" s="709"/>
      <c r="B1775" s="710"/>
      <c r="C1775" s="711"/>
      <c r="D1775" s="712"/>
      <c r="E1775" s="712"/>
      <c r="F1775" s="713"/>
      <c r="G1775" s="714"/>
      <c r="H1775" s="715"/>
      <c r="I1775" s="716"/>
    </row>
    <row r="1776">
      <c r="A1776" s="709"/>
      <c r="B1776" s="710"/>
      <c r="C1776" s="711"/>
      <c r="D1776" s="712"/>
      <c r="E1776" s="712"/>
      <c r="F1776" s="713"/>
      <c r="G1776" s="714"/>
      <c r="H1776" s="715"/>
      <c r="I1776" s="716"/>
    </row>
    <row r="1777">
      <c r="A1777" s="709"/>
      <c r="B1777" s="710"/>
      <c r="C1777" s="711"/>
      <c r="D1777" s="712"/>
      <c r="E1777" s="712"/>
      <c r="F1777" s="713"/>
      <c r="G1777" s="714"/>
      <c r="H1777" s="715"/>
      <c r="I1777" s="716"/>
    </row>
    <row r="1778">
      <c r="A1778" s="709"/>
      <c r="B1778" s="710"/>
      <c r="C1778" s="711"/>
      <c r="D1778" s="712"/>
      <c r="E1778" s="712"/>
      <c r="F1778" s="713"/>
      <c r="G1778" s="714"/>
      <c r="H1778" s="715"/>
      <c r="I1778" s="716"/>
    </row>
    <row r="1779">
      <c r="A1779" s="709"/>
      <c r="B1779" s="710"/>
      <c r="C1779" s="711"/>
      <c r="D1779" s="712"/>
      <c r="E1779" s="712"/>
      <c r="F1779" s="713"/>
      <c r="G1779" s="714"/>
      <c r="H1779" s="715"/>
      <c r="I1779" s="716"/>
    </row>
    <row r="1780">
      <c r="A1780" s="709"/>
      <c r="B1780" s="710"/>
      <c r="C1780" s="711"/>
      <c r="D1780" s="712"/>
      <c r="E1780" s="712"/>
      <c r="F1780" s="713"/>
      <c r="G1780" s="714"/>
      <c r="H1780" s="715"/>
      <c r="I1780" s="716"/>
    </row>
    <row r="1781">
      <c r="A1781" s="709"/>
      <c r="B1781" s="710"/>
      <c r="C1781" s="711"/>
      <c r="D1781" s="712"/>
      <c r="E1781" s="712"/>
      <c r="F1781" s="713"/>
      <c r="G1781" s="714"/>
      <c r="H1781" s="715"/>
      <c r="I1781" s="716"/>
    </row>
    <row r="1782">
      <c r="A1782" s="709"/>
      <c r="B1782" s="710"/>
      <c r="C1782" s="711"/>
      <c r="D1782" s="712"/>
      <c r="E1782" s="712"/>
      <c r="F1782" s="713"/>
      <c r="G1782" s="714"/>
      <c r="H1782" s="715"/>
      <c r="I1782" s="716"/>
    </row>
    <row r="1783">
      <c r="A1783" s="709"/>
      <c r="B1783" s="710"/>
      <c r="C1783" s="711"/>
      <c r="D1783" s="712"/>
      <c r="E1783" s="712"/>
      <c r="F1783" s="713"/>
      <c r="G1783" s="714"/>
      <c r="H1783" s="715"/>
      <c r="I1783" s="716"/>
    </row>
    <row r="1784">
      <c r="A1784" s="709"/>
      <c r="B1784" s="710"/>
      <c r="C1784" s="711"/>
      <c r="D1784" s="712"/>
      <c r="E1784" s="712"/>
      <c r="F1784" s="713"/>
      <c r="G1784" s="714"/>
      <c r="H1784" s="715"/>
      <c r="I1784" s="716"/>
    </row>
    <row r="1785">
      <c r="A1785" s="709"/>
      <c r="B1785" s="710"/>
      <c r="C1785" s="711"/>
      <c r="D1785" s="712"/>
      <c r="E1785" s="712"/>
      <c r="F1785" s="713"/>
      <c r="G1785" s="714"/>
      <c r="H1785" s="715"/>
      <c r="I1785" s="716"/>
    </row>
    <row r="1786">
      <c r="A1786" s="709"/>
      <c r="B1786" s="710"/>
      <c r="C1786" s="711"/>
      <c r="D1786" s="712"/>
      <c r="E1786" s="712"/>
      <c r="F1786" s="713"/>
      <c r="G1786" s="714"/>
      <c r="H1786" s="715"/>
      <c r="I1786" s="716"/>
    </row>
    <row r="1787">
      <c r="A1787" s="709"/>
      <c r="B1787" s="710"/>
      <c r="C1787" s="711"/>
      <c r="D1787" s="712"/>
      <c r="E1787" s="712"/>
      <c r="F1787" s="713"/>
      <c r="G1787" s="714"/>
      <c r="H1787" s="715"/>
      <c r="I1787" s="716"/>
    </row>
    <row r="1788">
      <c r="A1788" s="709"/>
      <c r="B1788" s="710"/>
      <c r="C1788" s="711"/>
      <c r="D1788" s="712"/>
      <c r="E1788" s="712"/>
      <c r="F1788" s="713"/>
      <c r="G1788" s="714"/>
      <c r="H1788" s="715"/>
      <c r="I1788" s="716"/>
    </row>
    <row r="1789">
      <c r="A1789" s="709"/>
      <c r="B1789" s="710"/>
      <c r="C1789" s="711"/>
      <c r="D1789" s="712"/>
      <c r="E1789" s="712"/>
      <c r="F1789" s="713"/>
      <c r="G1789" s="714"/>
      <c r="H1789" s="715"/>
      <c r="I1789" s="716"/>
    </row>
    <row r="1790">
      <c r="A1790" s="709"/>
      <c r="B1790" s="710"/>
      <c r="C1790" s="711"/>
      <c r="D1790" s="712"/>
      <c r="E1790" s="712"/>
      <c r="F1790" s="713"/>
      <c r="G1790" s="714"/>
      <c r="H1790" s="715"/>
      <c r="I1790" s="716"/>
    </row>
    <row r="1791">
      <c r="A1791" s="709"/>
      <c r="B1791" s="710"/>
      <c r="C1791" s="711"/>
      <c r="D1791" s="712"/>
      <c r="E1791" s="712"/>
      <c r="F1791" s="713"/>
      <c r="G1791" s="714"/>
      <c r="H1791" s="715"/>
      <c r="I1791" s="716"/>
    </row>
    <row r="1792">
      <c r="A1792" s="709"/>
      <c r="B1792" s="710"/>
      <c r="C1792" s="711"/>
      <c r="D1792" s="712"/>
      <c r="E1792" s="712"/>
      <c r="F1792" s="713"/>
      <c r="G1792" s="714"/>
      <c r="H1792" s="715"/>
      <c r="I1792" s="716"/>
    </row>
    <row r="1793">
      <c r="A1793" s="709"/>
      <c r="B1793" s="710"/>
      <c r="C1793" s="711"/>
      <c r="D1793" s="712"/>
      <c r="E1793" s="712"/>
      <c r="F1793" s="713"/>
      <c r="G1793" s="714"/>
      <c r="H1793" s="715"/>
      <c r="I1793" s="716"/>
    </row>
    <row r="1794">
      <c r="A1794" s="709"/>
      <c r="B1794" s="710"/>
      <c r="C1794" s="711"/>
      <c r="D1794" s="712"/>
      <c r="E1794" s="712"/>
      <c r="F1794" s="713"/>
      <c r="G1794" s="714"/>
      <c r="H1794" s="715"/>
      <c r="I1794" s="716"/>
    </row>
    <row r="1795">
      <c r="A1795" s="709"/>
      <c r="B1795" s="710"/>
      <c r="C1795" s="711"/>
      <c r="D1795" s="712"/>
      <c r="E1795" s="712"/>
      <c r="F1795" s="713"/>
      <c r="G1795" s="714"/>
      <c r="H1795" s="715"/>
      <c r="I1795" s="716"/>
    </row>
    <row r="1796">
      <c r="A1796" s="709"/>
      <c r="B1796" s="710"/>
      <c r="C1796" s="711"/>
      <c r="D1796" s="712"/>
      <c r="E1796" s="712"/>
      <c r="F1796" s="713"/>
      <c r="G1796" s="714"/>
      <c r="H1796" s="715"/>
      <c r="I1796" s="716"/>
    </row>
    <row r="1797">
      <c r="A1797" s="709"/>
      <c r="B1797" s="710"/>
      <c r="C1797" s="711"/>
      <c r="D1797" s="712"/>
      <c r="E1797" s="712"/>
      <c r="F1797" s="713"/>
      <c r="G1797" s="714"/>
      <c r="H1797" s="715"/>
      <c r="I1797" s="716"/>
    </row>
    <row r="1798">
      <c r="A1798" s="709"/>
      <c r="B1798" s="710"/>
      <c r="C1798" s="711"/>
      <c r="D1798" s="712"/>
      <c r="E1798" s="712"/>
      <c r="F1798" s="713"/>
      <c r="G1798" s="714"/>
      <c r="H1798" s="715"/>
      <c r="I1798" s="716"/>
    </row>
    <row r="1799">
      <c r="A1799" s="709"/>
      <c r="B1799" s="710"/>
      <c r="C1799" s="711"/>
      <c r="D1799" s="712"/>
      <c r="E1799" s="712"/>
      <c r="F1799" s="713"/>
      <c r="G1799" s="714"/>
      <c r="H1799" s="715"/>
      <c r="I1799" s="716"/>
    </row>
    <row r="1800">
      <c r="A1800" s="709"/>
      <c r="B1800" s="710"/>
      <c r="C1800" s="711"/>
      <c r="D1800" s="712"/>
      <c r="E1800" s="712"/>
      <c r="F1800" s="713"/>
      <c r="G1800" s="714"/>
      <c r="H1800" s="715"/>
      <c r="I1800" s="716"/>
    </row>
    <row r="1801">
      <c r="A1801" s="709"/>
      <c r="B1801" s="710"/>
      <c r="C1801" s="711"/>
      <c r="D1801" s="712"/>
      <c r="E1801" s="712"/>
      <c r="F1801" s="713"/>
      <c r="G1801" s="714"/>
      <c r="H1801" s="715"/>
      <c r="I1801" s="716"/>
    </row>
    <row r="1802">
      <c r="A1802" s="709"/>
      <c r="B1802" s="710"/>
      <c r="C1802" s="711"/>
      <c r="D1802" s="712"/>
      <c r="E1802" s="712"/>
      <c r="F1802" s="713"/>
      <c r="G1802" s="714"/>
      <c r="H1802" s="715"/>
      <c r="I1802" s="716"/>
    </row>
    <row r="1803">
      <c r="A1803" s="709"/>
      <c r="B1803" s="710"/>
      <c r="C1803" s="711"/>
      <c r="D1803" s="712"/>
      <c r="E1803" s="712"/>
      <c r="F1803" s="713"/>
      <c r="G1803" s="714"/>
      <c r="H1803" s="715"/>
      <c r="I1803" s="716"/>
    </row>
    <row r="1804">
      <c r="A1804" s="709"/>
      <c r="B1804" s="710"/>
      <c r="C1804" s="711"/>
      <c r="D1804" s="712"/>
      <c r="E1804" s="712"/>
      <c r="F1804" s="713"/>
      <c r="G1804" s="714"/>
      <c r="H1804" s="715"/>
      <c r="I1804" s="716"/>
    </row>
    <row r="1805">
      <c r="A1805" s="709"/>
      <c r="B1805" s="710"/>
      <c r="C1805" s="711"/>
      <c r="D1805" s="712"/>
      <c r="E1805" s="712"/>
      <c r="F1805" s="713"/>
      <c r="G1805" s="714"/>
      <c r="H1805" s="715"/>
      <c r="I1805" s="716"/>
    </row>
    <row r="1806">
      <c r="A1806" s="709"/>
      <c r="B1806" s="710"/>
      <c r="C1806" s="711"/>
      <c r="D1806" s="712"/>
      <c r="E1806" s="712"/>
      <c r="F1806" s="713"/>
      <c r="G1806" s="714"/>
      <c r="H1806" s="715"/>
      <c r="I1806" s="716"/>
    </row>
    <row r="1807">
      <c r="A1807" s="709"/>
      <c r="B1807" s="710"/>
      <c r="C1807" s="711"/>
      <c r="D1807" s="712"/>
      <c r="E1807" s="712"/>
      <c r="F1807" s="713"/>
      <c r="G1807" s="714"/>
      <c r="H1807" s="715"/>
      <c r="I1807" s="716"/>
    </row>
    <row r="1808">
      <c r="A1808" s="709"/>
      <c r="B1808" s="710"/>
      <c r="C1808" s="711"/>
      <c r="D1808" s="712"/>
      <c r="E1808" s="712"/>
      <c r="F1808" s="713"/>
      <c r="G1808" s="714"/>
      <c r="H1808" s="715"/>
      <c r="I1808" s="716"/>
    </row>
    <row r="1809">
      <c r="A1809" s="709"/>
      <c r="B1809" s="710"/>
      <c r="C1809" s="711"/>
      <c r="D1809" s="712"/>
      <c r="E1809" s="712"/>
      <c r="F1809" s="713"/>
      <c r="G1809" s="714"/>
      <c r="H1809" s="715"/>
      <c r="I1809" s="716"/>
    </row>
    <row r="1810">
      <c r="A1810" s="709"/>
      <c r="B1810" s="710"/>
      <c r="C1810" s="711"/>
      <c r="D1810" s="712"/>
      <c r="E1810" s="712"/>
      <c r="F1810" s="713"/>
      <c r="G1810" s="714"/>
      <c r="H1810" s="715"/>
      <c r="I1810" s="716"/>
    </row>
    <row r="1811">
      <c r="A1811" s="709"/>
      <c r="B1811" s="710"/>
      <c r="C1811" s="711"/>
      <c r="D1811" s="712"/>
      <c r="E1811" s="712"/>
      <c r="F1811" s="713"/>
      <c r="G1811" s="714"/>
      <c r="H1811" s="715"/>
      <c r="I1811" s="716"/>
    </row>
    <row r="1812">
      <c r="A1812" s="709"/>
      <c r="B1812" s="710"/>
      <c r="C1812" s="711"/>
      <c r="D1812" s="712"/>
      <c r="E1812" s="712"/>
      <c r="F1812" s="713"/>
      <c r="G1812" s="714"/>
      <c r="H1812" s="715"/>
      <c r="I1812" s="716"/>
    </row>
    <row r="1813">
      <c r="A1813" s="709"/>
      <c r="B1813" s="710"/>
      <c r="C1813" s="711"/>
      <c r="D1813" s="712"/>
      <c r="E1813" s="712"/>
      <c r="F1813" s="713"/>
      <c r="G1813" s="714"/>
      <c r="H1813" s="715"/>
      <c r="I1813" s="716"/>
    </row>
    <row r="1814">
      <c r="A1814" s="709"/>
      <c r="B1814" s="710"/>
      <c r="C1814" s="711"/>
      <c r="D1814" s="712"/>
      <c r="E1814" s="712"/>
      <c r="F1814" s="713"/>
      <c r="G1814" s="714"/>
      <c r="H1814" s="715"/>
      <c r="I1814" s="716"/>
    </row>
    <row r="1815">
      <c r="A1815" s="709"/>
      <c r="B1815" s="710"/>
      <c r="C1815" s="711"/>
      <c r="D1815" s="712"/>
      <c r="E1815" s="712"/>
      <c r="F1815" s="713"/>
      <c r="G1815" s="714"/>
      <c r="H1815" s="715"/>
      <c r="I1815" s="716"/>
    </row>
    <row r="1816">
      <c r="A1816" s="709"/>
      <c r="B1816" s="710"/>
      <c r="C1816" s="711"/>
      <c r="D1816" s="712"/>
      <c r="E1816" s="712"/>
      <c r="F1816" s="713"/>
      <c r="G1816" s="714"/>
      <c r="H1816" s="715"/>
      <c r="I1816" s="716"/>
    </row>
    <row r="1817">
      <c r="A1817" s="709"/>
      <c r="B1817" s="710"/>
      <c r="C1817" s="711"/>
      <c r="D1817" s="712"/>
      <c r="E1817" s="712"/>
      <c r="F1817" s="713"/>
      <c r="G1817" s="714"/>
      <c r="H1817" s="715"/>
      <c r="I1817" s="716"/>
    </row>
    <row r="1818">
      <c r="A1818" s="709"/>
      <c r="B1818" s="710"/>
      <c r="C1818" s="711"/>
      <c r="D1818" s="712"/>
      <c r="E1818" s="712"/>
      <c r="F1818" s="713"/>
      <c r="G1818" s="714"/>
      <c r="H1818" s="715"/>
      <c r="I1818" s="716"/>
    </row>
    <row r="1819">
      <c r="A1819" s="709"/>
      <c r="B1819" s="710"/>
      <c r="C1819" s="711"/>
      <c r="D1819" s="712"/>
      <c r="E1819" s="712"/>
      <c r="F1819" s="713"/>
      <c r="G1819" s="714"/>
      <c r="H1819" s="715"/>
      <c r="I1819" s="716"/>
    </row>
    <row r="1820">
      <c r="A1820" s="709"/>
      <c r="B1820" s="710"/>
      <c r="C1820" s="711"/>
      <c r="D1820" s="712"/>
      <c r="E1820" s="712"/>
      <c r="F1820" s="713"/>
      <c r="G1820" s="714"/>
      <c r="H1820" s="715"/>
      <c r="I1820" s="716"/>
    </row>
    <row r="1821">
      <c r="A1821" s="709"/>
      <c r="B1821" s="710"/>
      <c r="C1821" s="711"/>
      <c r="D1821" s="712"/>
      <c r="E1821" s="712"/>
      <c r="F1821" s="713"/>
      <c r="G1821" s="714"/>
      <c r="H1821" s="715"/>
      <c r="I1821" s="716"/>
    </row>
    <row r="1822">
      <c r="A1822" s="709"/>
      <c r="B1822" s="710"/>
      <c r="C1822" s="711"/>
      <c r="D1822" s="712"/>
      <c r="E1822" s="712"/>
      <c r="F1822" s="713"/>
      <c r="G1822" s="714"/>
      <c r="H1822" s="715"/>
      <c r="I1822" s="716"/>
    </row>
    <row r="1823">
      <c r="A1823" s="709"/>
      <c r="B1823" s="710"/>
      <c r="C1823" s="711"/>
      <c r="D1823" s="712"/>
      <c r="E1823" s="712"/>
      <c r="F1823" s="713"/>
      <c r="G1823" s="714"/>
      <c r="H1823" s="715"/>
      <c r="I1823" s="716"/>
    </row>
    <row r="1824">
      <c r="A1824" s="709"/>
      <c r="B1824" s="710"/>
      <c r="C1824" s="711"/>
      <c r="D1824" s="712"/>
      <c r="E1824" s="712"/>
      <c r="F1824" s="713"/>
      <c r="G1824" s="714"/>
      <c r="H1824" s="715"/>
      <c r="I1824" s="716"/>
    </row>
    <row r="1825">
      <c r="A1825" s="709"/>
      <c r="B1825" s="710"/>
      <c r="C1825" s="711"/>
      <c r="D1825" s="712"/>
      <c r="E1825" s="712"/>
      <c r="F1825" s="713"/>
      <c r="G1825" s="714"/>
      <c r="H1825" s="715"/>
      <c r="I1825" s="716"/>
    </row>
    <row r="1826">
      <c r="A1826" s="709"/>
      <c r="B1826" s="710"/>
      <c r="C1826" s="711"/>
      <c r="D1826" s="712"/>
      <c r="E1826" s="712"/>
      <c r="F1826" s="713"/>
      <c r="G1826" s="714"/>
      <c r="H1826" s="715"/>
      <c r="I1826" s="716"/>
    </row>
    <row r="1827">
      <c r="A1827" s="709"/>
      <c r="B1827" s="710"/>
      <c r="C1827" s="711"/>
      <c r="D1827" s="712"/>
      <c r="E1827" s="712"/>
      <c r="F1827" s="713"/>
      <c r="G1827" s="714"/>
      <c r="H1827" s="715"/>
      <c r="I1827" s="716"/>
    </row>
    <row r="1828">
      <c r="A1828" s="709"/>
      <c r="B1828" s="710"/>
      <c r="C1828" s="711"/>
      <c r="D1828" s="712"/>
      <c r="E1828" s="712"/>
      <c r="F1828" s="713"/>
      <c r="G1828" s="714"/>
      <c r="H1828" s="715"/>
      <c r="I1828" s="716"/>
    </row>
    <row r="1829">
      <c r="A1829" s="709"/>
      <c r="B1829" s="710"/>
      <c r="C1829" s="711"/>
      <c r="D1829" s="712"/>
      <c r="E1829" s="712"/>
      <c r="F1829" s="713"/>
      <c r="G1829" s="714"/>
      <c r="H1829" s="715"/>
      <c r="I1829" s="716"/>
    </row>
    <row r="1830">
      <c r="A1830" s="709"/>
      <c r="B1830" s="710"/>
      <c r="C1830" s="711"/>
      <c r="D1830" s="712"/>
      <c r="E1830" s="712"/>
      <c r="F1830" s="713"/>
      <c r="G1830" s="714"/>
      <c r="H1830" s="715"/>
      <c r="I1830" s="716"/>
    </row>
    <row r="1831">
      <c r="A1831" s="709"/>
      <c r="B1831" s="710"/>
      <c r="C1831" s="711"/>
      <c r="D1831" s="712"/>
      <c r="E1831" s="712"/>
      <c r="F1831" s="713"/>
      <c r="G1831" s="714"/>
      <c r="H1831" s="715"/>
      <c r="I1831" s="716"/>
    </row>
    <row r="1832">
      <c r="A1832" s="709"/>
      <c r="B1832" s="710"/>
      <c r="C1832" s="711"/>
      <c r="D1832" s="712"/>
      <c r="E1832" s="712"/>
      <c r="F1832" s="713"/>
      <c r="G1832" s="714"/>
      <c r="H1832" s="715"/>
      <c r="I1832" s="716"/>
    </row>
    <row r="1833">
      <c r="A1833" s="709"/>
      <c r="B1833" s="710"/>
      <c r="C1833" s="711"/>
      <c r="D1833" s="712"/>
      <c r="E1833" s="712"/>
      <c r="F1833" s="713"/>
      <c r="G1833" s="714"/>
      <c r="H1833" s="715"/>
      <c r="I1833" s="716"/>
    </row>
    <row r="1834">
      <c r="A1834" s="709"/>
      <c r="B1834" s="710"/>
      <c r="C1834" s="711"/>
      <c r="D1834" s="712"/>
      <c r="E1834" s="712"/>
      <c r="F1834" s="713"/>
      <c r="G1834" s="714"/>
      <c r="H1834" s="715"/>
      <c r="I1834" s="716"/>
    </row>
    <row r="1835">
      <c r="A1835" s="709"/>
      <c r="B1835" s="710"/>
      <c r="C1835" s="711"/>
      <c r="D1835" s="712"/>
      <c r="E1835" s="712"/>
      <c r="F1835" s="713"/>
      <c r="G1835" s="714"/>
      <c r="H1835" s="715"/>
      <c r="I1835" s="716"/>
    </row>
    <row r="1836">
      <c r="A1836" s="709"/>
      <c r="B1836" s="710"/>
      <c r="C1836" s="711"/>
      <c r="D1836" s="712"/>
      <c r="E1836" s="712"/>
      <c r="F1836" s="713"/>
      <c r="G1836" s="714"/>
      <c r="H1836" s="715"/>
      <c r="I1836" s="716"/>
    </row>
    <row r="1837">
      <c r="A1837" s="709"/>
      <c r="B1837" s="710"/>
      <c r="C1837" s="711"/>
      <c r="D1837" s="712"/>
      <c r="E1837" s="712"/>
      <c r="F1837" s="713"/>
      <c r="G1837" s="714"/>
      <c r="H1837" s="715"/>
      <c r="I1837" s="716"/>
    </row>
    <row r="1838">
      <c r="A1838" s="709"/>
      <c r="B1838" s="710"/>
      <c r="C1838" s="711"/>
      <c r="D1838" s="712"/>
      <c r="E1838" s="712"/>
      <c r="F1838" s="713"/>
      <c r="G1838" s="714"/>
      <c r="H1838" s="715"/>
      <c r="I1838" s="716"/>
    </row>
    <row r="1839">
      <c r="A1839" s="709"/>
      <c r="B1839" s="710"/>
      <c r="C1839" s="711"/>
      <c r="D1839" s="712"/>
      <c r="E1839" s="712"/>
      <c r="F1839" s="713"/>
      <c r="G1839" s="714"/>
      <c r="H1839" s="715"/>
      <c r="I1839" s="716"/>
    </row>
    <row r="1840">
      <c r="A1840" s="709"/>
      <c r="B1840" s="710"/>
      <c r="C1840" s="711"/>
      <c r="D1840" s="712"/>
      <c r="E1840" s="712"/>
      <c r="F1840" s="713"/>
      <c r="G1840" s="714"/>
      <c r="H1840" s="715"/>
      <c r="I1840" s="716"/>
    </row>
    <row r="1841">
      <c r="A1841" s="709"/>
      <c r="B1841" s="710"/>
      <c r="C1841" s="711"/>
      <c r="D1841" s="712"/>
      <c r="E1841" s="712"/>
      <c r="F1841" s="713"/>
      <c r="G1841" s="714"/>
      <c r="H1841" s="715"/>
      <c r="I1841" s="716"/>
    </row>
    <row r="1842">
      <c r="A1842" s="709"/>
      <c r="B1842" s="710"/>
      <c r="C1842" s="711"/>
      <c r="D1842" s="712"/>
      <c r="E1842" s="712"/>
      <c r="F1842" s="713"/>
      <c r="G1842" s="714"/>
      <c r="H1842" s="715"/>
      <c r="I1842" s="716"/>
    </row>
    <row r="1843">
      <c r="A1843" s="709"/>
      <c r="B1843" s="710"/>
      <c r="C1843" s="711"/>
      <c r="D1843" s="712"/>
      <c r="E1843" s="712"/>
      <c r="F1843" s="713"/>
      <c r="G1843" s="714"/>
      <c r="H1843" s="715"/>
      <c r="I1843" s="716"/>
    </row>
    <row r="1844">
      <c r="A1844" s="709"/>
      <c r="B1844" s="710"/>
      <c r="C1844" s="711"/>
      <c r="D1844" s="712"/>
      <c r="E1844" s="712"/>
      <c r="F1844" s="713"/>
      <c r="G1844" s="714"/>
      <c r="H1844" s="715"/>
      <c r="I1844" s="716"/>
    </row>
    <row r="1845">
      <c r="A1845" s="709"/>
      <c r="B1845" s="710"/>
      <c r="C1845" s="711"/>
      <c r="D1845" s="712"/>
      <c r="E1845" s="712"/>
      <c r="F1845" s="713"/>
      <c r="G1845" s="714"/>
      <c r="H1845" s="715"/>
      <c r="I1845" s="716"/>
    </row>
    <row r="1846">
      <c r="A1846" s="709"/>
      <c r="B1846" s="710"/>
      <c r="C1846" s="711"/>
      <c r="D1846" s="712"/>
      <c r="E1846" s="712"/>
      <c r="F1846" s="713"/>
      <c r="G1846" s="714"/>
      <c r="H1846" s="715"/>
      <c r="I1846" s="716"/>
    </row>
    <row r="1847">
      <c r="A1847" s="709"/>
      <c r="B1847" s="710"/>
      <c r="C1847" s="711"/>
      <c r="D1847" s="712"/>
      <c r="E1847" s="712"/>
      <c r="F1847" s="713"/>
      <c r="G1847" s="714"/>
      <c r="H1847" s="715"/>
      <c r="I1847" s="716"/>
    </row>
    <row r="1848">
      <c r="A1848" s="709"/>
      <c r="B1848" s="710"/>
      <c r="C1848" s="711"/>
      <c r="D1848" s="712"/>
      <c r="E1848" s="712"/>
      <c r="F1848" s="713"/>
      <c r="G1848" s="714"/>
      <c r="H1848" s="715"/>
      <c r="I1848" s="716"/>
    </row>
    <row r="1849">
      <c r="A1849" s="709"/>
      <c r="B1849" s="710"/>
      <c r="C1849" s="711"/>
      <c r="D1849" s="712"/>
      <c r="E1849" s="712"/>
      <c r="F1849" s="713"/>
      <c r="G1849" s="714"/>
      <c r="H1849" s="715"/>
      <c r="I1849" s="716"/>
    </row>
    <row r="1850">
      <c r="A1850" s="709"/>
      <c r="B1850" s="710"/>
      <c r="C1850" s="711"/>
      <c r="D1850" s="712"/>
      <c r="E1850" s="712"/>
      <c r="F1850" s="713"/>
      <c r="G1850" s="714"/>
      <c r="H1850" s="715"/>
      <c r="I1850" s="716"/>
    </row>
    <row r="1851">
      <c r="A1851" s="709"/>
      <c r="B1851" s="710"/>
      <c r="C1851" s="711"/>
      <c r="D1851" s="712"/>
      <c r="E1851" s="712"/>
      <c r="F1851" s="713"/>
      <c r="G1851" s="714"/>
      <c r="H1851" s="715"/>
      <c r="I1851" s="716"/>
    </row>
    <row r="1852">
      <c r="A1852" s="709"/>
      <c r="B1852" s="710"/>
      <c r="C1852" s="711"/>
      <c r="D1852" s="712"/>
      <c r="E1852" s="712"/>
      <c r="F1852" s="713"/>
      <c r="G1852" s="714"/>
      <c r="H1852" s="715"/>
      <c r="I1852" s="716"/>
    </row>
    <row r="1853">
      <c r="A1853" s="709"/>
      <c r="B1853" s="710"/>
      <c r="C1853" s="711"/>
      <c r="D1853" s="712"/>
      <c r="E1853" s="712"/>
      <c r="F1853" s="713"/>
      <c r="G1853" s="714"/>
      <c r="H1853" s="715"/>
      <c r="I1853" s="716"/>
    </row>
    <row r="1854">
      <c r="A1854" s="709"/>
      <c r="B1854" s="710"/>
      <c r="C1854" s="711"/>
      <c r="D1854" s="712"/>
      <c r="E1854" s="712"/>
      <c r="F1854" s="713"/>
      <c r="G1854" s="714"/>
      <c r="H1854" s="715"/>
      <c r="I1854" s="716"/>
    </row>
    <row r="1855">
      <c r="A1855" s="709"/>
      <c r="B1855" s="710"/>
      <c r="C1855" s="711"/>
      <c r="D1855" s="712"/>
      <c r="E1855" s="712"/>
      <c r="F1855" s="713"/>
      <c r="G1855" s="714"/>
      <c r="H1855" s="715"/>
      <c r="I1855" s="716"/>
    </row>
    <row r="1856">
      <c r="A1856" s="709"/>
      <c r="B1856" s="710"/>
      <c r="C1856" s="711"/>
      <c r="D1856" s="712"/>
      <c r="E1856" s="712"/>
      <c r="F1856" s="713"/>
      <c r="G1856" s="714"/>
      <c r="H1856" s="715"/>
      <c r="I1856" s="716"/>
    </row>
    <row r="1857">
      <c r="A1857" s="709"/>
      <c r="B1857" s="710"/>
      <c r="C1857" s="711"/>
      <c r="D1857" s="712"/>
      <c r="E1857" s="712"/>
      <c r="F1857" s="713"/>
      <c r="G1857" s="714"/>
      <c r="H1857" s="715"/>
      <c r="I1857" s="716"/>
    </row>
    <row r="1858">
      <c r="A1858" s="709"/>
      <c r="B1858" s="710"/>
      <c r="C1858" s="711"/>
      <c r="D1858" s="712"/>
      <c r="E1858" s="712"/>
      <c r="F1858" s="713"/>
      <c r="G1858" s="714"/>
      <c r="H1858" s="715"/>
      <c r="I1858" s="716"/>
    </row>
    <row r="1859">
      <c r="A1859" s="709"/>
      <c r="B1859" s="710"/>
      <c r="C1859" s="711"/>
      <c r="D1859" s="712"/>
      <c r="E1859" s="712"/>
      <c r="F1859" s="713"/>
      <c r="G1859" s="714"/>
      <c r="H1859" s="715"/>
      <c r="I1859" s="716"/>
    </row>
    <row r="1860">
      <c r="A1860" s="709"/>
      <c r="B1860" s="710"/>
      <c r="C1860" s="711"/>
      <c r="D1860" s="712"/>
      <c r="E1860" s="712"/>
      <c r="F1860" s="713"/>
      <c r="G1860" s="714"/>
      <c r="H1860" s="715"/>
      <c r="I1860" s="716"/>
    </row>
    <row r="1861">
      <c r="A1861" s="709"/>
      <c r="B1861" s="710"/>
      <c r="C1861" s="711"/>
      <c r="D1861" s="712"/>
      <c r="E1861" s="712"/>
      <c r="F1861" s="713"/>
      <c r="G1861" s="714"/>
      <c r="H1861" s="715"/>
      <c r="I1861" s="716"/>
    </row>
    <row r="1862">
      <c r="A1862" s="709"/>
      <c r="B1862" s="710"/>
      <c r="C1862" s="711"/>
      <c r="D1862" s="712"/>
      <c r="E1862" s="712"/>
      <c r="F1862" s="713"/>
      <c r="G1862" s="714"/>
      <c r="H1862" s="715"/>
      <c r="I1862" s="716"/>
    </row>
    <row r="1863">
      <c r="A1863" s="709"/>
      <c r="B1863" s="710"/>
      <c r="C1863" s="711"/>
      <c r="D1863" s="712"/>
      <c r="E1863" s="712"/>
      <c r="F1863" s="713"/>
      <c r="G1863" s="714"/>
      <c r="H1863" s="715"/>
      <c r="I1863" s="716"/>
    </row>
    <row r="1864">
      <c r="A1864" s="709"/>
      <c r="B1864" s="710"/>
      <c r="C1864" s="711"/>
      <c r="D1864" s="712"/>
      <c r="E1864" s="712"/>
      <c r="F1864" s="713"/>
      <c r="G1864" s="714"/>
      <c r="H1864" s="715"/>
      <c r="I1864" s="716"/>
    </row>
    <row r="1865">
      <c r="A1865" s="709"/>
      <c r="B1865" s="710"/>
      <c r="C1865" s="711"/>
      <c r="D1865" s="712"/>
      <c r="E1865" s="712"/>
      <c r="F1865" s="713"/>
      <c r="G1865" s="714"/>
      <c r="H1865" s="715"/>
      <c r="I1865" s="716"/>
    </row>
    <row r="1866">
      <c r="A1866" s="709"/>
      <c r="B1866" s="710"/>
      <c r="C1866" s="711"/>
      <c r="D1866" s="712"/>
      <c r="E1866" s="712"/>
      <c r="F1866" s="713"/>
      <c r="G1866" s="714"/>
      <c r="H1866" s="715"/>
      <c r="I1866" s="716"/>
    </row>
    <row r="1867">
      <c r="A1867" s="709"/>
      <c r="B1867" s="710"/>
      <c r="C1867" s="711"/>
      <c r="D1867" s="712"/>
      <c r="E1867" s="712"/>
      <c r="F1867" s="713"/>
      <c r="G1867" s="714"/>
      <c r="H1867" s="715"/>
      <c r="I1867" s="716"/>
    </row>
    <row r="1868">
      <c r="A1868" s="709"/>
      <c r="B1868" s="710"/>
      <c r="C1868" s="711"/>
      <c r="D1868" s="712"/>
      <c r="E1868" s="712"/>
      <c r="F1868" s="713"/>
      <c r="G1868" s="714"/>
      <c r="H1868" s="715"/>
      <c r="I1868" s="716"/>
    </row>
    <row r="1869">
      <c r="A1869" s="709"/>
      <c r="B1869" s="710"/>
      <c r="C1869" s="711"/>
      <c r="D1869" s="712"/>
      <c r="E1869" s="712"/>
      <c r="F1869" s="713"/>
      <c r="G1869" s="714"/>
      <c r="H1869" s="715"/>
      <c r="I1869" s="716"/>
    </row>
    <row r="1870">
      <c r="A1870" s="709"/>
      <c r="B1870" s="710"/>
      <c r="C1870" s="711"/>
      <c r="D1870" s="712"/>
      <c r="E1870" s="712"/>
      <c r="F1870" s="713"/>
      <c r="G1870" s="714"/>
      <c r="H1870" s="715"/>
      <c r="I1870" s="716"/>
    </row>
    <row r="1871">
      <c r="A1871" s="709"/>
      <c r="B1871" s="710"/>
      <c r="C1871" s="711"/>
      <c r="D1871" s="712"/>
      <c r="E1871" s="712"/>
      <c r="F1871" s="713"/>
      <c r="G1871" s="714"/>
      <c r="H1871" s="715"/>
      <c r="I1871" s="716"/>
    </row>
    <row r="1872">
      <c r="A1872" s="709"/>
      <c r="B1872" s="710"/>
      <c r="C1872" s="711"/>
      <c r="D1872" s="712"/>
      <c r="E1872" s="712"/>
      <c r="F1872" s="713"/>
      <c r="G1872" s="714"/>
      <c r="H1872" s="715"/>
      <c r="I1872" s="716"/>
    </row>
    <row r="1873">
      <c r="A1873" s="709"/>
      <c r="B1873" s="710"/>
      <c r="C1873" s="711"/>
      <c r="D1873" s="712"/>
      <c r="E1873" s="712"/>
      <c r="F1873" s="713"/>
      <c r="G1873" s="714"/>
      <c r="H1873" s="715"/>
      <c r="I1873" s="716"/>
    </row>
    <row r="1874">
      <c r="A1874" s="709"/>
      <c r="B1874" s="710"/>
      <c r="C1874" s="711"/>
      <c r="D1874" s="712"/>
      <c r="E1874" s="712"/>
      <c r="F1874" s="713"/>
      <c r="G1874" s="714"/>
      <c r="H1874" s="715"/>
      <c r="I1874" s="716"/>
    </row>
    <row r="1875">
      <c r="A1875" s="709"/>
      <c r="B1875" s="710"/>
      <c r="C1875" s="711"/>
      <c r="D1875" s="712"/>
      <c r="E1875" s="712"/>
      <c r="F1875" s="713"/>
      <c r="G1875" s="714"/>
      <c r="H1875" s="715"/>
      <c r="I1875" s="716"/>
    </row>
    <row r="1876">
      <c r="A1876" s="709"/>
      <c r="B1876" s="710"/>
      <c r="C1876" s="711"/>
      <c r="D1876" s="712"/>
      <c r="E1876" s="712"/>
      <c r="F1876" s="713"/>
      <c r="G1876" s="714"/>
      <c r="H1876" s="715"/>
      <c r="I1876" s="716"/>
    </row>
    <row r="1877">
      <c r="A1877" s="709"/>
      <c r="B1877" s="710"/>
      <c r="C1877" s="711"/>
      <c r="D1877" s="712"/>
      <c r="E1877" s="712"/>
      <c r="F1877" s="713"/>
      <c r="G1877" s="714"/>
      <c r="H1877" s="715"/>
      <c r="I1877" s="716"/>
    </row>
    <row r="1878">
      <c r="A1878" s="709"/>
      <c r="B1878" s="710"/>
      <c r="C1878" s="711"/>
      <c r="D1878" s="712"/>
      <c r="E1878" s="712"/>
      <c r="F1878" s="713"/>
      <c r="G1878" s="714"/>
      <c r="H1878" s="715"/>
      <c r="I1878" s="716"/>
    </row>
    <row r="1879">
      <c r="A1879" s="709"/>
      <c r="B1879" s="710"/>
      <c r="C1879" s="711"/>
      <c r="D1879" s="712"/>
      <c r="E1879" s="712"/>
      <c r="F1879" s="713"/>
      <c r="G1879" s="714"/>
      <c r="H1879" s="715"/>
      <c r="I1879" s="716"/>
    </row>
    <row r="1880">
      <c r="A1880" s="709"/>
      <c r="B1880" s="710"/>
      <c r="C1880" s="711"/>
      <c r="D1880" s="712"/>
      <c r="E1880" s="712"/>
      <c r="F1880" s="713"/>
      <c r="G1880" s="714"/>
      <c r="H1880" s="715"/>
      <c r="I1880" s="716"/>
    </row>
    <row r="1881">
      <c r="A1881" s="709"/>
      <c r="B1881" s="710"/>
      <c r="C1881" s="711"/>
      <c r="D1881" s="712"/>
      <c r="E1881" s="712"/>
      <c r="F1881" s="713"/>
      <c r="G1881" s="714"/>
      <c r="H1881" s="715"/>
      <c r="I1881" s="716"/>
    </row>
    <row r="1882">
      <c r="A1882" s="709"/>
      <c r="B1882" s="710"/>
      <c r="C1882" s="711"/>
      <c r="D1882" s="712"/>
      <c r="E1882" s="712"/>
      <c r="F1882" s="713"/>
      <c r="G1882" s="714"/>
      <c r="H1882" s="715"/>
      <c r="I1882" s="716"/>
    </row>
    <row r="1883">
      <c r="A1883" s="709"/>
      <c r="B1883" s="710"/>
      <c r="C1883" s="711"/>
      <c r="D1883" s="712"/>
      <c r="E1883" s="712"/>
      <c r="F1883" s="713"/>
      <c r="G1883" s="714"/>
      <c r="H1883" s="715"/>
      <c r="I1883" s="716"/>
    </row>
    <row r="1884">
      <c r="A1884" s="709"/>
      <c r="B1884" s="710"/>
      <c r="C1884" s="711"/>
      <c r="D1884" s="712"/>
      <c r="E1884" s="712"/>
      <c r="F1884" s="713"/>
      <c r="G1884" s="714"/>
      <c r="H1884" s="715"/>
      <c r="I1884" s="716"/>
    </row>
    <row r="1885">
      <c r="A1885" s="709"/>
      <c r="B1885" s="710"/>
      <c r="C1885" s="711"/>
      <c r="D1885" s="712"/>
      <c r="E1885" s="712"/>
      <c r="F1885" s="713"/>
      <c r="G1885" s="714"/>
      <c r="H1885" s="715"/>
      <c r="I1885" s="716"/>
    </row>
    <row r="1886">
      <c r="A1886" s="709"/>
      <c r="B1886" s="710"/>
      <c r="C1886" s="711"/>
      <c r="D1886" s="712"/>
      <c r="E1886" s="712"/>
      <c r="F1886" s="713"/>
      <c r="G1886" s="714"/>
      <c r="H1886" s="715"/>
      <c r="I1886" s="716"/>
    </row>
    <row r="1887">
      <c r="A1887" s="709"/>
      <c r="B1887" s="710"/>
      <c r="C1887" s="711"/>
      <c r="D1887" s="712"/>
      <c r="E1887" s="712"/>
      <c r="F1887" s="713"/>
      <c r="G1887" s="714"/>
      <c r="H1887" s="715"/>
      <c r="I1887" s="716"/>
    </row>
    <row r="1888">
      <c r="A1888" s="709"/>
      <c r="B1888" s="710"/>
      <c r="C1888" s="711"/>
      <c r="D1888" s="712"/>
      <c r="E1888" s="712"/>
      <c r="F1888" s="713"/>
      <c r="G1888" s="714"/>
      <c r="H1888" s="715"/>
      <c r="I1888" s="716"/>
    </row>
    <row r="1889">
      <c r="A1889" s="709"/>
      <c r="B1889" s="710"/>
      <c r="C1889" s="711"/>
      <c r="D1889" s="712"/>
      <c r="E1889" s="712"/>
      <c r="F1889" s="713"/>
      <c r="G1889" s="714"/>
      <c r="H1889" s="715"/>
      <c r="I1889" s="716"/>
    </row>
    <row r="1890">
      <c r="A1890" s="709"/>
      <c r="B1890" s="710"/>
      <c r="C1890" s="711"/>
      <c r="D1890" s="712"/>
      <c r="E1890" s="712"/>
      <c r="F1890" s="713"/>
      <c r="G1890" s="714"/>
      <c r="H1890" s="715"/>
      <c r="I1890" s="716"/>
    </row>
    <row r="1891">
      <c r="A1891" s="709"/>
      <c r="B1891" s="710"/>
      <c r="C1891" s="711"/>
      <c r="D1891" s="712"/>
      <c r="E1891" s="712"/>
      <c r="F1891" s="713"/>
      <c r="G1891" s="714"/>
      <c r="H1891" s="715"/>
      <c r="I1891" s="716"/>
    </row>
    <row r="1892">
      <c r="A1892" s="709"/>
      <c r="B1892" s="710"/>
      <c r="C1892" s="711"/>
      <c r="D1892" s="712"/>
      <c r="E1892" s="712"/>
      <c r="F1892" s="713"/>
      <c r="G1892" s="714"/>
      <c r="H1892" s="715"/>
      <c r="I1892" s="716"/>
    </row>
    <row r="1893">
      <c r="A1893" s="709"/>
      <c r="B1893" s="710"/>
      <c r="C1893" s="711"/>
      <c r="D1893" s="712"/>
      <c r="E1893" s="712"/>
      <c r="F1893" s="713"/>
      <c r="G1893" s="714"/>
      <c r="H1893" s="715"/>
      <c r="I1893" s="716"/>
    </row>
    <row r="1894">
      <c r="A1894" s="709"/>
      <c r="B1894" s="710"/>
      <c r="C1894" s="711"/>
      <c r="D1894" s="712"/>
      <c r="E1894" s="712"/>
      <c r="F1894" s="713"/>
      <c r="G1894" s="714"/>
      <c r="H1894" s="715"/>
      <c r="I1894" s="716"/>
    </row>
    <row r="1895">
      <c r="A1895" s="709"/>
      <c r="B1895" s="710"/>
      <c r="C1895" s="711"/>
      <c r="D1895" s="712"/>
      <c r="E1895" s="712"/>
      <c r="F1895" s="713"/>
      <c r="G1895" s="714"/>
      <c r="H1895" s="715"/>
      <c r="I1895" s="716"/>
    </row>
    <row r="1896">
      <c r="A1896" s="709"/>
      <c r="B1896" s="710"/>
      <c r="C1896" s="711"/>
      <c r="D1896" s="712"/>
      <c r="E1896" s="712"/>
      <c r="F1896" s="713"/>
      <c r="G1896" s="714"/>
      <c r="H1896" s="715"/>
      <c r="I1896" s="716"/>
    </row>
    <row r="1897">
      <c r="A1897" s="709"/>
      <c r="B1897" s="710"/>
      <c r="C1897" s="711"/>
      <c r="D1897" s="712"/>
      <c r="E1897" s="712"/>
      <c r="F1897" s="713"/>
      <c r="G1897" s="714"/>
      <c r="H1897" s="715"/>
      <c r="I1897" s="716"/>
    </row>
    <row r="1898">
      <c r="A1898" s="709"/>
      <c r="B1898" s="710"/>
      <c r="C1898" s="711"/>
      <c r="D1898" s="712"/>
      <c r="E1898" s="712"/>
      <c r="F1898" s="713"/>
      <c r="G1898" s="714"/>
      <c r="H1898" s="715"/>
      <c r="I1898" s="716"/>
    </row>
    <row r="1899">
      <c r="A1899" s="709"/>
      <c r="B1899" s="710"/>
      <c r="C1899" s="711"/>
      <c r="D1899" s="712"/>
      <c r="E1899" s="712"/>
      <c r="F1899" s="713"/>
      <c r="G1899" s="714"/>
      <c r="H1899" s="715"/>
      <c r="I1899" s="716"/>
    </row>
    <row r="1900">
      <c r="A1900" s="709"/>
      <c r="B1900" s="710"/>
      <c r="C1900" s="711"/>
      <c r="D1900" s="712"/>
      <c r="E1900" s="712"/>
      <c r="F1900" s="713"/>
      <c r="G1900" s="714"/>
      <c r="H1900" s="715"/>
      <c r="I1900" s="716"/>
    </row>
    <row r="1901">
      <c r="A1901" s="709"/>
      <c r="B1901" s="710"/>
      <c r="C1901" s="711"/>
      <c r="D1901" s="712"/>
      <c r="E1901" s="712"/>
      <c r="F1901" s="713"/>
      <c r="G1901" s="714"/>
      <c r="H1901" s="715"/>
      <c r="I1901" s="716"/>
    </row>
    <row r="1902">
      <c r="A1902" s="709"/>
      <c r="B1902" s="710"/>
      <c r="C1902" s="711"/>
      <c r="D1902" s="712"/>
      <c r="E1902" s="712"/>
      <c r="F1902" s="713"/>
      <c r="G1902" s="714"/>
      <c r="H1902" s="715"/>
      <c r="I1902" s="716"/>
    </row>
    <row r="1903">
      <c r="A1903" s="709"/>
      <c r="B1903" s="710"/>
      <c r="C1903" s="711"/>
      <c r="D1903" s="712"/>
      <c r="E1903" s="712"/>
      <c r="F1903" s="713"/>
      <c r="G1903" s="714"/>
      <c r="H1903" s="715"/>
      <c r="I1903" s="716"/>
    </row>
    <row r="1904">
      <c r="A1904" s="709"/>
      <c r="B1904" s="710"/>
      <c r="C1904" s="711"/>
      <c r="D1904" s="712"/>
      <c r="E1904" s="712"/>
      <c r="F1904" s="713"/>
      <c r="G1904" s="714"/>
      <c r="H1904" s="715"/>
      <c r="I1904" s="716"/>
    </row>
    <row r="1905">
      <c r="A1905" s="709"/>
      <c r="B1905" s="710"/>
      <c r="C1905" s="711"/>
      <c r="D1905" s="712"/>
      <c r="E1905" s="712"/>
      <c r="F1905" s="713"/>
      <c r="G1905" s="714"/>
      <c r="H1905" s="715"/>
      <c r="I1905" s="716"/>
    </row>
    <row r="1906">
      <c r="A1906" s="709"/>
      <c r="B1906" s="710"/>
      <c r="C1906" s="711"/>
      <c r="D1906" s="712"/>
      <c r="E1906" s="712"/>
      <c r="F1906" s="713"/>
      <c r="G1906" s="714"/>
      <c r="H1906" s="715"/>
      <c r="I1906" s="716"/>
    </row>
    <row r="1907">
      <c r="A1907" s="709"/>
      <c r="B1907" s="710"/>
      <c r="C1907" s="711"/>
      <c r="D1907" s="712"/>
      <c r="E1907" s="712"/>
      <c r="F1907" s="713"/>
      <c r="G1907" s="714"/>
      <c r="H1907" s="715"/>
      <c r="I1907" s="716"/>
    </row>
    <row r="1908">
      <c r="A1908" s="709"/>
      <c r="B1908" s="710"/>
      <c r="C1908" s="711"/>
      <c r="D1908" s="712"/>
      <c r="E1908" s="712"/>
      <c r="F1908" s="713"/>
      <c r="G1908" s="714"/>
      <c r="H1908" s="715"/>
      <c r="I1908" s="716"/>
    </row>
    <row r="1909">
      <c r="A1909" s="709"/>
      <c r="B1909" s="710"/>
      <c r="C1909" s="711"/>
      <c r="D1909" s="712"/>
      <c r="E1909" s="712"/>
      <c r="F1909" s="713"/>
      <c r="G1909" s="714"/>
      <c r="H1909" s="715"/>
      <c r="I1909" s="716"/>
    </row>
    <row r="1910">
      <c r="A1910" s="709"/>
      <c r="B1910" s="710"/>
      <c r="C1910" s="711"/>
      <c r="D1910" s="712"/>
      <c r="E1910" s="712"/>
      <c r="F1910" s="713"/>
      <c r="G1910" s="714"/>
      <c r="H1910" s="715"/>
      <c r="I1910" s="716"/>
    </row>
    <row r="1911">
      <c r="A1911" s="709"/>
      <c r="B1911" s="710"/>
      <c r="C1911" s="711"/>
      <c r="D1911" s="712"/>
      <c r="E1911" s="712"/>
      <c r="F1911" s="713"/>
      <c r="G1911" s="714"/>
      <c r="H1911" s="715"/>
      <c r="I1911" s="716"/>
    </row>
    <row r="1912">
      <c r="A1912" s="709"/>
      <c r="B1912" s="710"/>
      <c r="C1912" s="711"/>
      <c r="D1912" s="712"/>
      <c r="E1912" s="712"/>
      <c r="F1912" s="713"/>
      <c r="G1912" s="714"/>
      <c r="H1912" s="715"/>
      <c r="I1912" s="716"/>
    </row>
    <row r="1913">
      <c r="A1913" s="709"/>
      <c r="B1913" s="710"/>
      <c r="C1913" s="711"/>
      <c r="D1913" s="712"/>
      <c r="E1913" s="712"/>
      <c r="F1913" s="713"/>
      <c r="G1913" s="714"/>
      <c r="H1913" s="715"/>
      <c r="I1913" s="716"/>
    </row>
    <row r="1914">
      <c r="A1914" s="709"/>
      <c r="B1914" s="710"/>
      <c r="C1914" s="711"/>
      <c r="D1914" s="712"/>
      <c r="E1914" s="712"/>
      <c r="F1914" s="713"/>
      <c r="G1914" s="714"/>
      <c r="H1914" s="715"/>
      <c r="I1914" s="716"/>
    </row>
    <row r="1915">
      <c r="A1915" s="709"/>
      <c r="B1915" s="710"/>
      <c r="C1915" s="711"/>
      <c r="D1915" s="712"/>
      <c r="E1915" s="712"/>
      <c r="F1915" s="713"/>
      <c r="G1915" s="714"/>
      <c r="H1915" s="715"/>
      <c r="I1915" s="716"/>
    </row>
    <row r="1916">
      <c r="A1916" s="709"/>
      <c r="B1916" s="710"/>
      <c r="C1916" s="711"/>
      <c r="D1916" s="712"/>
      <c r="E1916" s="712"/>
      <c r="F1916" s="713"/>
      <c r="G1916" s="714"/>
      <c r="H1916" s="715"/>
      <c r="I1916" s="716"/>
    </row>
    <row r="1917">
      <c r="A1917" s="709"/>
      <c r="B1917" s="710"/>
      <c r="C1917" s="711"/>
      <c r="D1917" s="712"/>
      <c r="E1917" s="712"/>
      <c r="F1917" s="713"/>
      <c r="G1917" s="714"/>
      <c r="H1917" s="715"/>
      <c r="I1917" s="716"/>
    </row>
    <row r="1918">
      <c r="A1918" s="709"/>
      <c r="B1918" s="710"/>
      <c r="C1918" s="711"/>
      <c r="D1918" s="712"/>
      <c r="E1918" s="712"/>
      <c r="F1918" s="713"/>
      <c r="G1918" s="714"/>
      <c r="H1918" s="715"/>
      <c r="I1918" s="716"/>
    </row>
    <row r="1919">
      <c r="A1919" s="709"/>
      <c r="B1919" s="710"/>
      <c r="C1919" s="711"/>
      <c r="D1919" s="712"/>
      <c r="E1919" s="712"/>
      <c r="F1919" s="713"/>
      <c r="G1919" s="714"/>
      <c r="H1919" s="715"/>
      <c r="I1919" s="716"/>
    </row>
    <row r="1920">
      <c r="A1920" s="709"/>
      <c r="B1920" s="710"/>
      <c r="C1920" s="711"/>
      <c r="D1920" s="712"/>
      <c r="E1920" s="712"/>
      <c r="F1920" s="713"/>
      <c r="G1920" s="714"/>
      <c r="H1920" s="715"/>
      <c r="I1920" s="716"/>
    </row>
    <row r="1921">
      <c r="A1921" s="709"/>
      <c r="B1921" s="710"/>
      <c r="C1921" s="711"/>
      <c r="D1921" s="712"/>
      <c r="E1921" s="712"/>
      <c r="F1921" s="713"/>
      <c r="G1921" s="714"/>
      <c r="H1921" s="715"/>
      <c r="I1921" s="716"/>
    </row>
    <row r="1922">
      <c r="A1922" s="709"/>
      <c r="B1922" s="710"/>
      <c r="C1922" s="711"/>
      <c r="D1922" s="712"/>
      <c r="E1922" s="712"/>
      <c r="F1922" s="713"/>
      <c r="G1922" s="714"/>
      <c r="H1922" s="715"/>
      <c r="I1922" s="716"/>
    </row>
    <row r="1923">
      <c r="A1923" s="709"/>
      <c r="B1923" s="710"/>
      <c r="C1923" s="711"/>
      <c r="D1923" s="712"/>
      <c r="E1923" s="712"/>
      <c r="F1923" s="713"/>
      <c r="G1923" s="714"/>
      <c r="H1923" s="715"/>
      <c r="I1923" s="716"/>
    </row>
    <row r="1924">
      <c r="A1924" s="709"/>
      <c r="B1924" s="710"/>
      <c r="C1924" s="711"/>
      <c r="D1924" s="712"/>
      <c r="E1924" s="712"/>
      <c r="F1924" s="713"/>
      <c r="G1924" s="714"/>
      <c r="H1924" s="715"/>
      <c r="I1924" s="716"/>
    </row>
    <row r="1925">
      <c r="A1925" s="709"/>
      <c r="B1925" s="710"/>
      <c r="C1925" s="711"/>
      <c r="D1925" s="712"/>
      <c r="E1925" s="712"/>
      <c r="F1925" s="713"/>
      <c r="G1925" s="714"/>
      <c r="H1925" s="715"/>
      <c r="I1925" s="716"/>
    </row>
    <row r="1926">
      <c r="A1926" s="709"/>
      <c r="B1926" s="710"/>
      <c r="C1926" s="711"/>
      <c r="D1926" s="712"/>
      <c r="E1926" s="712"/>
      <c r="F1926" s="713"/>
      <c r="G1926" s="714"/>
      <c r="H1926" s="715"/>
      <c r="I1926" s="716"/>
    </row>
    <row r="1927">
      <c r="A1927" s="709"/>
      <c r="B1927" s="710"/>
      <c r="C1927" s="711"/>
      <c r="D1927" s="712"/>
      <c r="E1927" s="712"/>
      <c r="F1927" s="713"/>
      <c r="G1927" s="714"/>
      <c r="H1927" s="715"/>
      <c r="I1927" s="716"/>
    </row>
    <row r="1928">
      <c r="A1928" s="709"/>
      <c r="B1928" s="710"/>
      <c r="C1928" s="711"/>
      <c r="D1928" s="712"/>
      <c r="E1928" s="712"/>
      <c r="F1928" s="713"/>
      <c r="G1928" s="714"/>
      <c r="H1928" s="715"/>
      <c r="I1928" s="716"/>
    </row>
    <row r="1929">
      <c r="A1929" s="709"/>
      <c r="B1929" s="710"/>
      <c r="C1929" s="711"/>
      <c r="D1929" s="712"/>
      <c r="E1929" s="712"/>
      <c r="F1929" s="713"/>
      <c r="G1929" s="714"/>
      <c r="H1929" s="715"/>
      <c r="I1929" s="716"/>
    </row>
    <row r="1930">
      <c r="A1930" s="709"/>
      <c r="B1930" s="710"/>
      <c r="C1930" s="711"/>
      <c r="D1930" s="712"/>
      <c r="E1930" s="712"/>
      <c r="F1930" s="713"/>
      <c r="G1930" s="714"/>
      <c r="H1930" s="715"/>
      <c r="I1930" s="716"/>
    </row>
    <row r="1931">
      <c r="A1931" s="709"/>
      <c r="B1931" s="710"/>
      <c r="C1931" s="711"/>
      <c r="D1931" s="712"/>
      <c r="E1931" s="712"/>
      <c r="F1931" s="713"/>
      <c r="G1931" s="714"/>
      <c r="H1931" s="715"/>
      <c r="I1931" s="716"/>
    </row>
    <row r="1932">
      <c r="A1932" s="709"/>
      <c r="B1932" s="710"/>
      <c r="C1932" s="711"/>
      <c r="D1932" s="712"/>
      <c r="E1932" s="712"/>
      <c r="F1932" s="713"/>
      <c r="G1932" s="714"/>
      <c r="H1932" s="715"/>
      <c r="I1932" s="716"/>
    </row>
    <row r="1933">
      <c r="A1933" s="709"/>
      <c r="B1933" s="710"/>
      <c r="C1933" s="711"/>
      <c r="D1933" s="712"/>
      <c r="E1933" s="712"/>
      <c r="F1933" s="713"/>
      <c r="G1933" s="714"/>
      <c r="H1933" s="715"/>
      <c r="I1933" s="716"/>
    </row>
    <row r="1934">
      <c r="A1934" s="709"/>
      <c r="B1934" s="710"/>
      <c r="C1934" s="711"/>
      <c r="D1934" s="712"/>
      <c r="E1934" s="712"/>
      <c r="F1934" s="713"/>
      <c r="G1934" s="714"/>
      <c r="H1934" s="715"/>
      <c r="I1934" s="716"/>
    </row>
    <row r="1935">
      <c r="A1935" s="709"/>
      <c r="B1935" s="710"/>
      <c r="C1935" s="711"/>
      <c r="D1935" s="712"/>
      <c r="E1935" s="712"/>
      <c r="F1935" s="713"/>
      <c r="G1935" s="714"/>
      <c r="H1935" s="715"/>
      <c r="I1935" s="716"/>
    </row>
    <row r="1936">
      <c r="A1936" s="709"/>
      <c r="B1936" s="710"/>
      <c r="C1936" s="711"/>
      <c r="D1936" s="712"/>
      <c r="E1936" s="712"/>
      <c r="F1936" s="713"/>
      <c r="G1936" s="714"/>
      <c r="H1936" s="715"/>
      <c r="I1936" s="716"/>
    </row>
    <row r="1937">
      <c r="A1937" s="709"/>
      <c r="B1937" s="710"/>
      <c r="C1937" s="711"/>
      <c r="D1937" s="712"/>
      <c r="E1937" s="712"/>
      <c r="F1937" s="713"/>
      <c r="G1937" s="714"/>
      <c r="H1937" s="715"/>
      <c r="I1937" s="716"/>
    </row>
    <row r="1938">
      <c r="A1938" s="709"/>
      <c r="B1938" s="710"/>
      <c r="C1938" s="711"/>
      <c r="D1938" s="712"/>
      <c r="E1938" s="712"/>
      <c r="F1938" s="713"/>
      <c r="G1938" s="714"/>
      <c r="H1938" s="715"/>
      <c r="I1938" s="716"/>
    </row>
    <row r="1939">
      <c r="A1939" s="709"/>
      <c r="B1939" s="710"/>
      <c r="C1939" s="711"/>
      <c r="D1939" s="712"/>
      <c r="E1939" s="712"/>
      <c r="F1939" s="713"/>
      <c r="G1939" s="714"/>
      <c r="H1939" s="715"/>
      <c r="I1939" s="716"/>
    </row>
    <row r="1940">
      <c r="A1940" s="709"/>
      <c r="B1940" s="710"/>
      <c r="C1940" s="711"/>
      <c r="D1940" s="712"/>
      <c r="E1940" s="712"/>
      <c r="F1940" s="713"/>
      <c r="G1940" s="714"/>
      <c r="H1940" s="715"/>
      <c r="I1940" s="716"/>
    </row>
    <row r="1941">
      <c r="A1941" s="709"/>
      <c r="B1941" s="710"/>
      <c r="C1941" s="711"/>
      <c r="D1941" s="712"/>
      <c r="E1941" s="712"/>
      <c r="F1941" s="713"/>
      <c r="G1941" s="714"/>
      <c r="H1941" s="715"/>
      <c r="I1941" s="716"/>
    </row>
    <row r="1942">
      <c r="A1942" s="709"/>
      <c r="B1942" s="710"/>
      <c r="C1942" s="711"/>
      <c r="D1942" s="712"/>
      <c r="E1942" s="712"/>
      <c r="F1942" s="713"/>
      <c r="G1942" s="714"/>
      <c r="H1942" s="715"/>
      <c r="I1942" s="716"/>
    </row>
    <row r="1943">
      <c r="A1943" s="709"/>
      <c r="B1943" s="710"/>
      <c r="C1943" s="711"/>
      <c r="D1943" s="712"/>
      <c r="E1943" s="712"/>
      <c r="F1943" s="713"/>
      <c r="G1943" s="714"/>
      <c r="H1943" s="715"/>
      <c r="I1943" s="716"/>
    </row>
    <row r="1944">
      <c r="A1944" s="709"/>
      <c r="B1944" s="710"/>
      <c r="C1944" s="711"/>
      <c r="D1944" s="712"/>
      <c r="E1944" s="712"/>
      <c r="F1944" s="713"/>
      <c r="G1944" s="714"/>
      <c r="H1944" s="715"/>
      <c r="I1944" s="716"/>
    </row>
    <row r="1945">
      <c r="A1945" s="709"/>
      <c r="B1945" s="710"/>
      <c r="C1945" s="711"/>
      <c r="D1945" s="712"/>
      <c r="E1945" s="712"/>
      <c r="F1945" s="713"/>
      <c r="G1945" s="714"/>
      <c r="H1945" s="715"/>
      <c r="I1945" s="716"/>
    </row>
    <row r="1946">
      <c r="A1946" s="709"/>
      <c r="B1946" s="710"/>
      <c r="C1946" s="711"/>
      <c r="D1946" s="712"/>
      <c r="E1946" s="712"/>
      <c r="F1946" s="713"/>
      <c r="G1946" s="714"/>
      <c r="H1946" s="715"/>
      <c r="I1946" s="716"/>
    </row>
    <row r="1947">
      <c r="A1947" s="709"/>
      <c r="B1947" s="710"/>
      <c r="C1947" s="711"/>
      <c r="D1947" s="712"/>
      <c r="E1947" s="712"/>
      <c r="F1947" s="713"/>
      <c r="G1947" s="714"/>
      <c r="H1947" s="715"/>
      <c r="I1947" s="716"/>
    </row>
    <row r="1948">
      <c r="A1948" s="709"/>
      <c r="B1948" s="710"/>
      <c r="C1948" s="711"/>
      <c r="D1948" s="712"/>
      <c r="E1948" s="712"/>
      <c r="F1948" s="713"/>
      <c r="G1948" s="714"/>
      <c r="H1948" s="715"/>
      <c r="I1948" s="716"/>
    </row>
    <row r="1949">
      <c r="A1949" s="709"/>
      <c r="B1949" s="710"/>
      <c r="C1949" s="711"/>
      <c r="D1949" s="712"/>
      <c r="E1949" s="712"/>
      <c r="F1949" s="713"/>
      <c r="G1949" s="714"/>
      <c r="H1949" s="715"/>
      <c r="I1949" s="716"/>
    </row>
    <row r="1950">
      <c r="A1950" s="709"/>
      <c r="B1950" s="710"/>
      <c r="C1950" s="711"/>
      <c r="D1950" s="712"/>
      <c r="E1950" s="712"/>
      <c r="F1950" s="713"/>
      <c r="G1950" s="714"/>
      <c r="H1950" s="715"/>
      <c r="I1950" s="716"/>
    </row>
    <row r="1951">
      <c r="A1951" s="709"/>
      <c r="B1951" s="710"/>
      <c r="C1951" s="711"/>
      <c r="D1951" s="712"/>
      <c r="E1951" s="712"/>
      <c r="F1951" s="713"/>
      <c r="G1951" s="714"/>
      <c r="H1951" s="715"/>
      <c r="I1951" s="716"/>
    </row>
    <row r="1952">
      <c r="A1952" s="709"/>
      <c r="B1952" s="710"/>
      <c r="C1952" s="711"/>
      <c r="D1952" s="712"/>
      <c r="E1952" s="712"/>
      <c r="F1952" s="713"/>
      <c r="G1952" s="714"/>
      <c r="H1952" s="715"/>
      <c r="I1952" s="716"/>
    </row>
    <row r="1953">
      <c r="A1953" s="709"/>
      <c r="B1953" s="710"/>
      <c r="C1953" s="711"/>
      <c r="D1953" s="712"/>
      <c r="E1953" s="712"/>
      <c r="F1953" s="713"/>
      <c r="G1953" s="714"/>
      <c r="H1953" s="715"/>
      <c r="I1953" s="716"/>
    </row>
    <row r="1954">
      <c r="A1954" s="709"/>
      <c r="B1954" s="710"/>
      <c r="C1954" s="711"/>
      <c r="D1954" s="712"/>
      <c r="E1954" s="712"/>
      <c r="F1954" s="713"/>
      <c r="G1954" s="714"/>
      <c r="H1954" s="715"/>
      <c r="I1954" s="716"/>
    </row>
    <row r="1955">
      <c r="A1955" s="709"/>
      <c r="B1955" s="710"/>
      <c r="C1955" s="711"/>
      <c r="D1955" s="712"/>
      <c r="E1955" s="712"/>
      <c r="F1955" s="713"/>
      <c r="G1955" s="714"/>
      <c r="H1955" s="715"/>
      <c r="I1955" s="716"/>
    </row>
    <row r="1956">
      <c r="A1956" s="709"/>
      <c r="B1956" s="710"/>
      <c r="C1956" s="711"/>
      <c r="D1956" s="712"/>
      <c r="E1956" s="712"/>
      <c r="F1956" s="713"/>
      <c r="G1956" s="714"/>
      <c r="H1956" s="715"/>
      <c r="I1956" s="716"/>
    </row>
    <row r="1957">
      <c r="A1957" s="709"/>
      <c r="B1957" s="710"/>
      <c r="C1957" s="711"/>
      <c r="D1957" s="712"/>
      <c r="E1957" s="712"/>
      <c r="F1957" s="713"/>
      <c r="G1957" s="714"/>
      <c r="H1957" s="715"/>
      <c r="I1957" s="716"/>
    </row>
    <row r="1958">
      <c r="A1958" s="709"/>
      <c r="B1958" s="710"/>
      <c r="C1958" s="711"/>
      <c r="D1958" s="712"/>
      <c r="E1958" s="712"/>
      <c r="F1958" s="713"/>
      <c r="G1958" s="714"/>
      <c r="H1958" s="715"/>
      <c r="I1958" s="716"/>
    </row>
    <row r="1959">
      <c r="A1959" s="709"/>
      <c r="B1959" s="710"/>
      <c r="C1959" s="711"/>
      <c r="D1959" s="712"/>
      <c r="E1959" s="712"/>
      <c r="F1959" s="713"/>
      <c r="G1959" s="714"/>
      <c r="H1959" s="715"/>
      <c r="I1959" s="716"/>
    </row>
    <row r="1960">
      <c r="A1960" s="709"/>
      <c r="B1960" s="710"/>
      <c r="C1960" s="711"/>
      <c r="D1960" s="712"/>
      <c r="E1960" s="712"/>
      <c r="F1960" s="713"/>
      <c r="G1960" s="714"/>
      <c r="H1960" s="715"/>
      <c r="I1960" s="716"/>
    </row>
    <row r="1961">
      <c r="A1961" s="709"/>
      <c r="B1961" s="710"/>
      <c r="C1961" s="711"/>
      <c r="D1961" s="712"/>
      <c r="E1961" s="712"/>
      <c r="F1961" s="713"/>
      <c r="G1961" s="714"/>
      <c r="H1961" s="715"/>
      <c r="I1961" s="716"/>
    </row>
    <row r="1962">
      <c r="A1962" s="709"/>
      <c r="B1962" s="710"/>
      <c r="C1962" s="711"/>
      <c r="D1962" s="712"/>
      <c r="E1962" s="712"/>
      <c r="F1962" s="713"/>
      <c r="G1962" s="714"/>
      <c r="H1962" s="715"/>
      <c r="I1962" s="716"/>
    </row>
    <row r="1963">
      <c r="A1963" s="709"/>
      <c r="B1963" s="710"/>
      <c r="C1963" s="711"/>
      <c r="D1963" s="712"/>
      <c r="E1963" s="712"/>
      <c r="F1963" s="713"/>
      <c r="G1963" s="714"/>
      <c r="H1963" s="715"/>
      <c r="I1963" s="716"/>
    </row>
    <row r="1964">
      <c r="A1964" s="709"/>
      <c r="B1964" s="710"/>
      <c r="C1964" s="711"/>
      <c r="D1964" s="712"/>
      <c r="E1964" s="712"/>
      <c r="F1964" s="713"/>
      <c r="G1964" s="714"/>
      <c r="H1964" s="715"/>
      <c r="I1964" s="716"/>
    </row>
    <row r="1965">
      <c r="A1965" s="709"/>
      <c r="B1965" s="710"/>
      <c r="C1965" s="711"/>
      <c r="D1965" s="712"/>
      <c r="E1965" s="712"/>
      <c r="F1965" s="713"/>
      <c r="G1965" s="714"/>
      <c r="H1965" s="715"/>
      <c r="I1965" s="716"/>
    </row>
    <row r="1966">
      <c r="A1966" s="709"/>
      <c r="B1966" s="710"/>
      <c r="C1966" s="711"/>
      <c r="D1966" s="712"/>
      <c r="E1966" s="712"/>
      <c r="F1966" s="713"/>
      <c r="G1966" s="714"/>
      <c r="H1966" s="715"/>
      <c r="I1966" s="716"/>
    </row>
    <row r="1967">
      <c r="A1967" s="709"/>
      <c r="B1967" s="710"/>
      <c r="C1967" s="711"/>
      <c r="D1967" s="712"/>
      <c r="E1967" s="712"/>
      <c r="F1967" s="713"/>
      <c r="G1967" s="714"/>
      <c r="H1967" s="715"/>
      <c r="I1967" s="716"/>
    </row>
    <row r="1968">
      <c r="A1968" s="709"/>
      <c r="B1968" s="710"/>
      <c r="C1968" s="711"/>
      <c r="D1968" s="712"/>
      <c r="E1968" s="712"/>
      <c r="F1968" s="713"/>
      <c r="G1968" s="714"/>
      <c r="H1968" s="715"/>
      <c r="I1968" s="716"/>
    </row>
    <row r="1969">
      <c r="A1969" s="709"/>
      <c r="B1969" s="710"/>
      <c r="C1969" s="711"/>
      <c r="D1969" s="712"/>
      <c r="E1969" s="712"/>
      <c r="F1969" s="713"/>
      <c r="G1969" s="714"/>
      <c r="H1969" s="715"/>
      <c r="I1969" s="716"/>
    </row>
    <row r="1970">
      <c r="A1970" s="709"/>
      <c r="B1970" s="710"/>
      <c r="C1970" s="711"/>
      <c r="D1970" s="712"/>
      <c r="E1970" s="712"/>
      <c r="F1970" s="713"/>
      <c r="G1970" s="714"/>
      <c r="H1970" s="715"/>
      <c r="I1970" s="716"/>
    </row>
    <row r="1971">
      <c r="A1971" s="709"/>
      <c r="B1971" s="710"/>
      <c r="C1971" s="711"/>
      <c r="D1971" s="712"/>
      <c r="E1971" s="712"/>
      <c r="F1971" s="713"/>
      <c r="G1971" s="714"/>
      <c r="H1971" s="715"/>
      <c r="I1971" s="716"/>
    </row>
    <row r="1972">
      <c r="A1972" s="709"/>
      <c r="B1972" s="710"/>
      <c r="C1972" s="711"/>
      <c r="D1972" s="712"/>
      <c r="E1972" s="712"/>
      <c r="F1972" s="713"/>
      <c r="G1972" s="714"/>
      <c r="H1972" s="715"/>
      <c r="I1972" s="716"/>
    </row>
    <row r="1973">
      <c r="A1973" s="709"/>
      <c r="B1973" s="710"/>
      <c r="C1973" s="711"/>
      <c r="D1973" s="712"/>
      <c r="E1973" s="712"/>
      <c r="F1973" s="713"/>
      <c r="G1973" s="714"/>
      <c r="H1973" s="715"/>
      <c r="I1973" s="716"/>
    </row>
    <row r="1974">
      <c r="A1974" s="709"/>
      <c r="B1974" s="710"/>
      <c r="C1974" s="711"/>
      <c r="D1974" s="712"/>
      <c r="E1974" s="712"/>
      <c r="F1974" s="713"/>
      <c r="G1974" s="714"/>
      <c r="H1974" s="715"/>
      <c r="I1974" s="716"/>
    </row>
    <row r="1975">
      <c r="A1975" s="709"/>
      <c r="B1975" s="710"/>
      <c r="C1975" s="711"/>
      <c r="D1975" s="712"/>
      <c r="E1975" s="712"/>
      <c r="F1975" s="713"/>
      <c r="G1975" s="714"/>
      <c r="H1975" s="715"/>
      <c r="I1975" s="716"/>
    </row>
    <row r="1976">
      <c r="A1976" s="709"/>
      <c r="B1976" s="710"/>
      <c r="C1976" s="711"/>
      <c r="D1976" s="712"/>
      <c r="E1976" s="712"/>
      <c r="F1976" s="713"/>
      <c r="G1976" s="714"/>
      <c r="H1976" s="715"/>
      <c r="I1976" s="716"/>
    </row>
    <row r="1977">
      <c r="A1977" s="709"/>
      <c r="B1977" s="710"/>
      <c r="C1977" s="711"/>
      <c r="D1977" s="712"/>
      <c r="E1977" s="712"/>
      <c r="F1977" s="713"/>
      <c r="G1977" s="714"/>
      <c r="H1977" s="715"/>
      <c r="I1977" s="716"/>
    </row>
    <row r="1978">
      <c r="A1978" s="709"/>
      <c r="B1978" s="710"/>
      <c r="C1978" s="711"/>
      <c r="D1978" s="712"/>
      <c r="E1978" s="712"/>
      <c r="F1978" s="713"/>
      <c r="G1978" s="714"/>
      <c r="H1978" s="715"/>
      <c r="I1978" s="716"/>
    </row>
    <row r="1979">
      <c r="A1979" s="709"/>
      <c r="B1979" s="710"/>
      <c r="C1979" s="711"/>
      <c r="D1979" s="712"/>
      <c r="E1979" s="712"/>
      <c r="F1979" s="713"/>
      <c r="G1979" s="714"/>
      <c r="H1979" s="715"/>
      <c r="I1979" s="716"/>
    </row>
    <row r="1980">
      <c r="A1980" s="709"/>
      <c r="B1980" s="710"/>
      <c r="C1980" s="711"/>
      <c r="D1980" s="712"/>
      <c r="E1980" s="712"/>
      <c r="F1980" s="713"/>
      <c r="G1980" s="714"/>
      <c r="H1980" s="715"/>
      <c r="I1980" s="716"/>
    </row>
    <row r="1981">
      <c r="A1981" s="709"/>
      <c r="B1981" s="710"/>
      <c r="C1981" s="711"/>
      <c r="D1981" s="712"/>
      <c r="E1981" s="712"/>
      <c r="F1981" s="713"/>
      <c r="G1981" s="714"/>
      <c r="H1981" s="715"/>
      <c r="I1981" s="716"/>
    </row>
    <row r="1982">
      <c r="A1982" s="709"/>
      <c r="B1982" s="710"/>
      <c r="C1982" s="711"/>
      <c r="D1982" s="712"/>
      <c r="E1982" s="712"/>
      <c r="F1982" s="713"/>
      <c r="G1982" s="714"/>
      <c r="H1982" s="715"/>
      <c r="I1982" s="716"/>
    </row>
    <row r="1983">
      <c r="A1983" s="709"/>
      <c r="B1983" s="710"/>
      <c r="C1983" s="711"/>
      <c r="D1983" s="712"/>
      <c r="E1983" s="712"/>
      <c r="F1983" s="713"/>
      <c r="G1983" s="714"/>
      <c r="H1983" s="715"/>
      <c r="I1983" s="716"/>
    </row>
    <row r="1984">
      <c r="A1984" s="709"/>
      <c r="B1984" s="710"/>
      <c r="C1984" s="711"/>
      <c r="D1984" s="712"/>
      <c r="E1984" s="712"/>
      <c r="F1984" s="713"/>
      <c r="G1984" s="714"/>
      <c r="H1984" s="715"/>
      <c r="I1984" s="716"/>
    </row>
    <row r="1985">
      <c r="A1985" s="709"/>
      <c r="B1985" s="710"/>
      <c r="C1985" s="711"/>
      <c r="D1985" s="712"/>
      <c r="E1985" s="712"/>
      <c r="F1985" s="713"/>
      <c r="G1985" s="714"/>
      <c r="H1985" s="715"/>
      <c r="I1985" s="716"/>
    </row>
    <row r="1986">
      <c r="A1986" s="709"/>
      <c r="B1986" s="710"/>
      <c r="C1986" s="711"/>
      <c r="D1986" s="712"/>
      <c r="E1986" s="712"/>
      <c r="F1986" s="713"/>
      <c r="G1986" s="714"/>
      <c r="H1986" s="715"/>
      <c r="I1986" s="716"/>
    </row>
    <row r="1987">
      <c r="A1987" s="709"/>
      <c r="B1987" s="710"/>
      <c r="C1987" s="711"/>
      <c r="D1987" s="712"/>
      <c r="E1987" s="712"/>
      <c r="F1987" s="713"/>
      <c r="G1987" s="714"/>
      <c r="H1987" s="715"/>
      <c r="I1987" s="716"/>
    </row>
    <row r="1988">
      <c r="A1988" s="709"/>
      <c r="B1988" s="710"/>
      <c r="C1988" s="711"/>
      <c r="D1988" s="712"/>
      <c r="E1988" s="712"/>
      <c r="F1988" s="713"/>
      <c r="G1988" s="714"/>
      <c r="H1988" s="715"/>
      <c r="I1988" s="716"/>
    </row>
    <row r="1989">
      <c r="A1989" s="709"/>
      <c r="B1989" s="710"/>
      <c r="C1989" s="711"/>
      <c r="D1989" s="712"/>
      <c r="E1989" s="712"/>
      <c r="F1989" s="713"/>
      <c r="G1989" s="714"/>
      <c r="H1989" s="715"/>
      <c r="I1989" s="716"/>
    </row>
    <row r="1990">
      <c r="A1990" s="709"/>
      <c r="B1990" s="710"/>
      <c r="C1990" s="711"/>
      <c r="D1990" s="712"/>
      <c r="E1990" s="712"/>
      <c r="F1990" s="713"/>
      <c r="G1990" s="714"/>
      <c r="H1990" s="715"/>
      <c r="I1990" s="716"/>
    </row>
    <row r="1991">
      <c r="A1991" s="709"/>
      <c r="B1991" s="710"/>
      <c r="C1991" s="711"/>
      <c r="D1991" s="712"/>
      <c r="E1991" s="712"/>
      <c r="F1991" s="713"/>
      <c r="G1991" s="714"/>
      <c r="H1991" s="715"/>
      <c r="I1991" s="716"/>
    </row>
    <row r="1992">
      <c r="A1992" s="709"/>
      <c r="B1992" s="710"/>
      <c r="C1992" s="711"/>
      <c r="D1992" s="712"/>
      <c r="E1992" s="712"/>
      <c r="F1992" s="713"/>
      <c r="G1992" s="714"/>
      <c r="H1992" s="715"/>
      <c r="I1992" s="716"/>
    </row>
    <row r="1993">
      <c r="A1993" s="709"/>
      <c r="B1993" s="710"/>
      <c r="C1993" s="711"/>
      <c r="D1993" s="712"/>
      <c r="E1993" s="712"/>
      <c r="F1993" s="713"/>
      <c r="G1993" s="714"/>
      <c r="H1993" s="715"/>
      <c r="I1993" s="716"/>
    </row>
    <row r="1994">
      <c r="A1994" s="709"/>
      <c r="B1994" s="710"/>
      <c r="C1994" s="711"/>
      <c r="D1994" s="712"/>
      <c r="E1994" s="712"/>
      <c r="F1994" s="713"/>
      <c r="G1994" s="714"/>
      <c r="H1994" s="715"/>
      <c r="I1994" s="716"/>
    </row>
    <row r="1995">
      <c r="A1995" s="709"/>
      <c r="B1995" s="710"/>
      <c r="C1995" s="711"/>
      <c r="D1995" s="712"/>
      <c r="E1995" s="712"/>
      <c r="F1995" s="713"/>
      <c r="G1995" s="714"/>
      <c r="H1995" s="715"/>
      <c r="I1995" s="716"/>
    </row>
    <row r="1996">
      <c r="A1996" s="709"/>
      <c r="B1996" s="710"/>
      <c r="C1996" s="711"/>
      <c r="D1996" s="712"/>
      <c r="E1996" s="712"/>
      <c r="F1996" s="713"/>
      <c r="G1996" s="714"/>
      <c r="H1996" s="715"/>
      <c r="I1996" s="716"/>
    </row>
    <row r="1997">
      <c r="A1997" s="709"/>
      <c r="B1997" s="710"/>
      <c r="C1997" s="711"/>
      <c r="D1997" s="712"/>
      <c r="E1997" s="712"/>
      <c r="F1997" s="713"/>
      <c r="G1997" s="714"/>
      <c r="H1997" s="715"/>
      <c r="I1997" s="716"/>
    </row>
    <row r="1998">
      <c r="A1998" s="709"/>
      <c r="B1998" s="710"/>
      <c r="C1998" s="711"/>
      <c r="D1998" s="712"/>
      <c r="E1998" s="712"/>
      <c r="F1998" s="713"/>
      <c r="G1998" s="714"/>
      <c r="H1998" s="715"/>
      <c r="I1998" s="716"/>
    </row>
    <row r="1999">
      <c r="A1999" s="709"/>
      <c r="B1999" s="710"/>
      <c r="C1999" s="711"/>
      <c r="D1999" s="712"/>
      <c r="E1999" s="712"/>
      <c r="F1999" s="713"/>
      <c r="G1999" s="714"/>
      <c r="H1999" s="715"/>
      <c r="I1999" s="716"/>
    </row>
    <row r="2000">
      <c r="A2000" s="709"/>
      <c r="B2000" s="710"/>
      <c r="C2000" s="711"/>
      <c r="D2000" s="712"/>
      <c r="E2000" s="712"/>
      <c r="F2000" s="713"/>
      <c r="G2000" s="714"/>
      <c r="H2000" s="715"/>
      <c r="I2000" s="716"/>
    </row>
    <row r="2001">
      <c r="A2001" s="709"/>
      <c r="B2001" s="710"/>
      <c r="C2001" s="711"/>
      <c r="D2001" s="712"/>
      <c r="E2001" s="712"/>
      <c r="F2001" s="713"/>
      <c r="G2001" s="714"/>
      <c r="H2001" s="715"/>
      <c r="I2001" s="716"/>
    </row>
    <row r="2002">
      <c r="A2002" s="709"/>
      <c r="B2002" s="710"/>
      <c r="C2002" s="711"/>
      <c r="D2002" s="712"/>
      <c r="E2002" s="712"/>
      <c r="F2002" s="713"/>
      <c r="G2002" s="714"/>
      <c r="H2002" s="715"/>
      <c r="I2002" s="716"/>
    </row>
    <row r="2003">
      <c r="A2003" s="709"/>
      <c r="B2003" s="710"/>
      <c r="C2003" s="711"/>
      <c r="D2003" s="712"/>
      <c r="E2003" s="712"/>
      <c r="F2003" s="713"/>
      <c r="G2003" s="714"/>
      <c r="H2003" s="715"/>
      <c r="I2003" s="716"/>
    </row>
    <row r="2004">
      <c r="A2004" s="709"/>
      <c r="B2004" s="710"/>
      <c r="C2004" s="711"/>
      <c r="D2004" s="712"/>
      <c r="E2004" s="712"/>
      <c r="F2004" s="713"/>
      <c r="G2004" s="714"/>
      <c r="H2004" s="715"/>
      <c r="I2004" s="716"/>
    </row>
    <row r="2005">
      <c r="A2005" s="709"/>
      <c r="B2005" s="710"/>
      <c r="C2005" s="711"/>
      <c r="D2005" s="712"/>
      <c r="E2005" s="712"/>
      <c r="F2005" s="713"/>
      <c r="G2005" s="714"/>
      <c r="H2005" s="715"/>
      <c r="I2005" s="716"/>
    </row>
    <row r="2006">
      <c r="A2006" s="709"/>
      <c r="B2006" s="710"/>
      <c r="C2006" s="711"/>
      <c r="D2006" s="712"/>
      <c r="E2006" s="712"/>
      <c r="F2006" s="713"/>
      <c r="G2006" s="714"/>
      <c r="H2006" s="715"/>
      <c r="I2006" s="716"/>
    </row>
    <row r="2007">
      <c r="A2007" s="709"/>
      <c r="B2007" s="710"/>
      <c r="C2007" s="711"/>
      <c r="D2007" s="712"/>
      <c r="E2007" s="712"/>
      <c r="F2007" s="713"/>
      <c r="G2007" s="714"/>
      <c r="H2007" s="715"/>
      <c r="I2007" s="716"/>
    </row>
    <row r="2008">
      <c r="A2008" s="709"/>
      <c r="B2008" s="710"/>
      <c r="C2008" s="711"/>
      <c r="D2008" s="712"/>
      <c r="E2008" s="712"/>
      <c r="F2008" s="713"/>
      <c r="G2008" s="714"/>
      <c r="H2008" s="715"/>
      <c r="I2008" s="716"/>
    </row>
    <row r="2009">
      <c r="A2009" s="709"/>
      <c r="B2009" s="710"/>
      <c r="C2009" s="711"/>
      <c r="D2009" s="712"/>
      <c r="E2009" s="712"/>
      <c r="F2009" s="713"/>
      <c r="G2009" s="714"/>
      <c r="H2009" s="715"/>
      <c r="I2009" s="716"/>
    </row>
    <row r="2010">
      <c r="A2010" s="709"/>
      <c r="B2010" s="710"/>
      <c r="C2010" s="711"/>
      <c r="D2010" s="712"/>
      <c r="E2010" s="712"/>
      <c r="F2010" s="713"/>
      <c r="G2010" s="714"/>
      <c r="H2010" s="715"/>
      <c r="I2010" s="716"/>
    </row>
    <row r="2011">
      <c r="A2011" s="709"/>
      <c r="B2011" s="710"/>
      <c r="C2011" s="711"/>
      <c r="D2011" s="712"/>
      <c r="E2011" s="712"/>
      <c r="F2011" s="713"/>
      <c r="G2011" s="714"/>
      <c r="H2011" s="715"/>
      <c r="I2011" s="716"/>
    </row>
    <row r="2012">
      <c r="A2012" s="709"/>
      <c r="B2012" s="710"/>
      <c r="C2012" s="711"/>
      <c r="D2012" s="712"/>
      <c r="E2012" s="712"/>
      <c r="F2012" s="713"/>
      <c r="G2012" s="714"/>
      <c r="H2012" s="715"/>
      <c r="I2012" s="716"/>
    </row>
    <row r="2013">
      <c r="A2013" s="709"/>
      <c r="B2013" s="710"/>
      <c r="C2013" s="711"/>
      <c r="D2013" s="712"/>
      <c r="E2013" s="712"/>
      <c r="F2013" s="713"/>
      <c r="G2013" s="714"/>
      <c r="H2013" s="715"/>
      <c r="I2013" s="716"/>
    </row>
    <row r="2014">
      <c r="A2014" s="709"/>
      <c r="B2014" s="710"/>
      <c r="C2014" s="711"/>
      <c r="D2014" s="712"/>
      <c r="E2014" s="712"/>
      <c r="F2014" s="713"/>
      <c r="G2014" s="714"/>
      <c r="H2014" s="715"/>
      <c r="I2014" s="716"/>
    </row>
    <row r="2015">
      <c r="A2015" s="709"/>
      <c r="B2015" s="710"/>
      <c r="C2015" s="711"/>
      <c r="D2015" s="712"/>
      <c r="E2015" s="712"/>
      <c r="F2015" s="713"/>
      <c r="G2015" s="714"/>
      <c r="H2015" s="715"/>
      <c r="I2015" s="716"/>
    </row>
    <row r="2016">
      <c r="A2016" s="709"/>
      <c r="B2016" s="710"/>
      <c r="C2016" s="711"/>
      <c r="D2016" s="712"/>
      <c r="E2016" s="712"/>
      <c r="F2016" s="713"/>
      <c r="G2016" s="714"/>
      <c r="H2016" s="715"/>
      <c r="I2016" s="716"/>
    </row>
    <row r="2017">
      <c r="A2017" s="709"/>
      <c r="B2017" s="710"/>
      <c r="C2017" s="711"/>
      <c r="D2017" s="712"/>
      <c r="E2017" s="712"/>
      <c r="F2017" s="713"/>
      <c r="G2017" s="714"/>
      <c r="H2017" s="715"/>
      <c r="I2017" s="716"/>
    </row>
    <row r="2018">
      <c r="A2018" s="709"/>
      <c r="B2018" s="710"/>
      <c r="C2018" s="711"/>
      <c r="D2018" s="712"/>
      <c r="E2018" s="712"/>
      <c r="F2018" s="713"/>
      <c r="G2018" s="714"/>
      <c r="H2018" s="715"/>
      <c r="I2018" s="716"/>
    </row>
    <row r="2019">
      <c r="A2019" s="709"/>
      <c r="B2019" s="710"/>
      <c r="C2019" s="711"/>
      <c r="D2019" s="712"/>
      <c r="E2019" s="712"/>
      <c r="F2019" s="713"/>
      <c r="G2019" s="714"/>
      <c r="H2019" s="715"/>
      <c r="I2019" s="716"/>
    </row>
    <row r="2020">
      <c r="A2020" s="709"/>
      <c r="B2020" s="710"/>
      <c r="C2020" s="711"/>
      <c r="D2020" s="712"/>
      <c r="E2020" s="712"/>
      <c r="F2020" s="713"/>
      <c r="G2020" s="714"/>
      <c r="H2020" s="715"/>
      <c r="I2020" s="716"/>
    </row>
    <row r="2021">
      <c r="A2021" s="709"/>
      <c r="B2021" s="710"/>
      <c r="C2021" s="711"/>
      <c r="D2021" s="712"/>
      <c r="E2021" s="712"/>
      <c r="F2021" s="713"/>
      <c r="G2021" s="714"/>
      <c r="H2021" s="715"/>
      <c r="I2021" s="716"/>
    </row>
    <row r="2022">
      <c r="A2022" s="709"/>
      <c r="B2022" s="710"/>
      <c r="C2022" s="711"/>
      <c r="D2022" s="712"/>
      <c r="E2022" s="712"/>
      <c r="F2022" s="713"/>
      <c r="G2022" s="714"/>
      <c r="H2022" s="715"/>
      <c r="I2022" s="716"/>
    </row>
    <row r="2023">
      <c r="A2023" s="709"/>
      <c r="B2023" s="710"/>
      <c r="C2023" s="711"/>
      <c r="D2023" s="712"/>
      <c r="E2023" s="712"/>
      <c r="F2023" s="713"/>
      <c r="G2023" s="714"/>
      <c r="H2023" s="715"/>
      <c r="I2023" s="716"/>
    </row>
    <row r="2024">
      <c r="A2024" s="709"/>
      <c r="B2024" s="710"/>
      <c r="C2024" s="711"/>
      <c r="D2024" s="712"/>
      <c r="E2024" s="712"/>
      <c r="F2024" s="713"/>
      <c r="G2024" s="714"/>
      <c r="H2024" s="715"/>
      <c r="I2024" s="716"/>
    </row>
    <row r="2025">
      <c r="A2025" s="709"/>
      <c r="B2025" s="710"/>
      <c r="C2025" s="711"/>
      <c r="D2025" s="712"/>
      <c r="E2025" s="712"/>
      <c r="F2025" s="713"/>
      <c r="G2025" s="714"/>
      <c r="H2025" s="715"/>
      <c r="I2025" s="716"/>
    </row>
    <row r="2026">
      <c r="A2026" s="709"/>
      <c r="B2026" s="710"/>
      <c r="C2026" s="711"/>
      <c r="D2026" s="712"/>
      <c r="E2026" s="712"/>
      <c r="F2026" s="713"/>
      <c r="G2026" s="714"/>
      <c r="H2026" s="715"/>
      <c r="I2026" s="716"/>
    </row>
    <row r="2027">
      <c r="A2027" s="709"/>
      <c r="B2027" s="710"/>
      <c r="C2027" s="711"/>
      <c r="D2027" s="712"/>
      <c r="E2027" s="712"/>
      <c r="F2027" s="713"/>
      <c r="G2027" s="714"/>
      <c r="H2027" s="715"/>
      <c r="I2027" s="716"/>
    </row>
    <row r="2028">
      <c r="A2028" s="709"/>
      <c r="B2028" s="710"/>
      <c r="C2028" s="711"/>
      <c r="D2028" s="712"/>
      <c r="E2028" s="712"/>
      <c r="F2028" s="713"/>
      <c r="G2028" s="714"/>
      <c r="H2028" s="715"/>
      <c r="I2028" s="716"/>
    </row>
    <row r="2029">
      <c r="A2029" s="709"/>
      <c r="B2029" s="710"/>
      <c r="C2029" s="711"/>
      <c r="D2029" s="712"/>
      <c r="E2029" s="712"/>
      <c r="F2029" s="713"/>
      <c r="G2029" s="714"/>
      <c r="H2029" s="715"/>
      <c r="I2029" s="716"/>
    </row>
    <row r="2030">
      <c r="A2030" s="709"/>
      <c r="B2030" s="710"/>
      <c r="C2030" s="711"/>
      <c r="D2030" s="712"/>
      <c r="E2030" s="712"/>
      <c r="F2030" s="713"/>
      <c r="G2030" s="714"/>
      <c r="H2030" s="715"/>
      <c r="I2030" s="716"/>
    </row>
    <row r="2031">
      <c r="A2031" s="709"/>
      <c r="B2031" s="710"/>
      <c r="C2031" s="711"/>
      <c r="D2031" s="712"/>
      <c r="E2031" s="712"/>
      <c r="F2031" s="713"/>
      <c r="G2031" s="714"/>
      <c r="H2031" s="715"/>
      <c r="I2031" s="716"/>
    </row>
    <row r="2032">
      <c r="A2032" s="709"/>
      <c r="B2032" s="710"/>
      <c r="C2032" s="711"/>
      <c r="D2032" s="712"/>
      <c r="E2032" s="712"/>
      <c r="F2032" s="713"/>
      <c r="G2032" s="714"/>
      <c r="H2032" s="715"/>
      <c r="I2032" s="716"/>
    </row>
    <row r="2033">
      <c r="A2033" s="709"/>
      <c r="B2033" s="710"/>
      <c r="C2033" s="711"/>
      <c r="D2033" s="712"/>
      <c r="E2033" s="712"/>
      <c r="F2033" s="713"/>
      <c r="G2033" s="714"/>
      <c r="H2033" s="715"/>
      <c r="I2033" s="716"/>
    </row>
    <row r="2034">
      <c r="A2034" s="709"/>
      <c r="B2034" s="710"/>
      <c r="C2034" s="711"/>
      <c r="D2034" s="712"/>
      <c r="E2034" s="712"/>
      <c r="F2034" s="713"/>
      <c r="G2034" s="714"/>
      <c r="H2034" s="715"/>
      <c r="I2034" s="716"/>
    </row>
    <row r="2035">
      <c r="A2035" s="709"/>
      <c r="B2035" s="710"/>
      <c r="C2035" s="711"/>
      <c r="D2035" s="712"/>
      <c r="E2035" s="712"/>
      <c r="F2035" s="713"/>
      <c r="G2035" s="714"/>
      <c r="H2035" s="715"/>
      <c r="I2035" s="716"/>
    </row>
    <row r="2036">
      <c r="A2036" s="709"/>
      <c r="B2036" s="710"/>
      <c r="C2036" s="711"/>
      <c r="D2036" s="712"/>
      <c r="E2036" s="712"/>
      <c r="F2036" s="713"/>
      <c r="G2036" s="714"/>
      <c r="H2036" s="715"/>
      <c r="I2036" s="716"/>
    </row>
    <row r="2037">
      <c r="A2037" s="709"/>
      <c r="B2037" s="710"/>
      <c r="C2037" s="711"/>
      <c r="D2037" s="712"/>
      <c r="E2037" s="712"/>
      <c r="F2037" s="713"/>
      <c r="G2037" s="714"/>
      <c r="H2037" s="715"/>
      <c r="I2037" s="716"/>
    </row>
    <row r="2038">
      <c r="A2038" s="709"/>
      <c r="B2038" s="710"/>
      <c r="C2038" s="711"/>
      <c r="D2038" s="712"/>
      <c r="E2038" s="712"/>
      <c r="F2038" s="713"/>
      <c r="G2038" s="714"/>
      <c r="H2038" s="715"/>
      <c r="I2038" s="716"/>
    </row>
    <row r="2039">
      <c r="A2039" s="709"/>
      <c r="B2039" s="710"/>
      <c r="C2039" s="711"/>
      <c r="D2039" s="712"/>
      <c r="E2039" s="712"/>
      <c r="F2039" s="713"/>
      <c r="G2039" s="714"/>
      <c r="H2039" s="715"/>
      <c r="I2039" s="716"/>
    </row>
    <row r="2040">
      <c r="A2040" s="709"/>
      <c r="B2040" s="710"/>
      <c r="C2040" s="711"/>
      <c r="D2040" s="712"/>
      <c r="E2040" s="712"/>
      <c r="F2040" s="713"/>
      <c r="G2040" s="714"/>
      <c r="H2040" s="715"/>
      <c r="I2040" s="716"/>
    </row>
    <row r="2041">
      <c r="A2041" s="709"/>
      <c r="B2041" s="710"/>
      <c r="C2041" s="711"/>
      <c r="D2041" s="712"/>
      <c r="E2041" s="712"/>
      <c r="F2041" s="713"/>
      <c r="G2041" s="714"/>
      <c r="H2041" s="715"/>
      <c r="I2041" s="716"/>
    </row>
    <row r="2042">
      <c r="A2042" s="709"/>
      <c r="B2042" s="710"/>
      <c r="C2042" s="711"/>
      <c r="D2042" s="712"/>
      <c r="E2042" s="712"/>
      <c r="F2042" s="713"/>
      <c r="G2042" s="714"/>
      <c r="H2042" s="715"/>
      <c r="I2042" s="716"/>
    </row>
    <row r="2043">
      <c r="A2043" s="709"/>
      <c r="B2043" s="710"/>
      <c r="C2043" s="711"/>
      <c r="D2043" s="712"/>
      <c r="E2043" s="712"/>
      <c r="F2043" s="713"/>
      <c r="G2043" s="714"/>
      <c r="H2043" s="715"/>
      <c r="I2043" s="716"/>
    </row>
    <row r="2044">
      <c r="A2044" s="709"/>
      <c r="B2044" s="710"/>
      <c r="C2044" s="711"/>
      <c r="D2044" s="712"/>
      <c r="E2044" s="712"/>
      <c r="F2044" s="713"/>
      <c r="G2044" s="714"/>
      <c r="H2044" s="715"/>
      <c r="I2044" s="716"/>
    </row>
    <row r="2045">
      <c r="A2045" s="709"/>
      <c r="B2045" s="710"/>
      <c r="C2045" s="711"/>
      <c r="D2045" s="712"/>
      <c r="E2045" s="712"/>
      <c r="F2045" s="713"/>
      <c r="G2045" s="714"/>
      <c r="H2045" s="715"/>
      <c r="I2045" s="716"/>
    </row>
    <row r="2046">
      <c r="A2046" s="709"/>
      <c r="B2046" s="710"/>
      <c r="C2046" s="711"/>
      <c r="D2046" s="712"/>
      <c r="E2046" s="712"/>
      <c r="F2046" s="713"/>
      <c r="G2046" s="714"/>
      <c r="H2046" s="715"/>
      <c r="I2046" s="716"/>
    </row>
    <row r="2047">
      <c r="A2047" s="709"/>
      <c r="B2047" s="710"/>
      <c r="C2047" s="711"/>
      <c r="D2047" s="712"/>
      <c r="E2047" s="712"/>
      <c r="F2047" s="713"/>
      <c r="G2047" s="714"/>
      <c r="H2047" s="715"/>
      <c r="I2047" s="716"/>
    </row>
    <row r="2048">
      <c r="A2048" s="709"/>
      <c r="B2048" s="710"/>
      <c r="C2048" s="711"/>
      <c r="D2048" s="712"/>
      <c r="E2048" s="712"/>
      <c r="F2048" s="713"/>
      <c r="G2048" s="714"/>
      <c r="H2048" s="715"/>
      <c r="I2048" s="716"/>
    </row>
    <row r="2049">
      <c r="A2049" s="709"/>
      <c r="B2049" s="710"/>
      <c r="C2049" s="711"/>
      <c r="D2049" s="712"/>
      <c r="E2049" s="712"/>
      <c r="F2049" s="713"/>
      <c r="G2049" s="714"/>
      <c r="H2049" s="715"/>
      <c r="I2049" s="716"/>
    </row>
    <row r="2050">
      <c r="A2050" s="709"/>
      <c r="B2050" s="710"/>
      <c r="C2050" s="711"/>
      <c r="D2050" s="712"/>
      <c r="E2050" s="712"/>
      <c r="F2050" s="713"/>
      <c r="G2050" s="714"/>
      <c r="H2050" s="715"/>
      <c r="I2050" s="716"/>
    </row>
    <row r="2051">
      <c r="A2051" s="709"/>
      <c r="B2051" s="710"/>
      <c r="C2051" s="711"/>
      <c r="D2051" s="712"/>
      <c r="E2051" s="712"/>
      <c r="F2051" s="713"/>
      <c r="G2051" s="714"/>
      <c r="H2051" s="715"/>
      <c r="I2051" s="716"/>
    </row>
    <row r="2052">
      <c r="A2052" s="709"/>
      <c r="B2052" s="710"/>
      <c r="C2052" s="711"/>
      <c r="D2052" s="712"/>
      <c r="E2052" s="712"/>
      <c r="F2052" s="713"/>
      <c r="G2052" s="714"/>
      <c r="H2052" s="715"/>
      <c r="I2052" s="716"/>
    </row>
    <row r="2053">
      <c r="A2053" s="709"/>
      <c r="B2053" s="710"/>
      <c r="C2053" s="711"/>
      <c r="D2053" s="712"/>
      <c r="E2053" s="712"/>
      <c r="F2053" s="713"/>
      <c r="G2053" s="714"/>
      <c r="H2053" s="715"/>
      <c r="I2053" s="716"/>
    </row>
    <row r="2054">
      <c r="A2054" s="709"/>
      <c r="B2054" s="710"/>
      <c r="C2054" s="711"/>
      <c r="D2054" s="712"/>
      <c r="E2054" s="712"/>
      <c r="F2054" s="713"/>
      <c r="G2054" s="714"/>
      <c r="H2054" s="715"/>
      <c r="I2054" s="716"/>
    </row>
    <row r="2055">
      <c r="A2055" s="709"/>
      <c r="B2055" s="710"/>
      <c r="C2055" s="711"/>
      <c r="D2055" s="712"/>
      <c r="E2055" s="712"/>
      <c r="F2055" s="713"/>
      <c r="G2055" s="714"/>
      <c r="H2055" s="715"/>
      <c r="I2055" s="716"/>
    </row>
    <row r="2056">
      <c r="A2056" s="709"/>
      <c r="B2056" s="710"/>
      <c r="C2056" s="711"/>
      <c r="D2056" s="712"/>
      <c r="E2056" s="712"/>
      <c r="F2056" s="713"/>
      <c r="G2056" s="714"/>
      <c r="H2056" s="715"/>
      <c r="I2056" s="716"/>
    </row>
    <row r="2057">
      <c r="A2057" s="709"/>
      <c r="B2057" s="710"/>
      <c r="C2057" s="711"/>
      <c r="D2057" s="712"/>
      <c r="E2057" s="712"/>
      <c r="F2057" s="713"/>
      <c r="G2057" s="714"/>
      <c r="H2057" s="715"/>
      <c r="I2057" s="716"/>
    </row>
    <row r="2058">
      <c r="A2058" s="709"/>
      <c r="B2058" s="710"/>
      <c r="C2058" s="711"/>
      <c r="D2058" s="712"/>
      <c r="E2058" s="712"/>
      <c r="F2058" s="713"/>
      <c r="G2058" s="714"/>
      <c r="H2058" s="715"/>
      <c r="I2058" s="716"/>
    </row>
    <row r="2059">
      <c r="A2059" s="709"/>
      <c r="B2059" s="710"/>
      <c r="C2059" s="711"/>
      <c r="D2059" s="712"/>
      <c r="E2059" s="712"/>
      <c r="F2059" s="713"/>
      <c r="G2059" s="714"/>
      <c r="H2059" s="715"/>
      <c r="I2059" s="716"/>
    </row>
    <row r="2060">
      <c r="A2060" s="709"/>
      <c r="B2060" s="710"/>
      <c r="C2060" s="711"/>
      <c r="D2060" s="712"/>
      <c r="E2060" s="712"/>
      <c r="F2060" s="713"/>
      <c r="G2060" s="714"/>
      <c r="H2060" s="715"/>
      <c r="I2060" s="716"/>
    </row>
  </sheetData>
  <mergeCells count="1184">
    <mergeCell ref="B780:B782"/>
    <mergeCell ref="C780:C782"/>
    <mergeCell ref="A774:A776"/>
    <mergeCell ref="B774:B776"/>
    <mergeCell ref="C774:C776"/>
    <mergeCell ref="A777:A779"/>
    <mergeCell ref="B777:B779"/>
    <mergeCell ref="C777:C779"/>
    <mergeCell ref="A780:A782"/>
    <mergeCell ref="B791:B795"/>
    <mergeCell ref="C791:C795"/>
    <mergeCell ref="A783:A786"/>
    <mergeCell ref="B783:B786"/>
    <mergeCell ref="C783:C786"/>
    <mergeCell ref="A787:A790"/>
    <mergeCell ref="B787:B790"/>
    <mergeCell ref="C787:C790"/>
    <mergeCell ref="A791:A795"/>
    <mergeCell ref="B804:B806"/>
    <mergeCell ref="C804:C806"/>
    <mergeCell ref="A796:A800"/>
    <mergeCell ref="B796:B800"/>
    <mergeCell ref="C796:C800"/>
    <mergeCell ref="A801:A803"/>
    <mergeCell ref="B801:B803"/>
    <mergeCell ref="C801:C803"/>
    <mergeCell ref="A804:A806"/>
    <mergeCell ref="B816:B820"/>
    <mergeCell ref="C816:C820"/>
    <mergeCell ref="A807:A810"/>
    <mergeCell ref="B807:B810"/>
    <mergeCell ref="C807:C810"/>
    <mergeCell ref="A811:A815"/>
    <mergeCell ref="B811:B815"/>
    <mergeCell ref="C811:C815"/>
    <mergeCell ref="A816:A820"/>
    <mergeCell ref="B833:B835"/>
    <mergeCell ref="C833:C835"/>
    <mergeCell ref="A821:A827"/>
    <mergeCell ref="B821:B827"/>
    <mergeCell ref="C821:C827"/>
    <mergeCell ref="A828:A832"/>
    <mergeCell ref="B828:B832"/>
    <mergeCell ref="C828:C832"/>
    <mergeCell ref="A833:A835"/>
    <mergeCell ref="B846:B849"/>
    <mergeCell ref="C846:C849"/>
    <mergeCell ref="A836:A839"/>
    <mergeCell ref="B836:B839"/>
    <mergeCell ref="C836:C839"/>
    <mergeCell ref="A840:A845"/>
    <mergeCell ref="B840:B845"/>
    <mergeCell ref="C840:C845"/>
    <mergeCell ref="A846:A849"/>
    <mergeCell ref="A850:A852"/>
    <mergeCell ref="B850:B852"/>
    <mergeCell ref="C850:C852"/>
    <mergeCell ref="A853:A858"/>
    <mergeCell ref="B853:B858"/>
    <mergeCell ref="C853:C858"/>
    <mergeCell ref="A859:A863"/>
    <mergeCell ref="G932:G933"/>
    <mergeCell ref="F955:G958"/>
    <mergeCell ref="F959:G961"/>
    <mergeCell ref="B859:B863"/>
    <mergeCell ref="C859:C863"/>
    <mergeCell ref="D932:D933"/>
    <mergeCell ref="E932:E933"/>
    <mergeCell ref="F932:F933"/>
    <mergeCell ref="H932:H933"/>
    <mergeCell ref="I932:I933"/>
    <mergeCell ref="B873:B877"/>
    <mergeCell ref="C873:C877"/>
    <mergeCell ref="A864:A867"/>
    <mergeCell ref="B864:B867"/>
    <mergeCell ref="C864:C867"/>
    <mergeCell ref="A868:A872"/>
    <mergeCell ref="B868:B872"/>
    <mergeCell ref="C868:C872"/>
    <mergeCell ref="A873:A877"/>
    <mergeCell ref="B886:B891"/>
    <mergeCell ref="C886:C891"/>
    <mergeCell ref="A878:A880"/>
    <mergeCell ref="B878:B880"/>
    <mergeCell ref="C878:C880"/>
    <mergeCell ref="A881:A885"/>
    <mergeCell ref="B881:B885"/>
    <mergeCell ref="C881:C885"/>
    <mergeCell ref="A886:A891"/>
    <mergeCell ref="B903:B906"/>
    <mergeCell ref="C903:C906"/>
    <mergeCell ref="A892:A898"/>
    <mergeCell ref="B892:B898"/>
    <mergeCell ref="C892:C898"/>
    <mergeCell ref="A899:A902"/>
    <mergeCell ref="B899:B902"/>
    <mergeCell ref="C899:C902"/>
    <mergeCell ref="A903:A906"/>
    <mergeCell ref="B918:B920"/>
    <mergeCell ref="C918:C920"/>
    <mergeCell ref="A907:A911"/>
    <mergeCell ref="B907:B911"/>
    <mergeCell ref="C907:C911"/>
    <mergeCell ref="A912:A916"/>
    <mergeCell ref="B912:B916"/>
    <mergeCell ref="C912:C916"/>
    <mergeCell ref="A918:A920"/>
    <mergeCell ref="B932:B937"/>
    <mergeCell ref="C932:C937"/>
    <mergeCell ref="A921:A925"/>
    <mergeCell ref="B921:B925"/>
    <mergeCell ref="C921:C925"/>
    <mergeCell ref="A926:A931"/>
    <mergeCell ref="B926:B931"/>
    <mergeCell ref="C926:C931"/>
    <mergeCell ref="A932:A937"/>
    <mergeCell ref="B946:B948"/>
    <mergeCell ref="C946:C948"/>
    <mergeCell ref="A938:A942"/>
    <mergeCell ref="B938:B942"/>
    <mergeCell ref="C938:C942"/>
    <mergeCell ref="A943:A945"/>
    <mergeCell ref="B943:B945"/>
    <mergeCell ref="C943:C945"/>
    <mergeCell ref="A946:A948"/>
    <mergeCell ref="C952:C954"/>
    <mergeCell ref="C955:C958"/>
    <mergeCell ref="A949:A951"/>
    <mergeCell ref="B949:B951"/>
    <mergeCell ref="C949:C951"/>
    <mergeCell ref="A952:A954"/>
    <mergeCell ref="B952:B954"/>
    <mergeCell ref="B955:B961"/>
    <mergeCell ref="C959:C961"/>
    <mergeCell ref="B1076:B1080"/>
    <mergeCell ref="C1076:C1080"/>
    <mergeCell ref="A1071:A1072"/>
    <mergeCell ref="B1071:B1072"/>
    <mergeCell ref="C1071:C1072"/>
    <mergeCell ref="A1073:A1075"/>
    <mergeCell ref="B1073:B1075"/>
    <mergeCell ref="C1073:C1075"/>
    <mergeCell ref="A1076:A1080"/>
    <mergeCell ref="B1088:B1090"/>
    <mergeCell ref="C1088:C1090"/>
    <mergeCell ref="A1081:A1084"/>
    <mergeCell ref="B1081:B1084"/>
    <mergeCell ref="C1081:C1084"/>
    <mergeCell ref="A1085:A1087"/>
    <mergeCell ref="B1085:B1087"/>
    <mergeCell ref="C1085:C1087"/>
    <mergeCell ref="A1088:A1090"/>
    <mergeCell ref="B1097:B1098"/>
    <mergeCell ref="C1097:C1098"/>
    <mergeCell ref="A1091:A1093"/>
    <mergeCell ref="B1091:B1093"/>
    <mergeCell ref="C1091:C1093"/>
    <mergeCell ref="A1094:A1096"/>
    <mergeCell ref="B1094:B1096"/>
    <mergeCell ref="C1094:C1096"/>
    <mergeCell ref="A1097:A1098"/>
    <mergeCell ref="B1105:B1107"/>
    <mergeCell ref="C1105:C1107"/>
    <mergeCell ref="A1099:A1101"/>
    <mergeCell ref="B1099:B1101"/>
    <mergeCell ref="C1099:C1101"/>
    <mergeCell ref="A1102:A1104"/>
    <mergeCell ref="B1102:B1104"/>
    <mergeCell ref="C1102:C1104"/>
    <mergeCell ref="A1105:A1107"/>
    <mergeCell ref="B1114:B1116"/>
    <mergeCell ref="C1114:C1116"/>
    <mergeCell ref="A1108:A1110"/>
    <mergeCell ref="B1108:B1110"/>
    <mergeCell ref="C1108:C1110"/>
    <mergeCell ref="A1111:A1113"/>
    <mergeCell ref="B1111:B1113"/>
    <mergeCell ref="C1111:C1113"/>
    <mergeCell ref="A1114:A1116"/>
    <mergeCell ref="B1124:B1127"/>
    <mergeCell ref="C1124:C1127"/>
    <mergeCell ref="A1117:A1120"/>
    <mergeCell ref="B1117:B1120"/>
    <mergeCell ref="C1117:C1120"/>
    <mergeCell ref="A1121:A1123"/>
    <mergeCell ref="B1121:B1123"/>
    <mergeCell ref="C1121:C1123"/>
    <mergeCell ref="A1124:A1127"/>
    <mergeCell ref="B1135:B1138"/>
    <mergeCell ref="C1135:C1138"/>
    <mergeCell ref="A1128:A1130"/>
    <mergeCell ref="B1128:B1130"/>
    <mergeCell ref="C1128:C1130"/>
    <mergeCell ref="A1131:A1134"/>
    <mergeCell ref="B1131:B1134"/>
    <mergeCell ref="C1131:C1134"/>
    <mergeCell ref="A1135:A1138"/>
    <mergeCell ref="B1146:B1149"/>
    <mergeCell ref="C1146:C1149"/>
    <mergeCell ref="A1139:A1140"/>
    <mergeCell ref="B1139:B1140"/>
    <mergeCell ref="C1139:C1140"/>
    <mergeCell ref="A1141:A1145"/>
    <mergeCell ref="B1141:B1145"/>
    <mergeCell ref="C1141:C1145"/>
    <mergeCell ref="A1146:A1149"/>
    <mergeCell ref="B1157:B1159"/>
    <mergeCell ref="C1157:C1159"/>
    <mergeCell ref="A1150:A1152"/>
    <mergeCell ref="B1150:B1152"/>
    <mergeCell ref="C1150:C1152"/>
    <mergeCell ref="A1153:A1156"/>
    <mergeCell ref="B1153:B1156"/>
    <mergeCell ref="C1153:C1156"/>
    <mergeCell ref="A1157:A1159"/>
    <mergeCell ref="B1169:B1171"/>
    <mergeCell ref="C1169:C1171"/>
    <mergeCell ref="A1160:A1163"/>
    <mergeCell ref="B1160:B1163"/>
    <mergeCell ref="C1160:C1163"/>
    <mergeCell ref="A1164:A1168"/>
    <mergeCell ref="B1164:B1168"/>
    <mergeCell ref="C1164:C1168"/>
    <mergeCell ref="A1169:A1171"/>
    <mergeCell ref="B1180:B1182"/>
    <mergeCell ref="C1180:C1182"/>
    <mergeCell ref="A1172:A1176"/>
    <mergeCell ref="B1172:B1176"/>
    <mergeCell ref="C1172:C1176"/>
    <mergeCell ref="A1177:A1179"/>
    <mergeCell ref="B1177:B1179"/>
    <mergeCell ref="C1177:C1179"/>
    <mergeCell ref="A1180:A1182"/>
    <mergeCell ref="B1191:B1193"/>
    <mergeCell ref="C1191:C1193"/>
    <mergeCell ref="A1183:A1186"/>
    <mergeCell ref="B1183:B1186"/>
    <mergeCell ref="C1183:C1186"/>
    <mergeCell ref="A1187:A1190"/>
    <mergeCell ref="B1187:B1190"/>
    <mergeCell ref="C1187:C1190"/>
    <mergeCell ref="A1191:A1193"/>
    <mergeCell ref="B1203:B1205"/>
    <mergeCell ref="C1203:C1205"/>
    <mergeCell ref="A1194:A1197"/>
    <mergeCell ref="B1194:B1197"/>
    <mergeCell ref="C1194:C1197"/>
    <mergeCell ref="A1198:A1202"/>
    <mergeCell ref="B1198:B1202"/>
    <mergeCell ref="C1198:C1202"/>
    <mergeCell ref="A1203:A1205"/>
    <mergeCell ref="B1214:B1216"/>
    <mergeCell ref="C1214:C1216"/>
    <mergeCell ref="A1206:A1209"/>
    <mergeCell ref="B1206:B1209"/>
    <mergeCell ref="C1206:C1209"/>
    <mergeCell ref="A1210:A1213"/>
    <mergeCell ref="B1210:B1213"/>
    <mergeCell ref="C1210:C1213"/>
    <mergeCell ref="A1214:A1216"/>
    <mergeCell ref="B1026:B1029"/>
    <mergeCell ref="C1026:C1029"/>
    <mergeCell ref="A1017:A1020"/>
    <mergeCell ref="B1017:B1020"/>
    <mergeCell ref="C1017:C1020"/>
    <mergeCell ref="A1021:A1025"/>
    <mergeCell ref="B1021:B1025"/>
    <mergeCell ref="C1021:C1025"/>
    <mergeCell ref="A1026:A1029"/>
    <mergeCell ref="B1223:B1225"/>
    <mergeCell ref="C1223:C1225"/>
    <mergeCell ref="A1217:A1219"/>
    <mergeCell ref="B1217:B1219"/>
    <mergeCell ref="C1217:C1219"/>
    <mergeCell ref="A1220:A1222"/>
    <mergeCell ref="B1220:B1222"/>
    <mergeCell ref="C1220:C1222"/>
    <mergeCell ref="A1223:A1225"/>
    <mergeCell ref="B1247:B1250"/>
    <mergeCell ref="C1247:C1250"/>
    <mergeCell ref="A1239:A1242"/>
    <mergeCell ref="B1239:B1242"/>
    <mergeCell ref="C1239:C1242"/>
    <mergeCell ref="A1243:A1246"/>
    <mergeCell ref="B1243:B1246"/>
    <mergeCell ref="C1243:C1246"/>
    <mergeCell ref="A1247:A1250"/>
    <mergeCell ref="B1259:B1262"/>
    <mergeCell ref="C1259:C1262"/>
    <mergeCell ref="A1251:A1253"/>
    <mergeCell ref="B1251:B1253"/>
    <mergeCell ref="C1251:C1253"/>
    <mergeCell ref="A1254:A1258"/>
    <mergeCell ref="B1254:B1258"/>
    <mergeCell ref="C1254:C1258"/>
    <mergeCell ref="A1259:A1262"/>
    <mergeCell ref="B1269:B1272"/>
    <mergeCell ref="C1269:C1272"/>
    <mergeCell ref="A1263:A1265"/>
    <mergeCell ref="B1263:B1265"/>
    <mergeCell ref="C1263:C1265"/>
    <mergeCell ref="A1266:A1268"/>
    <mergeCell ref="B1266:B1268"/>
    <mergeCell ref="C1266:C1268"/>
    <mergeCell ref="A1269:A1272"/>
    <mergeCell ref="B1281:B1283"/>
    <mergeCell ref="C1281:C1283"/>
    <mergeCell ref="A1273:A1276"/>
    <mergeCell ref="B1273:B1276"/>
    <mergeCell ref="C1273:C1276"/>
    <mergeCell ref="A1277:A1280"/>
    <mergeCell ref="B1277:B1280"/>
    <mergeCell ref="C1277:C1280"/>
    <mergeCell ref="A1281:A1283"/>
    <mergeCell ref="B1291:B1293"/>
    <mergeCell ref="C1291:C1293"/>
    <mergeCell ref="A1284:A1286"/>
    <mergeCell ref="B1284:B1286"/>
    <mergeCell ref="C1284:C1286"/>
    <mergeCell ref="A1287:A1290"/>
    <mergeCell ref="B1287:B1290"/>
    <mergeCell ref="C1287:C1290"/>
    <mergeCell ref="A1291:A1293"/>
    <mergeCell ref="B1299:B1301"/>
    <mergeCell ref="C1299:C1301"/>
    <mergeCell ref="A1294:A1296"/>
    <mergeCell ref="B1294:B1296"/>
    <mergeCell ref="C1294:C1296"/>
    <mergeCell ref="A1297:A1298"/>
    <mergeCell ref="B1297:B1298"/>
    <mergeCell ref="C1297:C1298"/>
    <mergeCell ref="A1299:A1301"/>
    <mergeCell ref="B1308:B1311"/>
    <mergeCell ref="C1308:C1311"/>
    <mergeCell ref="A1302:A1304"/>
    <mergeCell ref="B1302:B1304"/>
    <mergeCell ref="C1302:C1304"/>
    <mergeCell ref="A1305:A1307"/>
    <mergeCell ref="B1305:B1307"/>
    <mergeCell ref="C1305:C1307"/>
    <mergeCell ref="A1308:A1311"/>
    <mergeCell ref="B1318:B1320"/>
    <mergeCell ref="C1318:C1320"/>
    <mergeCell ref="A1312:A1313"/>
    <mergeCell ref="B1312:B1313"/>
    <mergeCell ref="C1312:C1313"/>
    <mergeCell ref="A1314:A1317"/>
    <mergeCell ref="B1314:B1317"/>
    <mergeCell ref="C1314:C1317"/>
    <mergeCell ref="A1318:A1320"/>
    <mergeCell ref="B1326:B1328"/>
    <mergeCell ref="C1326:C1328"/>
    <mergeCell ref="A1321:A1322"/>
    <mergeCell ref="B1321:B1322"/>
    <mergeCell ref="C1321:C1322"/>
    <mergeCell ref="A1323:A1325"/>
    <mergeCell ref="B1323:B1325"/>
    <mergeCell ref="C1323:C1325"/>
    <mergeCell ref="A1326:A1328"/>
    <mergeCell ref="B1334:B1337"/>
    <mergeCell ref="C1334:C1337"/>
    <mergeCell ref="A1329:A1331"/>
    <mergeCell ref="B1329:B1331"/>
    <mergeCell ref="C1329:C1331"/>
    <mergeCell ref="A1332:A1333"/>
    <mergeCell ref="B1332:B1333"/>
    <mergeCell ref="C1332:C1333"/>
    <mergeCell ref="A1334:A1337"/>
    <mergeCell ref="B1344:B1347"/>
    <mergeCell ref="C1344:C1347"/>
    <mergeCell ref="A1338:A1340"/>
    <mergeCell ref="B1338:B1340"/>
    <mergeCell ref="C1338:C1340"/>
    <mergeCell ref="A1341:A1343"/>
    <mergeCell ref="B1341:B1343"/>
    <mergeCell ref="C1341:C1343"/>
    <mergeCell ref="A1344:A1347"/>
    <mergeCell ref="B1356:B1357"/>
    <mergeCell ref="C1356:C1357"/>
    <mergeCell ref="D1395:D1396"/>
    <mergeCell ref="E1395:E1396"/>
    <mergeCell ref="F1395:F1396"/>
    <mergeCell ref="G1395:G1396"/>
    <mergeCell ref="H1395:H1396"/>
    <mergeCell ref="I1395:I1396"/>
    <mergeCell ref="A1348:A1351"/>
    <mergeCell ref="B1348:B1351"/>
    <mergeCell ref="C1348:C1351"/>
    <mergeCell ref="A1352:A1355"/>
    <mergeCell ref="B1352:B1355"/>
    <mergeCell ref="C1352:C1355"/>
    <mergeCell ref="A1356:A1357"/>
    <mergeCell ref="B1363:B1365"/>
    <mergeCell ref="C1363:C1365"/>
    <mergeCell ref="A1358:A1359"/>
    <mergeCell ref="B1358:B1359"/>
    <mergeCell ref="C1358:C1359"/>
    <mergeCell ref="A1360:A1362"/>
    <mergeCell ref="B1360:B1362"/>
    <mergeCell ref="C1360:C1362"/>
    <mergeCell ref="A1363:A1365"/>
    <mergeCell ref="B1372:B1375"/>
    <mergeCell ref="C1372:C1375"/>
    <mergeCell ref="A1366:A1368"/>
    <mergeCell ref="B1366:B1368"/>
    <mergeCell ref="C1366:C1368"/>
    <mergeCell ref="A1369:A1371"/>
    <mergeCell ref="B1369:B1371"/>
    <mergeCell ref="C1369:C1371"/>
    <mergeCell ref="A1372:A1375"/>
    <mergeCell ref="B1382:B1384"/>
    <mergeCell ref="C1382:C1384"/>
    <mergeCell ref="A1376:A1378"/>
    <mergeCell ref="B1376:B1378"/>
    <mergeCell ref="C1376:C1378"/>
    <mergeCell ref="A1379:A1381"/>
    <mergeCell ref="B1379:B1381"/>
    <mergeCell ref="C1379:C1381"/>
    <mergeCell ref="A1382:A1384"/>
    <mergeCell ref="B1391:B1393"/>
    <mergeCell ref="C1391:C1393"/>
    <mergeCell ref="A1385:A1387"/>
    <mergeCell ref="B1385:B1387"/>
    <mergeCell ref="C1385:C1387"/>
    <mergeCell ref="A1388:A1390"/>
    <mergeCell ref="B1388:B1390"/>
    <mergeCell ref="C1388:C1390"/>
    <mergeCell ref="A1391:A1393"/>
    <mergeCell ref="B1400:B1402"/>
    <mergeCell ref="C1400:C1402"/>
    <mergeCell ref="A1394:A1396"/>
    <mergeCell ref="B1394:B1396"/>
    <mergeCell ref="C1394:C1396"/>
    <mergeCell ref="A1397:A1399"/>
    <mergeCell ref="B1397:B1399"/>
    <mergeCell ref="C1397:C1399"/>
    <mergeCell ref="A1400:A1402"/>
    <mergeCell ref="B1410:B1412"/>
    <mergeCell ref="C1410:C1412"/>
    <mergeCell ref="A1403:A1404"/>
    <mergeCell ref="B1403:B1404"/>
    <mergeCell ref="C1403:C1404"/>
    <mergeCell ref="A1405:A1408"/>
    <mergeCell ref="B1405:B1408"/>
    <mergeCell ref="C1405:C1408"/>
    <mergeCell ref="A1410:A1412"/>
    <mergeCell ref="B1420:B1422"/>
    <mergeCell ref="C1420:C1422"/>
    <mergeCell ref="A1413:A1416"/>
    <mergeCell ref="B1413:B1416"/>
    <mergeCell ref="C1413:C1416"/>
    <mergeCell ref="A1417:A1419"/>
    <mergeCell ref="B1417:B1419"/>
    <mergeCell ref="C1417:C1419"/>
    <mergeCell ref="A1420:A1422"/>
    <mergeCell ref="B1429:B1431"/>
    <mergeCell ref="C1429:C1431"/>
    <mergeCell ref="A1423:A1425"/>
    <mergeCell ref="B1423:B1425"/>
    <mergeCell ref="C1423:C1425"/>
    <mergeCell ref="A1426:A1428"/>
    <mergeCell ref="B1426:B1428"/>
    <mergeCell ref="C1426:C1428"/>
    <mergeCell ref="A1429:A1431"/>
    <mergeCell ref="B1438:B1440"/>
    <mergeCell ref="C1438:C1440"/>
    <mergeCell ref="A1432:A1434"/>
    <mergeCell ref="B1432:B1434"/>
    <mergeCell ref="C1432:C1434"/>
    <mergeCell ref="A1435:A1437"/>
    <mergeCell ref="B1435:B1437"/>
    <mergeCell ref="C1435:C1437"/>
    <mergeCell ref="A1438:A1440"/>
    <mergeCell ref="B1445:B1446"/>
    <mergeCell ref="C1445:C1446"/>
    <mergeCell ref="A1441:A1442"/>
    <mergeCell ref="B1441:B1442"/>
    <mergeCell ref="C1441:C1442"/>
    <mergeCell ref="A1443:A1444"/>
    <mergeCell ref="B1443:B1444"/>
    <mergeCell ref="C1443:C1444"/>
    <mergeCell ref="A1445:A1446"/>
    <mergeCell ref="B1452:B1453"/>
    <mergeCell ref="C1452:C1453"/>
    <mergeCell ref="A1447:A1449"/>
    <mergeCell ref="B1447:B1449"/>
    <mergeCell ref="C1447:C1449"/>
    <mergeCell ref="A1450:A1451"/>
    <mergeCell ref="B1450:B1451"/>
    <mergeCell ref="C1450:C1451"/>
    <mergeCell ref="A1452:A1453"/>
    <mergeCell ref="B1459:B1461"/>
    <mergeCell ref="C1459:C1461"/>
    <mergeCell ref="A1454:A1455"/>
    <mergeCell ref="B1454:B1455"/>
    <mergeCell ref="C1454:C1455"/>
    <mergeCell ref="A1456:A1458"/>
    <mergeCell ref="B1456:B1458"/>
    <mergeCell ref="C1456:C1458"/>
    <mergeCell ref="A1459:A1461"/>
    <mergeCell ref="B1467:B1469"/>
    <mergeCell ref="C1467:C1469"/>
    <mergeCell ref="A1462:A1464"/>
    <mergeCell ref="B1462:B1464"/>
    <mergeCell ref="C1462:C1464"/>
    <mergeCell ref="A1465:A1466"/>
    <mergeCell ref="B1465:B1466"/>
    <mergeCell ref="C1465:C1466"/>
    <mergeCell ref="A1467:A1469"/>
    <mergeCell ref="B1476:B1477"/>
    <mergeCell ref="C1476:C1477"/>
    <mergeCell ref="A1470:A1472"/>
    <mergeCell ref="B1470:B1472"/>
    <mergeCell ref="C1470:C1472"/>
    <mergeCell ref="A1473:A1475"/>
    <mergeCell ref="B1473:B1475"/>
    <mergeCell ref="C1473:C1475"/>
    <mergeCell ref="A1476:A1477"/>
    <mergeCell ref="B1235:B1238"/>
    <mergeCell ref="C1235:C1238"/>
    <mergeCell ref="A1226:A1230"/>
    <mergeCell ref="B1226:B1230"/>
    <mergeCell ref="C1226:C1230"/>
    <mergeCell ref="A1231:A1234"/>
    <mergeCell ref="B1231:B1234"/>
    <mergeCell ref="C1231:C1234"/>
    <mergeCell ref="A1235:A1238"/>
    <mergeCell ref="B977:B979"/>
    <mergeCell ref="C977:C979"/>
    <mergeCell ref="A971:A973"/>
    <mergeCell ref="B971:B973"/>
    <mergeCell ref="C971:C973"/>
    <mergeCell ref="A974:A976"/>
    <mergeCell ref="B974:B976"/>
    <mergeCell ref="C974:C976"/>
    <mergeCell ref="A977:A979"/>
    <mergeCell ref="B990:B993"/>
    <mergeCell ref="C990:C993"/>
    <mergeCell ref="A980:A983"/>
    <mergeCell ref="B980:B983"/>
    <mergeCell ref="C980:C983"/>
    <mergeCell ref="A984:A989"/>
    <mergeCell ref="B984:B989"/>
    <mergeCell ref="C984:C989"/>
    <mergeCell ref="A990:A993"/>
    <mergeCell ref="B1001:B1004"/>
    <mergeCell ref="C1001:C1004"/>
    <mergeCell ref="A994:A997"/>
    <mergeCell ref="B994:B997"/>
    <mergeCell ref="C994:C997"/>
    <mergeCell ref="A998:A1000"/>
    <mergeCell ref="B998:B1000"/>
    <mergeCell ref="C998:C1000"/>
    <mergeCell ref="A1001:A1004"/>
    <mergeCell ref="A1531:A1532"/>
    <mergeCell ref="B1531:B1532"/>
    <mergeCell ref="C1531:C1532"/>
    <mergeCell ref="A1534:A1535"/>
    <mergeCell ref="B1534:B1535"/>
    <mergeCell ref="C1534:C1535"/>
    <mergeCell ref="B1485:B1487"/>
    <mergeCell ref="C1485:C1487"/>
    <mergeCell ref="A1478:A1481"/>
    <mergeCell ref="B1478:B1481"/>
    <mergeCell ref="C1478:C1481"/>
    <mergeCell ref="A1482:A1484"/>
    <mergeCell ref="B1482:B1484"/>
    <mergeCell ref="C1482:C1484"/>
    <mergeCell ref="A1485:A1487"/>
    <mergeCell ref="B1492:B1493"/>
    <mergeCell ref="C1492:C1493"/>
    <mergeCell ref="A1488:A1489"/>
    <mergeCell ref="B1488:B1489"/>
    <mergeCell ref="C1488:C1489"/>
    <mergeCell ref="A1490:A1491"/>
    <mergeCell ref="B1490:B1491"/>
    <mergeCell ref="C1490:C1491"/>
    <mergeCell ref="A1492:A1493"/>
    <mergeCell ref="B1499:B1500"/>
    <mergeCell ref="C1499:C1500"/>
    <mergeCell ref="A1494:A1495"/>
    <mergeCell ref="B1494:B1495"/>
    <mergeCell ref="C1494:C1495"/>
    <mergeCell ref="A1496:A1498"/>
    <mergeCell ref="B1496:B1498"/>
    <mergeCell ref="C1496:C1498"/>
    <mergeCell ref="A1499:A1500"/>
    <mergeCell ref="B1506:B1507"/>
    <mergeCell ref="C1506:C1507"/>
    <mergeCell ref="A1501:A1502"/>
    <mergeCell ref="B1501:B1502"/>
    <mergeCell ref="C1501:C1502"/>
    <mergeCell ref="A1503:A1504"/>
    <mergeCell ref="B1503:B1504"/>
    <mergeCell ref="C1503:C1504"/>
    <mergeCell ref="A1506:A1507"/>
    <mergeCell ref="B1513:B1514"/>
    <mergeCell ref="C1513:C1514"/>
    <mergeCell ref="A1508:A1509"/>
    <mergeCell ref="B1508:B1509"/>
    <mergeCell ref="C1508:C1509"/>
    <mergeCell ref="A1510:A1511"/>
    <mergeCell ref="B1510:B1511"/>
    <mergeCell ref="C1510:C1511"/>
    <mergeCell ref="A1513:A1514"/>
    <mergeCell ref="B1522:B1523"/>
    <mergeCell ref="C1522:C1523"/>
    <mergeCell ref="A1515:A1516"/>
    <mergeCell ref="B1515:B1516"/>
    <mergeCell ref="C1515:C1516"/>
    <mergeCell ref="A1520:A1521"/>
    <mergeCell ref="B1520:B1521"/>
    <mergeCell ref="C1520:C1521"/>
    <mergeCell ref="A1522:A1523"/>
    <mergeCell ref="A1524:A1525"/>
    <mergeCell ref="B1524:B1525"/>
    <mergeCell ref="C1524:C1525"/>
    <mergeCell ref="A1526:A1527"/>
    <mergeCell ref="B1526:B1527"/>
    <mergeCell ref="C1526:C1527"/>
    <mergeCell ref="A1529:A1530"/>
    <mergeCell ref="B1529:B1530"/>
    <mergeCell ref="C1529:C1530"/>
    <mergeCell ref="D1541:I1541"/>
    <mergeCell ref="D1542:I1542"/>
    <mergeCell ref="D1543:I1543"/>
    <mergeCell ref="D1544:I1544"/>
    <mergeCell ref="D1545:I1545"/>
    <mergeCell ref="D1546:I1546"/>
    <mergeCell ref="D1547:I1547"/>
    <mergeCell ref="D1548:I1548"/>
    <mergeCell ref="D1549:I1549"/>
    <mergeCell ref="D1550:I1550"/>
    <mergeCell ref="D1551:I1551"/>
    <mergeCell ref="D1552:I1552"/>
    <mergeCell ref="D1560:I1560"/>
    <mergeCell ref="D1561:I1561"/>
    <mergeCell ref="D1562:I1562"/>
    <mergeCell ref="D1563:I1563"/>
    <mergeCell ref="D1564:I1564"/>
    <mergeCell ref="D1565:I1565"/>
    <mergeCell ref="D1566:I1566"/>
    <mergeCell ref="D1567:I1567"/>
    <mergeCell ref="D1553:I1553"/>
    <mergeCell ref="D1554:I1554"/>
    <mergeCell ref="D1555:I1555"/>
    <mergeCell ref="D1556:I1556"/>
    <mergeCell ref="D1557:I1557"/>
    <mergeCell ref="D1558:I1558"/>
    <mergeCell ref="D1559:I1559"/>
    <mergeCell ref="B16:B22"/>
    <mergeCell ref="C16:C22"/>
    <mergeCell ref="A2:A6"/>
    <mergeCell ref="B2:B6"/>
    <mergeCell ref="C2:C6"/>
    <mergeCell ref="A7:A15"/>
    <mergeCell ref="B7:B15"/>
    <mergeCell ref="C7:C15"/>
    <mergeCell ref="A16:A22"/>
    <mergeCell ref="B39:B45"/>
    <mergeCell ref="C39:C45"/>
    <mergeCell ref="A23:A31"/>
    <mergeCell ref="B23:B31"/>
    <mergeCell ref="C23:C31"/>
    <mergeCell ref="A32:A38"/>
    <mergeCell ref="B32:B38"/>
    <mergeCell ref="C32:C38"/>
    <mergeCell ref="A39:A45"/>
    <mergeCell ref="B59:B63"/>
    <mergeCell ref="C59:C63"/>
    <mergeCell ref="B75:B81"/>
    <mergeCell ref="C75:C81"/>
    <mergeCell ref="D75:D76"/>
    <mergeCell ref="E75:E76"/>
    <mergeCell ref="F75:F76"/>
    <mergeCell ref="G75:G76"/>
    <mergeCell ref="H75:H76"/>
    <mergeCell ref="I75:I76"/>
    <mergeCell ref="A82:A88"/>
    <mergeCell ref="B82:B88"/>
    <mergeCell ref="C82:C88"/>
    <mergeCell ref="A108:G108"/>
    <mergeCell ref="B141:B146"/>
    <mergeCell ref="C141:C146"/>
    <mergeCell ref="A129:A134"/>
    <mergeCell ref="B129:B134"/>
    <mergeCell ref="C129:C134"/>
    <mergeCell ref="A135:A140"/>
    <mergeCell ref="B135:B140"/>
    <mergeCell ref="C135:C140"/>
    <mergeCell ref="A141:A146"/>
    <mergeCell ref="B159:B164"/>
    <mergeCell ref="C159:C164"/>
    <mergeCell ref="A147:A152"/>
    <mergeCell ref="B147:B152"/>
    <mergeCell ref="C147:C152"/>
    <mergeCell ref="A153:A158"/>
    <mergeCell ref="B153:B158"/>
    <mergeCell ref="C153:C158"/>
    <mergeCell ref="A159:A164"/>
    <mergeCell ref="B176:B180"/>
    <mergeCell ref="C176:C180"/>
    <mergeCell ref="A165:A169"/>
    <mergeCell ref="B165:B169"/>
    <mergeCell ref="C165:C169"/>
    <mergeCell ref="A170:A175"/>
    <mergeCell ref="B170:B175"/>
    <mergeCell ref="C170:C175"/>
    <mergeCell ref="A176:A180"/>
    <mergeCell ref="B190:B196"/>
    <mergeCell ref="C190:C196"/>
    <mergeCell ref="A181:A184"/>
    <mergeCell ref="B181:B184"/>
    <mergeCell ref="C181:C184"/>
    <mergeCell ref="A185:A189"/>
    <mergeCell ref="B185:B189"/>
    <mergeCell ref="C185:C189"/>
    <mergeCell ref="A190:A196"/>
    <mergeCell ref="B208:B212"/>
    <mergeCell ref="C208:C212"/>
    <mergeCell ref="A197:A201"/>
    <mergeCell ref="B197:B201"/>
    <mergeCell ref="C197:C201"/>
    <mergeCell ref="A202:A207"/>
    <mergeCell ref="B202:B207"/>
    <mergeCell ref="C202:C207"/>
    <mergeCell ref="A208:A212"/>
    <mergeCell ref="B242:B246"/>
    <mergeCell ref="C242:C246"/>
    <mergeCell ref="A231:A235"/>
    <mergeCell ref="B231:B235"/>
    <mergeCell ref="C231:C235"/>
    <mergeCell ref="A236:A241"/>
    <mergeCell ref="B236:B241"/>
    <mergeCell ref="C236:C241"/>
    <mergeCell ref="A242:A246"/>
    <mergeCell ref="B225:B230"/>
    <mergeCell ref="C225:C230"/>
    <mergeCell ref="A213:A219"/>
    <mergeCell ref="B213:B219"/>
    <mergeCell ref="C213:C219"/>
    <mergeCell ref="A220:A224"/>
    <mergeCell ref="B220:B224"/>
    <mergeCell ref="C220:C224"/>
    <mergeCell ref="A225:A230"/>
    <mergeCell ref="B257:B260"/>
    <mergeCell ref="C257:C260"/>
    <mergeCell ref="A247:A250"/>
    <mergeCell ref="B247:B250"/>
    <mergeCell ref="C247:C250"/>
    <mergeCell ref="A251:A256"/>
    <mergeCell ref="B251:B256"/>
    <mergeCell ref="C251:C256"/>
    <mergeCell ref="A257:A260"/>
    <mergeCell ref="B273:B276"/>
    <mergeCell ref="C273:C276"/>
    <mergeCell ref="A261:A266"/>
    <mergeCell ref="B261:B266"/>
    <mergeCell ref="C261:C266"/>
    <mergeCell ref="A267:A272"/>
    <mergeCell ref="B267:B272"/>
    <mergeCell ref="C267:C272"/>
    <mergeCell ref="A273:A276"/>
    <mergeCell ref="B289:B294"/>
    <mergeCell ref="C289:C294"/>
    <mergeCell ref="A277:A281"/>
    <mergeCell ref="B277:B281"/>
    <mergeCell ref="C277:C281"/>
    <mergeCell ref="A282:A288"/>
    <mergeCell ref="B282:B288"/>
    <mergeCell ref="C282:C288"/>
    <mergeCell ref="A289:A294"/>
    <mergeCell ref="B305:B309"/>
    <mergeCell ref="C305:C309"/>
    <mergeCell ref="A295:A300"/>
    <mergeCell ref="B295:B300"/>
    <mergeCell ref="C295:C300"/>
    <mergeCell ref="A301:A304"/>
    <mergeCell ref="B301:B304"/>
    <mergeCell ref="C301:C304"/>
    <mergeCell ref="A305:A309"/>
    <mergeCell ref="B339:B343"/>
    <mergeCell ref="C339:C343"/>
    <mergeCell ref="D346:D347"/>
    <mergeCell ref="E346:E347"/>
    <mergeCell ref="F346:F347"/>
    <mergeCell ref="G346:G347"/>
    <mergeCell ref="H346:H347"/>
    <mergeCell ref="I346:I347"/>
    <mergeCell ref="A329:A333"/>
    <mergeCell ref="B329:B333"/>
    <mergeCell ref="C329:C333"/>
    <mergeCell ref="A334:A338"/>
    <mergeCell ref="B334:B338"/>
    <mergeCell ref="C334:C338"/>
    <mergeCell ref="A339:A343"/>
    <mergeCell ref="B354:B359"/>
    <mergeCell ref="C354:C359"/>
    <mergeCell ref="A344:A349"/>
    <mergeCell ref="B344:B349"/>
    <mergeCell ref="C344:C349"/>
    <mergeCell ref="A350:A353"/>
    <mergeCell ref="B350:B353"/>
    <mergeCell ref="C350:C353"/>
    <mergeCell ref="A354:A359"/>
    <mergeCell ref="B323:B328"/>
    <mergeCell ref="C323:C328"/>
    <mergeCell ref="A310:A316"/>
    <mergeCell ref="B310:B316"/>
    <mergeCell ref="C310:C316"/>
    <mergeCell ref="A317:A322"/>
    <mergeCell ref="B317:B322"/>
    <mergeCell ref="C317:C322"/>
    <mergeCell ref="A323:A328"/>
    <mergeCell ref="B370:B374"/>
    <mergeCell ref="C370:C374"/>
    <mergeCell ref="A360:A364"/>
    <mergeCell ref="B360:B364"/>
    <mergeCell ref="C360:C364"/>
    <mergeCell ref="A365:A369"/>
    <mergeCell ref="B365:B369"/>
    <mergeCell ref="C365:C369"/>
    <mergeCell ref="A370:A374"/>
    <mergeCell ref="B386:B392"/>
    <mergeCell ref="C386:C392"/>
    <mergeCell ref="A375:A379"/>
    <mergeCell ref="B375:B379"/>
    <mergeCell ref="C375:C379"/>
    <mergeCell ref="A380:A385"/>
    <mergeCell ref="B380:B385"/>
    <mergeCell ref="C380:C385"/>
    <mergeCell ref="A386:A392"/>
    <mergeCell ref="B406:B411"/>
    <mergeCell ref="C406:C411"/>
    <mergeCell ref="A393:A399"/>
    <mergeCell ref="B393:B399"/>
    <mergeCell ref="C393:C399"/>
    <mergeCell ref="A400:A405"/>
    <mergeCell ref="B400:B405"/>
    <mergeCell ref="C400:C405"/>
    <mergeCell ref="A406:A411"/>
    <mergeCell ref="B443:B447"/>
    <mergeCell ref="C443:C447"/>
    <mergeCell ref="A431:A436"/>
    <mergeCell ref="B431:B436"/>
    <mergeCell ref="C431:C436"/>
    <mergeCell ref="A437:A442"/>
    <mergeCell ref="B437:B442"/>
    <mergeCell ref="C437:C442"/>
    <mergeCell ref="A443:A447"/>
    <mergeCell ref="B458:B461"/>
    <mergeCell ref="C458:C461"/>
    <mergeCell ref="D469:D470"/>
    <mergeCell ref="E469:E470"/>
    <mergeCell ref="F469:F470"/>
    <mergeCell ref="G469:G470"/>
    <mergeCell ref="H469:H470"/>
    <mergeCell ref="I469:I470"/>
    <mergeCell ref="A448:A452"/>
    <mergeCell ref="B448:B452"/>
    <mergeCell ref="C448:C452"/>
    <mergeCell ref="A453:A457"/>
    <mergeCell ref="B453:B457"/>
    <mergeCell ref="C453:C457"/>
    <mergeCell ref="A458:A461"/>
    <mergeCell ref="A462:A467"/>
    <mergeCell ref="B462:B467"/>
    <mergeCell ref="C462:C467"/>
    <mergeCell ref="A468:A472"/>
    <mergeCell ref="B468:B472"/>
    <mergeCell ref="C468:C472"/>
    <mergeCell ref="A473:A476"/>
    <mergeCell ref="B473:B476"/>
    <mergeCell ref="C473:C476"/>
    <mergeCell ref="A542:G542"/>
    <mergeCell ref="F600:G602"/>
    <mergeCell ref="F603:G604"/>
    <mergeCell ref="D628:D629"/>
    <mergeCell ref="E628:E629"/>
    <mergeCell ref="G663:G664"/>
    <mergeCell ref="H663:H664"/>
    <mergeCell ref="F628:F629"/>
    <mergeCell ref="G628:G629"/>
    <mergeCell ref="H628:H629"/>
    <mergeCell ref="I628:I629"/>
    <mergeCell ref="D663:D664"/>
    <mergeCell ref="E663:E664"/>
    <mergeCell ref="F663:F664"/>
    <mergeCell ref="I663:I664"/>
    <mergeCell ref="B486:B489"/>
    <mergeCell ref="C486:C489"/>
    <mergeCell ref="A477:A481"/>
    <mergeCell ref="B477:B481"/>
    <mergeCell ref="C477:C481"/>
    <mergeCell ref="A482:A485"/>
    <mergeCell ref="B482:B485"/>
    <mergeCell ref="C482:C485"/>
    <mergeCell ref="A486:A489"/>
    <mergeCell ref="B502:B505"/>
    <mergeCell ref="C502:C505"/>
    <mergeCell ref="A490:A496"/>
    <mergeCell ref="B490:B496"/>
    <mergeCell ref="C490:C496"/>
    <mergeCell ref="A497:A501"/>
    <mergeCell ref="B497:B501"/>
    <mergeCell ref="C497:C501"/>
    <mergeCell ref="A502:A505"/>
    <mergeCell ref="B514:B518"/>
    <mergeCell ref="C514:C518"/>
    <mergeCell ref="A506:A509"/>
    <mergeCell ref="B506:B509"/>
    <mergeCell ref="C506:C509"/>
    <mergeCell ref="A510:A513"/>
    <mergeCell ref="B510:B513"/>
    <mergeCell ref="C510:C513"/>
    <mergeCell ref="A514:A518"/>
    <mergeCell ref="B528:B532"/>
    <mergeCell ref="C528:C532"/>
    <mergeCell ref="A519:A522"/>
    <mergeCell ref="B519:B522"/>
    <mergeCell ref="C519:C522"/>
    <mergeCell ref="A523:A527"/>
    <mergeCell ref="B523:B527"/>
    <mergeCell ref="C523:C527"/>
    <mergeCell ref="A528:A532"/>
    <mergeCell ref="B543:B546"/>
    <mergeCell ref="C543:C546"/>
    <mergeCell ref="A533:A536"/>
    <mergeCell ref="B533:B536"/>
    <mergeCell ref="C533:C536"/>
    <mergeCell ref="A537:A541"/>
    <mergeCell ref="B537:B541"/>
    <mergeCell ref="C537:C541"/>
    <mergeCell ref="A543:A546"/>
    <mergeCell ref="B555:B560"/>
    <mergeCell ref="C555:C560"/>
    <mergeCell ref="A547:A550"/>
    <mergeCell ref="B547:B550"/>
    <mergeCell ref="C547:C550"/>
    <mergeCell ref="A551:A554"/>
    <mergeCell ref="B551:B554"/>
    <mergeCell ref="C551:C554"/>
    <mergeCell ref="A555:A560"/>
    <mergeCell ref="B569:B573"/>
    <mergeCell ref="C569:C573"/>
    <mergeCell ref="A561:A564"/>
    <mergeCell ref="B561:B564"/>
    <mergeCell ref="C561:C564"/>
    <mergeCell ref="A565:A568"/>
    <mergeCell ref="B565:B568"/>
    <mergeCell ref="C565:C568"/>
    <mergeCell ref="A569:A573"/>
    <mergeCell ref="B583:B586"/>
    <mergeCell ref="C583:C586"/>
    <mergeCell ref="A574:A577"/>
    <mergeCell ref="B574:B577"/>
    <mergeCell ref="C574:C577"/>
    <mergeCell ref="A578:A582"/>
    <mergeCell ref="B578:B582"/>
    <mergeCell ref="C578:C582"/>
    <mergeCell ref="A583:A586"/>
    <mergeCell ref="B596:B599"/>
    <mergeCell ref="C596:C599"/>
    <mergeCell ref="A587:A591"/>
    <mergeCell ref="B587:B591"/>
    <mergeCell ref="C587:C591"/>
    <mergeCell ref="A592:A595"/>
    <mergeCell ref="B592:B595"/>
    <mergeCell ref="C592:C595"/>
    <mergeCell ref="A596:A599"/>
    <mergeCell ref="B610:B614"/>
    <mergeCell ref="C610:C614"/>
    <mergeCell ref="A600:A604"/>
    <mergeCell ref="B600:B604"/>
    <mergeCell ref="C600:C604"/>
    <mergeCell ref="A605:A609"/>
    <mergeCell ref="B605:B609"/>
    <mergeCell ref="C605:C609"/>
    <mergeCell ref="A610:A614"/>
    <mergeCell ref="B623:B629"/>
    <mergeCell ref="C623:C629"/>
    <mergeCell ref="A615:A618"/>
    <mergeCell ref="B615:B618"/>
    <mergeCell ref="C615:C618"/>
    <mergeCell ref="A619:A622"/>
    <mergeCell ref="B619:B622"/>
    <mergeCell ref="C619:C622"/>
    <mergeCell ref="A623:A629"/>
    <mergeCell ref="B640:B645"/>
    <mergeCell ref="C640:C645"/>
    <mergeCell ref="A630:A635"/>
    <mergeCell ref="B630:B635"/>
    <mergeCell ref="C630:C635"/>
    <mergeCell ref="A636:A639"/>
    <mergeCell ref="B636:B639"/>
    <mergeCell ref="C636:C639"/>
    <mergeCell ref="A640:A645"/>
    <mergeCell ref="B654:B659"/>
    <mergeCell ref="C654:C659"/>
    <mergeCell ref="A646:A649"/>
    <mergeCell ref="B646:B649"/>
    <mergeCell ref="C646:C649"/>
    <mergeCell ref="A650:A653"/>
    <mergeCell ref="B650:B653"/>
    <mergeCell ref="C650:C653"/>
    <mergeCell ref="A654:A659"/>
    <mergeCell ref="B673:B677"/>
    <mergeCell ref="C673:C677"/>
    <mergeCell ref="D764:D765"/>
    <mergeCell ref="E764:E765"/>
    <mergeCell ref="F764:F765"/>
    <mergeCell ref="G764:G765"/>
    <mergeCell ref="H764:H765"/>
    <mergeCell ref="I764:I765"/>
    <mergeCell ref="A660:A666"/>
    <mergeCell ref="B660:B666"/>
    <mergeCell ref="C660:C666"/>
    <mergeCell ref="A667:A672"/>
    <mergeCell ref="B667:B672"/>
    <mergeCell ref="C667:C672"/>
    <mergeCell ref="A673:A677"/>
    <mergeCell ref="B690:B695"/>
    <mergeCell ref="C690:C695"/>
    <mergeCell ref="A678:A683"/>
    <mergeCell ref="B678:B683"/>
    <mergeCell ref="C678:C683"/>
    <mergeCell ref="A684:A689"/>
    <mergeCell ref="B684:B689"/>
    <mergeCell ref="C684:C689"/>
    <mergeCell ref="A690:A695"/>
    <mergeCell ref="B705:B709"/>
    <mergeCell ref="C705:C709"/>
    <mergeCell ref="A696:A700"/>
    <mergeCell ref="B696:B700"/>
    <mergeCell ref="C696:C700"/>
    <mergeCell ref="A701:A704"/>
    <mergeCell ref="B701:B704"/>
    <mergeCell ref="C701:C704"/>
    <mergeCell ref="A705:A709"/>
    <mergeCell ref="B720:B724"/>
    <mergeCell ref="C720:C724"/>
    <mergeCell ref="A710:A713"/>
    <mergeCell ref="B710:B713"/>
    <mergeCell ref="C710:C713"/>
    <mergeCell ref="A714:A719"/>
    <mergeCell ref="B714:B719"/>
    <mergeCell ref="C714:C719"/>
    <mergeCell ref="A720:A724"/>
    <mergeCell ref="B734:B737"/>
    <mergeCell ref="C734:C737"/>
    <mergeCell ref="A725:A729"/>
    <mergeCell ref="B725:B729"/>
    <mergeCell ref="C725:C729"/>
    <mergeCell ref="A730:A733"/>
    <mergeCell ref="B730:B733"/>
    <mergeCell ref="C730:C733"/>
    <mergeCell ref="A734:A737"/>
    <mergeCell ref="B746:B748"/>
    <mergeCell ref="C746:C748"/>
    <mergeCell ref="A738:A741"/>
    <mergeCell ref="B738:B741"/>
    <mergeCell ref="C738:C741"/>
    <mergeCell ref="A742:A745"/>
    <mergeCell ref="B742:B745"/>
    <mergeCell ref="C742:C745"/>
    <mergeCell ref="A746:A748"/>
    <mergeCell ref="B757:B760"/>
    <mergeCell ref="C757:C760"/>
    <mergeCell ref="A749:A752"/>
    <mergeCell ref="B749:B752"/>
    <mergeCell ref="C749:C752"/>
    <mergeCell ref="A753:A756"/>
    <mergeCell ref="B753:B756"/>
    <mergeCell ref="C753:C756"/>
    <mergeCell ref="A757:A760"/>
    <mergeCell ref="A761:A766"/>
    <mergeCell ref="B761:B766"/>
    <mergeCell ref="C761:C766"/>
    <mergeCell ref="A767:A770"/>
    <mergeCell ref="B767:B770"/>
    <mergeCell ref="C767:C770"/>
    <mergeCell ref="A771:A773"/>
    <mergeCell ref="G855:G856"/>
    <mergeCell ref="A1070:G1070"/>
    <mergeCell ref="B771:B773"/>
    <mergeCell ref="C771:C773"/>
    <mergeCell ref="D855:D856"/>
    <mergeCell ref="E855:E856"/>
    <mergeCell ref="F855:F856"/>
    <mergeCell ref="H855:H856"/>
    <mergeCell ref="I855:I856"/>
    <mergeCell ref="B424:B430"/>
    <mergeCell ref="C424:C430"/>
    <mergeCell ref="A412:A417"/>
    <mergeCell ref="B412:B417"/>
    <mergeCell ref="C412:C417"/>
    <mergeCell ref="A418:A423"/>
    <mergeCell ref="B418:B423"/>
    <mergeCell ref="C418:C423"/>
    <mergeCell ref="A424:A430"/>
    <mergeCell ref="A46:A51"/>
    <mergeCell ref="B46:B51"/>
    <mergeCell ref="C46:C51"/>
    <mergeCell ref="A52:A58"/>
    <mergeCell ref="B52:B58"/>
    <mergeCell ref="C52:C58"/>
    <mergeCell ref="A59:A63"/>
    <mergeCell ref="A64:A69"/>
    <mergeCell ref="B64:B69"/>
    <mergeCell ref="C64:C69"/>
    <mergeCell ref="A70:A74"/>
    <mergeCell ref="B70:B74"/>
    <mergeCell ref="C70:C74"/>
    <mergeCell ref="A75:A81"/>
    <mergeCell ref="B101:B107"/>
    <mergeCell ref="C101:C107"/>
    <mergeCell ref="A89:A93"/>
    <mergeCell ref="B89:B93"/>
    <mergeCell ref="C89:C93"/>
    <mergeCell ref="A94:A100"/>
    <mergeCell ref="B94:B100"/>
    <mergeCell ref="C94:C100"/>
    <mergeCell ref="A101:A107"/>
    <mergeCell ref="B122:B128"/>
    <mergeCell ref="C122:C128"/>
    <mergeCell ref="A109:A113"/>
    <mergeCell ref="B109:B113"/>
    <mergeCell ref="C109:C113"/>
    <mergeCell ref="A114:A121"/>
    <mergeCell ref="B114:B121"/>
    <mergeCell ref="C114:C121"/>
    <mergeCell ref="A122:A128"/>
    <mergeCell ref="A955:A961"/>
    <mergeCell ref="A962:A964"/>
    <mergeCell ref="B962:B964"/>
    <mergeCell ref="C962:C964"/>
    <mergeCell ref="A965:A970"/>
    <mergeCell ref="B965:B970"/>
    <mergeCell ref="C965:C970"/>
    <mergeCell ref="B1013:B1016"/>
    <mergeCell ref="C1013:C1016"/>
    <mergeCell ref="A1005:A1010"/>
    <mergeCell ref="B1005:B1010"/>
    <mergeCell ref="C1005:C1010"/>
    <mergeCell ref="A1011:A1012"/>
    <mergeCell ref="B1011:B1012"/>
    <mergeCell ref="C1011:C1012"/>
    <mergeCell ref="A1013:A1016"/>
    <mergeCell ref="B1037:B1041"/>
    <mergeCell ref="C1037:C1041"/>
    <mergeCell ref="A1030:A1032"/>
    <mergeCell ref="B1030:B1032"/>
    <mergeCell ref="C1030:C1032"/>
    <mergeCell ref="A1033:A1036"/>
    <mergeCell ref="B1033:B1036"/>
    <mergeCell ref="C1033:C1036"/>
    <mergeCell ref="A1037:A1041"/>
    <mergeCell ref="B1048:B1050"/>
    <mergeCell ref="C1048:C1050"/>
    <mergeCell ref="A1042:A1044"/>
    <mergeCell ref="B1042:B1044"/>
    <mergeCell ref="C1042:C1044"/>
    <mergeCell ref="A1045:A1047"/>
    <mergeCell ref="B1045:B1047"/>
    <mergeCell ref="C1045:C1047"/>
    <mergeCell ref="A1048:A1050"/>
    <mergeCell ref="B1058:B1060"/>
    <mergeCell ref="C1058:C1060"/>
    <mergeCell ref="A1051:A1054"/>
    <mergeCell ref="B1051:B1054"/>
    <mergeCell ref="C1051:C1054"/>
    <mergeCell ref="A1055:A1057"/>
    <mergeCell ref="B1055:B1057"/>
    <mergeCell ref="C1055:C1057"/>
    <mergeCell ref="A1058:A1060"/>
    <mergeCell ref="B1066:B1069"/>
    <mergeCell ref="C1066:C1069"/>
    <mergeCell ref="A1061:A1063"/>
    <mergeCell ref="B1061:B1063"/>
    <mergeCell ref="C1061:C1063"/>
    <mergeCell ref="A1064:A1065"/>
    <mergeCell ref="B1064:B1065"/>
    <mergeCell ref="C1064:C1065"/>
    <mergeCell ref="A1066:A1069"/>
  </mergeCells>
  <conditionalFormatting sqref="D1:G19 H1:H967 I1:I2060 D21:G107 D109:G541 D543:G967 D969:G1023 H969:H2060 D1025:G1069 D1071:G2060">
    <cfRule type="expression" dxfId="0" priority="1">
      <formula>$I1="Arms &amp; Arm Attachments"</formula>
    </cfRule>
  </conditionalFormatting>
  <conditionalFormatting sqref="D1:G19 H1:H967 I1:I2060 D21:G107 D109:G541 D543:G967 D969:G1023 H969:H2060 D1025:G1069 D1071:G2060">
    <cfRule type="expression" dxfId="1" priority="2">
      <formula>$I1="Auditory System"</formula>
    </cfRule>
  </conditionalFormatting>
  <conditionalFormatting sqref="D1:G19 H1:H967 I1:I2060 D21:G107 D109:G541 D543:G967 D969:G1023 H969:H2060 D1025:G1069 D1071:G2060">
    <cfRule type="expression" dxfId="2" priority="3">
      <formula>$I1="Circulatory &amp; Immune Systems"</formula>
    </cfRule>
  </conditionalFormatting>
  <conditionalFormatting sqref="D1:G19 H1:H967 I1:I2060 D21:G107 D109:G541 D543:G967 D969:G1023 H969:H2060 D1025:G1069 D1071:G2060">
    <cfRule type="expression" dxfId="3" priority="4">
      <formula>$I1="Hands &amp; Feet"</formula>
    </cfRule>
  </conditionalFormatting>
  <conditionalFormatting sqref="D1:G19 H1:H967 I1:I2060 D21:G107 D109:G541 D543:G967 D969:G1023 H969:H2060 D1025:G1069 D1071:G2060">
    <cfRule type="expression" dxfId="4" priority="5">
      <formula>$I1="Integumentary System"</formula>
    </cfRule>
  </conditionalFormatting>
  <conditionalFormatting sqref="D1:G19 H1:H967 I1:I2060 D21:G107 D109:G541 D543:G967 D969:G1023 H969:H2060 D1025:G1069 D1071:G2060">
    <cfRule type="expression" dxfId="5" priority="6">
      <formula>$I1="Legs &amp; Mobility"</formula>
    </cfRule>
  </conditionalFormatting>
  <conditionalFormatting sqref="D1:G19 H1:H967 I1:I2060 D21:G107 D109:G541 D543:G967 D969:G1023 H969:H2060 D1025:G1069 D1071:G2060">
    <cfRule type="expression" dxfId="6" priority="7">
      <formula>$I1="Neural"</formula>
    </cfRule>
  </conditionalFormatting>
  <conditionalFormatting sqref="D1:G19 H1:H967 I1:I2060 D21:G107 D109:G541 D543:G967 D969:G1023 H969:H2060 D1025:G1069 D1071:G2060">
    <cfRule type="expression" dxfId="7" priority="8">
      <formula>$I1="Universal Muscular (Arms/Legs/Tail)"</formula>
    </cfRule>
  </conditionalFormatting>
  <conditionalFormatting sqref="D1:G19 H1:H967 I1:I2060 D21:G107 D109:G541 D543:G967 D969:G1023 H969:H2060 D1025:G1069 D1071:G2060">
    <cfRule type="expression" dxfId="8" priority="9">
      <formula>$I1="Ocular System"</formula>
    </cfRule>
  </conditionalFormatting>
  <conditionalFormatting sqref="D1:G19 H1:H967 I1:I2060 D21:G107 D109:G541 D543:G967 D969:G1023 H969:H2060 D1025:G1069 D1071:G2060">
    <cfRule type="expression" dxfId="9" priority="10">
      <formula>$I1="Miscellaneous"</formula>
    </cfRule>
  </conditionalFormatting>
  <conditionalFormatting sqref="D1:G19 H1:H967 I1:I2060 D21:G107 D109:G541 D543:G967 D969:G1023 H969:H2060 D1025:G1069 D1071:G2060">
    <cfRule type="expression" dxfId="10" priority="11">
      <formula>$I1="Skeleton &amp; Torso Musculature"</formula>
    </cfRule>
  </conditionalFormatting>
  <conditionalFormatting sqref="C1:C2060">
    <cfRule type="colorScale" priority="12">
      <colorScale>
        <cfvo type="formula" val="6"/>
        <cfvo type="formula" val="10"/>
        <cfvo type="formula" val="15"/>
        <color rgb="FF93C47D"/>
        <color rgb="FFFFFF00"/>
        <color rgb="FFCC0000"/>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38.38"/>
    <col customWidth="1" min="3" max="3" width="10.13"/>
    <col customWidth="1" min="4" max="4" width="42.13"/>
    <col customWidth="1" min="5" max="5" width="8.5"/>
    <col customWidth="1" min="6" max="6" width="19.88"/>
    <col customWidth="1" min="7" max="7" width="23.5"/>
    <col customWidth="1" min="8" max="8" width="154.63"/>
    <col customWidth="1" min="9" max="9" width="30.38"/>
  </cols>
  <sheetData>
    <row r="1">
      <c r="A1" s="717" t="s">
        <v>210</v>
      </c>
      <c r="B1" s="717" t="s">
        <v>211</v>
      </c>
      <c r="C1" s="717" t="s">
        <v>212</v>
      </c>
      <c r="D1" s="718" t="s">
        <v>213</v>
      </c>
      <c r="E1" s="718" t="s">
        <v>1</v>
      </c>
      <c r="F1" s="717" t="s">
        <v>214</v>
      </c>
      <c r="G1" s="717" t="s">
        <v>215</v>
      </c>
      <c r="H1" s="719" t="s">
        <v>216</v>
      </c>
      <c r="I1" s="720" t="s">
        <v>1072</v>
      </c>
      <c r="J1" s="717" t="s">
        <v>5</v>
      </c>
      <c r="K1" s="721"/>
      <c r="L1" s="721"/>
      <c r="M1" s="722"/>
      <c r="N1" s="722"/>
      <c r="O1" s="722"/>
      <c r="P1" s="722"/>
      <c r="Q1" s="722"/>
      <c r="R1" s="722"/>
      <c r="S1" s="722"/>
      <c r="T1" s="722"/>
      <c r="U1" s="722"/>
      <c r="V1" s="722"/>
      <c r="W1" s="722"/>
      <c r="X1" s="722"/>
      <c r="Y1" s="722"/>
      <c r="Z1" s="722"/>
      <c r="AA1" s="722"/>
      <c r="AB1" s="722"/>
      <c r="AC1" s="722"/>
    </row>
    <row r="2">
      <c r="A2" s="349" t="s">
        <v>1073</v>
      </c>
      <c r="B2" s="658" t="s">
        <v>1074</v>
      </c>
      <c r="C2" s="723">
        <f>sum(E2:E11)</f>
        <v>22</v>
      </c>
      <c r="D2" s="724" t="s">
        <v>254</v>
      </c>
      <c r="E2" s="725">
        <v>2.0</v>
      </c>
      <c r="F2" s="726"/>
      <c r="G2" s="727"/>
      <c r="H2" s="728" t="s">
        <v>255</v>
      </c>
      <c r="I2" s="729" t="s">
        <v>7</v>
      </c>
      <c r="K2" s="730"/>
      <c r="L2" s="730"/>
    </row>
    <row r="3">
      <c r="A3" s="222"/>
      <c r="D3" s="712" t="s">
        <v>306</v>
      </c>
      <c r="E3" s="712">
        <v>3.0</v>
      </c>
      <c r="F3" s="731"/>
      <c r="G3" s="732"/>
      <c r="H3" s="733" t="s">
        <v>31</v>
      </c>
      <c r="I3" s="734" t="s">
        <v>30</v>
      </c>
      <c r="K3" s="730"/>
      <c r="L3" s="730"/>
    </row>
    <row r="4">
      <c r="A4" s="222"/>
      <c r="D4" s="735" t="s">
        <v>58</v>
      </c>
      <c r="E4" s="735">
        <v>1.0</v>
      </c>
      <c r="F4" s="214"/>
      <c r="G4" s="214"/>
      <c r="H4" s="736" t="s">
        <v>59</v>
      </c>
      <c r="I4" s="737" t="s">
        <v>43</v>
      </c>
      <c r="K4" s="730"/>
      <c r="L4" s="730"/>
    </row>
    <row r="5">
      <c r="A5" s="222"/>
      <c r="D5" s="617" t="s">
        <v>1075</v>
      </c>
      <c r="E5" s="712">
        <v>3.0</v>
      </c>
      <c r="F5" s="738"/>
      <c r="G5" s="739"/>
      <c r="H5" s="733" t="s">
        <v>1076</v>
      </c>
      <c r="I5" s="737" t="s">
        <v>65</v>
      </c>
      <c r="K5" s="730"/>
      <c r="L5" s="730"/>
    </row>
    <row r="6">
      <c r="A6" s="222"/>
      <c r="D6" s="740" t="s">
        <v>101</v>
      </c>
      <c r="E6" s="741">
        <v>2.0</v>
      </c>
      <c r="F6" s="742"/>
      <c r="G6" s="743"/>
      <c r="H6" s="743" t="s">
        <v>102</v>
      </c>
      <c r="I6" s="744" t="s">
        <v>98</v>
      </c>
      <c r="K6" s="730"/>
      <c r="L6" s="730"/>
    </row>
    <row r="7">
      <c r="A7" s="222"/>
      <c r="D7" s="712" t="s">
        <v>153</v>
      </c>
      <c r="E7" s="712">
        <v>2.0</v>
      </c>
      <c r="F7" s="745"/>
      <c r="G7" s="732"/>
      <c r="H7" s="733" t="s">
        <v>154</v>
      </c>
      <c r="I7" s="746" t="s">
        <v>144</v>
      </c>
      <c r="K7" s="730"/>
      <c r="L7" s="730"/>
    </row>
    <row r="8">
      <c r="A8" s="222"/>
      <c r="D8" s="747" t="s">
        <v>162</v>
      </c>
      <c r="E8" s="712">
        <v>2.0</v>
      </c>
      <c r="F8" s="745"/>
      <c r="G8" s="732"/>
      <c r="H8" s="733" t="s">
        <v>164</v>
      </c>
      <c r="I8" s="737" t="s">
        <v>163</v>
      </c>
      <c r="K8" s="730"/>
      <c r="L8" s="730"/>
    </row>
    <row r="9">
      <c r="A9" s="222"/>
      <c r="D9" s="748" t="s">
        <v>182</v>
      </c>
      <c r="E9" s="749">
        <v>3.0</v>
      </c>
      <c r="F9" s="151"/>
      <c r="G9" s="152"/>
      <c r="H9" s="750" t="s">
        <v>183</v>
      </c>
      <c r="I9" s="751" t="s">
        <v>176</v>
      </c>
      <c r="K9" s="730"/>
      <c r="L9" s="730"/>
    </row>
    <row r="10">
      <c r="A10" s="222"/>
      <c r="D10" s="712" t="s">
        <v>1077</v>
      </c>
      <c r="E10" s="712">
        <v>3.0</v>
      </c>
      <c r="F10" s="738"/>
      <c r="G10" s="739"/>
      <c r="H10" s="733" t="s">
        <v>1078</v>
      </c>
      <c r="I10" s="737" t="s">
        <v>105</v>
      </c>
      <c r="K10" s="730"/>
      <c r="L10" s="730"/>
    </row>
    <row r="11">
      <c r="A11" s="236"/>
      <c r="B11" s="237"/>
      <c r="C11" s="237"/>
      <c r="D11" s="712" t="s">
        <v>1079</v>
      </c>
      <c r="E11" s="712">
        <v>1.0</v>
      </c>
      <c r="F11" s="738"/>
      <c r="G11" s="739"/>
      <c r="H11" s="733" t="s">
        <v>115</v>
      </c>
      <c r="I11" s="737" t="s">
        <v>105</v>
      </c>
      <c r="K11" s="730"/>
      <c r="L11" s="730"/>
    </row>
    <row r="12">
      <c r="A12" s="636" t="s">
        <v>1080</v>
      </c>
      <c r="B12" s="658" t="s">
        <v>477</v>
      </c>
      <c r="C12" s="723">
        <f>sum(E12:E19)</f>
        <v>20</v>
      </c>
      <c r="D12" s="725" t="s">
        <v>239</v>
      </c>
      <c r="E12" s="725">
        <v>1.0</v>
      </c>
      <c r="F12" s="752"/>
      <c r="G12" s="753"/>
      <c r="H12" s="728" t="s">
        <v>115</v>
      </c>
      <c r="I12" s="729" t="s">
        <v>105</v>
      </c>
      <c r="K12" s="730"/>
      <c r="L12" s="730"/>
    </row>
    <row r="13">
      <c r="A13" s="222"/>
      <c r="D13" s="754" t="s">
        <v>147</v>
      </c>
      <c r="E13" s="754">
        <v>3.0</v>
      </c>
      <c r="F13" s="755"/>
      <c r="G13" s="755"/>
      <c r="H13" s="755" t="s">
        <v>145</v>
      </c>
      <c r="I13" s="756" t="s">
        <v>144</v>
      </c>
      <c r="K13" s="730"/>
      <c r="L13" s="730"/>
    </row>
    <row r="14">
      <c r="A14" s="222"/>
      <c r="D14" s="227" t="s">
        <v>17</v>
      </c>
      <c r="E14" s="227">
        <v>2.0</v>
      </c>
      <c r="F14" s="228"/>
      <c r="G14" s="228"/>
      <c r="H14" s="757" t="s">
        <v>260</v>
      </c>
      <c r="I14" s="230" t="s">
        <v>7</v>
      </c>
      <c r="K14" s="730"/>
      <c r="L14" s="730"/>
    </row>
    <row r="15">
      <c r="A15" s="222"/>
      <c r="D15" s="758" t="s">
        <v>175</v>
      </c>
      <c r="E15" s="758">
        <v>4.0</v>
      </c>
      <c r="F15" s="732"/>
      <c r="G15" s="732"/>
      <c r="H15" s="733" t="s">
        <v>232</v>
      </c>
      <c r="I15" s="737" t="s">
        <v>176</v>
      </c>
      <c r="K15" s="730"/>
      <c r="L15" s="730"/>
    </row>
    <row r="16">
      <c r="A16" s="222"/>
      <c r="D16" s="747" t="s">
        <v>162</v>
      </c>
      <c r="E16" s="712">
        <v>2.0</v>
      </c>
      <c r="F16" s="745"/>
      <c r="G16" s="732"/>
      <c r="H16" s="733" t="s">
        <v>164</v>
      </c>
      <c r="I16" s="737" t="s">
        <v>163</v>
      </c>
      <c r="K16" s="730"/>
      <c r="L16" s="730"/>
    </row>
    <row r="17">
      <c r="A17" s="222"/>
      <c r="D17" s="759" t="s">
        <v>189</v>
      </c>
      <c r="E17" s="760">
        <v>1.0</v>
      </c>
      <c r="F17" s="761"/>
      <c r="G17" s="761"/>
      <c r="H17" s="761" t="s">
        <v>190</v>
      </c>
      <c r="I17" s="762" t="s">
        <v>186</v>
      </c>
      <c r="K17" s="730"/>
      <c r="L17" s="730"/>
    </row>
    <row r="18">
      <c r="A18" s="222"/>
      <c r="D18" s="275" t="s">
        <v>97</v>
      </c>
      <c r="E18" s="275">
        <v>2.0</v>
      </c>
      <c r="F18" s="276"/>
      <c r="G18" s="276"/>
      <c r="H18" s="763" t="s">
        <v>99</v>
      </c>
      <c r="I18" s="278" t="s">
        <v>98</v>
      </c>
      <c r="K18" s="730"/>
      <c r="L18" s="730"/>
    </row>
    <row r="19">
      <c r="A19" s="236"/>
      <c r="B19" s="237"/>
      <c r="C19" s="237"/>
      <c r="D19" s="764" t="s">
        <v>1081</v>
      </c>
      <c r="E19" s="764">
        <v>5.0</v>
      </c>
      <c r="F19" s="765"/>
      <c r="G19" s="766"/>
      <c r="H19" s="767" t="s">
        <v>1082</v>
      </c>
      <c r="I19" s="737" t="s">
        <v>65</v>
      </c>
      <c r="K19" s="730"/>
      <c r="L19" s="730"/>
    </row>
    <row r="20">
      <c r="A20" s="768" t="s">
        <v>1083</v>
      </c>
      <c r="B20" s="769" t="s">
        <v>1084</v>
      </c>
      <c r="C20" s="723">
        <f>sum(E20:E25)</f>
        <v>16</v>
      </c>
      <c r="D20" s="770" t="s">
        <v>76</v>
      </c>
      <c r="E20" s="770">
        <v>4.0</v>
      </c>
      <c r="F20" s="56"/>
      <c r="G20" s="57"/>
      <c r="H20" s="57" t="s">
        <v>1085</v>
      </c>
      <c r="I20" s="771" t="s">
        <v>65</v>
      </c>
      <c r="K20" s="730"/>
      <c r="L20" s="730"/>
    </row>
    <row r="21">
      <c r="A21" s="222"/>
      <c r="D21" s="740" t="s">
        <v>101</v>
      </c>
      <c r="E21" s="741">
        <v>2.0</v>
      </c>
      <c r="F21" s="742"/>
      <c r="G21" s="743"/>
      <c r="H21" s="743" t="s">
        <v>102</v>
      </c>
      <c r="I21" s="744" t="s">
        <v>98</v>
      </c>
      <c r="K21" s="730"/>
      <c r="L21" s="730"/>
    </row>
    <row r="22">
      <c r="A22" s="222"/>
      <c r="D22" s="712" t="s">
        <v>143</v>
      </c>
      <c r="E22" s="712">
        <v>5.0</v>
      </c>
      <c r="F22" s="772"/>
      <c r="G22" s="772"/>
      <c r="H22" s="715" t="s">
        <v>145</v>
      </c>
      <c r="I22" s="773" t="s">
        <v>144</v>
      </c>
      <c r="K22" s="730"/>
      <c r="L22" s="730"/>
    </row>
    <row r="23">
      <c r="A23" s="222"/>
      <c r="D23" s="712" t="s">
        <v>153</v>
      </c>
      <c r="E23" s="712">
        <v>2.0</v>
      </c>
      <c r="F23" s="745"/>
      <c r="G23" s="732"/>
      <c r="H23" s="733" t="s">
        <v>154</v>
      </c>
      <c r="I23" s="746" t="s">
        <v>144</v>
      </c>
      <c r="K23" s="730"/>
      <c r="L23" s="730"/>
    </row>
    <row r="24">
      <c r="A24" s="222"/>
      <c r="D24" s="712" t="s">
        <v>166</v>
      </c>
      <c r="E24" s="712">
        <v>2.0</v>
      </c>
      <c r="F24" s="772"/>
      <c r="G24" s="772"/>
      <c r="H24" s="715" t="s">
        <v>167</v>
      </c>
      <c r="I24" s="774" t="s">
        <v>163</v>
      </c>
      <c r="K24" s="730"/>
      <c r="L24" s="730"/>
    </row>
    <row r="25">
      <c r="A25" s="236"/>
      <c r="B25" s="237"/>
      <c r="C25" s="237"/>
      <c r="D25" s="649" t="s">
        <v>239</v>
      </c>
      <c r="E25" s="649">
        <v>1.0</v>
      </c>
      <c r="F25" s="775"/>
      <c r="G25" s="776"/>
      <c r="H25" s="767" t="s">
        <v>115</v>
      </c>
      <c r="I25" s="777" t="s">
        <v>105</v>
      </c>
      <c r="K25" s="730"/>
      <c r="L25" s="730"/>
    </row>
    <row r="26">
      <c r="A26" s="636" t="s">
        <v>1086</v>
      </c>
      <c r="B26" s="658" t="s">
        <v>401</v>
      </c>
      <c r="C26" s="723">
        <f>sum(E26:E32)</f>
        <v>16</v>
      </c>
      <c r="D26" s="778" t="s">
        <v>162</v>
      </c>
      <c r="E26" s="725">
        <v>2.0</v>
      </c>
      <c r="F26" s="779"/>
      <c r="G26" s="727"/>
      <c r="H26" s="728" t="s">
        <v>164</v>
      </c>
      <c r="I26" s="729" t="s">
        <v>163</v>
      </c>
      <c r="K26" s="730"/>
      <c r="L26" s="730"/>
    </row>
    <row r="27">
      <c r="A27" s="222"/>
      <c r="D27" s="780" t="s">
        <v>94</v>
      </c>
      <c r="E27" s="781">
        <v>1.0</v>
      </c>
      <c r="F27" s="62"/>
      <c r="G27" s="70"/>
      <c r="H27" s="782" t="s">
        <v>95</v>
      </c>
      <c r="I27" s="783" t="s">
        <v>65</v>
      </c>
      <c r="K27" s="730"/>
      <c r="L27" s="730"/>
    </row>
    <row r="28">
      <c r="A28" s="222"/>
      <c r="D28" s="712" t="s">
        <v>22</v>
      </c>
      <c r="E28" s="712">
        <v>2.0</v>
      </c>
      <c r="F28" s="745"/>
      <c r="G28" s="732"/>
      <c r="H28" s="733" t="s">
        <v>265</v>
      </c>
      <c r="I28" s="737" t="s">
        <v>23</v>
      </c>
      <c r="K28" s="730"/>
      <c r="L28" s="730"/>
    </row>
    <row r="29">
      <c r="A29" s="222"/>
      <c r="D29" s="712" t="s">
        <v>143</v>
      </c>
      <c r="E29" s="712">
        <v>5.0</v>
      </c>
      <c r="F29" s="772"/>
      <c r="G29" s="772"/>
      <c r="H29" s="715" t="s">
        <v>145</v>
      </c>
      <c r="I29" s="773" t="s">
        <v>144</v>
      </c>
      <c r="K29" s="730"/>
      <c r="L29" s="730"/>
    </row>
    <row r="30">
      <c r="A30" s="222"/>
      <c r="D30" s="758" t="s">
        <v>175</v>
      </c>
      <c r="E30" s="758">
        <v>4.0</v>
      </c>
      <c r="F30" s="732"/>
      <c r="G30" s="732"/>
      <c r="H30" s="733" t="s">
        <v>232</v>
      </c>
      <c r="I30" s="737" t="s">
        <v>176</v>
      </c>
      <c r="K30" s="730"/>
      <c r="L30" s="730"/>
    </row>
    <row r="31">
      <c r="A31" s="222"/>
      <c r="D31" s="712" t="s">
        <v>239</v>
      </c>
      <c r="E31" s="712">
        <v>1.0</v>
      </c>
      <c r="F31" s="738"/>
      <c r="G31" s="739"/>
      <c r="H31" s="733" t="s">
        <v>115</v>
      </c>
      <c r="I31" s="737" t="s">
        <v>105</v>
      </c>
      <c r="K31" s="730"/>
      <c r="L31" s="730"/>
    </row>
    <row r="32">
      <c r="A32" s="236"/>
      <c r="B32" s="237"/>
      <c r="C32" s="237"/>
      <c r="D32" s="649" t="s">
        <v>117</v>
      </c>
      <c r="E32" s="649">
        <v>1.0</v>
      </c>
      <c r="F32" s="766"/>
      <c r="G32" s="766"/>
      <c r="H32" s="767" t="s">
        <v>238</v>
      </c>
      <c r="I32" s="777" t="s">
        <v>105</v>
      </c>
      <c r="K32" s="730"/>
      <c r="L32" s="730"/>
    </row>
    <row r="33">
      <c r="A33" s="784" t="s">
        <v>1087</v>
      </c>
      <c r="B33" s="785" t="s">
        <v>1088</v>
      </c>
      <c r="C33" s="786">
        <v>15.0</v>
      </c>
      <c r="D33" s="778" t="s">
        <v>1089</v>
      </c>
      <c r="E33" s="787">
        <v>15.0</v>
      </c>
      <c r="F33" s="788"/>
      <c r="G33" s="789"/>
      <c r="H33" s="790"/>
      <c r="I33" s="791" t="s">
        <v>105</v>
      </c>
      <c r="K33" s="730"/>
      <c r="L33" s="730"/>
    </row>
    <row r="34">
      <c r="A34" s="636" t="s">
        <v>1090</v>
      </c>
      <c r="B34" s="658" t="s">
        <v>1091</v>
      </c>
      <c r="C34" s="723">
        <f>sum(E34:E39)</f>
        <v>15</v>
      </c>
      <c r="D34" s="792" t="s">
        <v>1092</v>
      </c>
      <c r="E34" s="792">
        <v>1.0</v>
      </c>
      <c r="F34" s="726"/>
      <c r="G34" s="727"/>
      <c r="H34" s="728" t="s">
        <v>1093</v>
      </c>
      <c r="I34" s="793" t="s">
        <v>30</v>
      </c>
      <c r="K34" s="730"/>
      <c r="L34" s="730"/>
    </row>
    <row r="35">
      <c r="A35" s="222"/>
      <c r="D35" s="712" t="s">
        <v>1094</v>
      </c>
      <c r="E35" s="712">
        <v>5.0</v>
      </c>
      <c r="F35" s="772"/>
      <c r="G35" s="772"/>
      <c r="H35" s="715" t="s">
        <v>145</v>
      </c>
      <c r="I35" s="773" t="s">
        <v>144</v>
      </c>
      <c r="K35" s="730"/>
      <c r="L35" s="730"/>
    </row>
    <row r="36">
      <c r="A36" s="222"/>
      <c r="D36" s="758" t="s">
        <v>1095</v>
      </c>
      <c r="E36" s="758">
        <v>3.0</v>
      </c>
      <c r="F36" s="731"/>
      <c r="G36" s="732"/>
      <c r="H36" s="794" t="s">
        <v>1096</v>
      </c>
      <c r="I36" s="773" t="s">
        <v>144</v>
      </c>
      <c r="K36" s="730"/>
      <c r="L36" s="730"/>
    </row>
    <row r="37">
      <c r="A37" s="222"/>
      <c r="D37" s="747" t="s">
        <v>162</v>
      </c>
      <c r="E37" s="712">
        <v>2.0</v>
      </c>
      <c r="F37" s="745"/>
      <c r="G37" s="732"/>
      <c r="H37" s="733" t="s">
        <v>164</v>
      </c>
      <c r="I37" s="737" t="s">
        <v>163</v>
      </c>
      <c r="K37" s="730"/>
      <c r="L37" s="730"/>
    </row>
    <row r="38">
      <c r="A38" s="222"/>
      <c r="D38" s="712" t="s">
        <v>120</v>
      </c>
      <c r="E38" s="712">
        <v>1.0</v>
      </c>
      <c r="F38" s="713"/>
      <c r="G38" s="713"/>
      <c r="H38" s="715" t="s">
        <v>289</v>
      </c>
      <c r="I38" s="737" t="s">
        <v>105</v>
      </c>
      <c r="K38" s="730"/>
      <c r="L38" s="730"/>
    </row>
    <row r="39">
      <c r="A39" s="236"/>
      <c r="B39" s="237"/>
      <c r="C39" s="237"/>
      <c r="D39" s="758" t="s">
        <v>1097</v>
      </c>
      <c r="E39" s="758">
        <v>3.0</v>
      </c>
      <c r="F39" s="731"/>
      <c r="G39" s="732"/>
      <c r="H39" s="733" t="s">
        <v>1098</v>
      </c>
      <c r="I39" s="737" t="s">
        <v>105</v>
      </c>
      <c r="K39" s="730"/>
      <c r="L39" s="730"/>
    </row>
    <row r="40">
      <c r="A40" s="534" t="s">
        <v>1099</v>
      </c>
      <c r="B40" s="658" t="s">
        <v>1100</v>
      </c>
      <c r="C40" s="723">
        <f>sum(E40)</f>
        <v>15</v>
      </c>
      <c r="D40" s="795" t="s">
        <v>1101</v>
      </c>
      <c r="E40" s="725">
        <v>15.0</v>
      </c>
      <c r="F40" s="726"/>
      <c r="G40" s="727"/>
      <c r="H40" s="728" t="s">
        <v>1102</v>
      </c>
      <c r="I40" s="729" t="s">
        <v>105</v>
      </c>
      <c r="K40" s="730"/>
      <c r="L40" s="730"/>
    </row>
    <row r="41">
      <c r="A41" s="222"/>
      <c r="D41" s="796" t="s">
        <v>1103</v>
      </c>
      <c r="F41" s="731"/>
      <c r="G41" s="732"/>
      <c r="H41" s="733" t="s">
        <v>1104</v>
      </c>
      <c r="I41" s="737" t="s">
        <v>105</v>
      </c>
      <c r="K41" s="730"/>
      <c r="L41" s="730"/>
    </row>
    <row r="42">
      <c r="A42" s="222"/>
      <c r="D42" s="796" t="s">
        <v>1105</v>
      </c>
      <c r="F42" s="731"/>
      <c r="G42" s="732"/>
      <c r="H42" s="733" t="s">
        <v>1106</v>
      </c>
      <c r="I42" s="737" t="s">
        <v>105</v>
      </c>
      <c r="K42" s="730"/>
      <c r="L42" s="730"/>
    </row>
    <row r="43">
      <c r="A43" s="236"/>
      <c r="B43" s="237"/>
      <c r="C43" s="237"/>
      <c r="D43" s="797" t="s">
        <v>1107</v>
      </c>
      <c r="E43" s="237"/>
      <c r="F43" s="765"/>
      <c r="G43" s="766"/>
      <c r="H43" s="767" t="s">
        <v>1108</v>
      </c>
      <c r="I43" s="777" t="s">
        <v>105</v>
      </c>
      <c r="K43" s="730"/>
      <c r="L43" s="730"/>
    </row>
    <row r="44">
      <c r="A44" s="798" t="s">
        <v>1109</v>
      </c>
      <c r="B44" s="552" t="s">
        <v>518</v>
      </c>
      <c r="C44" s="799">
        <f>sum(E44:E50)</f>
        <v>15</v>
      </c>
      <c r="D44" s="792" t="s">
        <v>175</v>
      </c>
      <c r="E44" s="792">
        <v>4.0</v>
      </c>
      <c r="F44" s="727"/>
      <c r="G44" s="727"/>
      <c r="H44" s="728" t="s">
        <v>232</v>
      </c>
      <c r="I44" s="729" t="s">
        <v>176</v>
      </c>
      <c r="K44" s="730"/>
      <c r="L44" s="730"/>
    </row>
    <row r="45">
      <c r="A45" s="222"/>
      <c r="D45" s="800" t="s">
        <v>185</v>
      </c>
      <c r="E45" s="801">
        <v>1.0</v>
      </c>
      <c r="F45" s="3"/>
      <c r="G45" s="478"/>
      <c r="H45" s="802" t="s">
        <v>187</v>
      </c>
      <c r="I45" s="803" t="s">
        <v>186</v>
      </c>
      <c r="K45" s="730"/>
      <c r="L45" s="730"/>
    </row>
    <row r="46">
      <c r="A46" s="222"/>
      <c r="D46" s="804" t="s">
        <v>123</v>
      </c>
      <c r="E46" s="805">
        <v>1.0</v>
      </c>
      <c r="F46" s="93"/>
      <c r="G46" s="101"/>
      <c r="H46" s="101" t="s">
        <v>124</v>
      </c>
      <c r="I46" s="774" t="s">
        <v>105</v>
      </c>
      <c r="K46" s="730"/>
      <c r="L46" s="730"/>
    </row>
    <row r="47">
      <c r="A47" s="222"/>
      <c r="D47" s="712" t="s">
        <v>120</v>
      </c>
      <c r="E47" s="712">
        <v>1.0</v>
      </c>
      <c r="F47" s="713"/>
      <c r="G47" s="713"/>
      <c r="H47" s="715" t="s">
        <v>289</v>
      </c>
      <c r="I47" s="737" t="s">
        <v>105</v>
      </c>
      <c r="K47" s="730"/>
      <c r="L47" s="730"/>
    </row>
    <row r="48">
      <c r="A48" s="222"/>
      <c r="D48" s="747" t="s">
        <v>22</v>
      </c>
      <c r="E48" s="712">
        <v>2.0</v>
      </c>
      <c r="F48" s="806"/>
      <c r="G48" s="807"/>
      <c r="H48" s="715" t="s">
        <v>265</v>
      </c>
      <c r="I48" s="737" t="s">
        <v>23</v>
      </c>
      <c r="K48" s="730"/>
      <c r="L48" s="730"/>
    </row>
    <row r="49">
      <c r="A49" s="222"/>
      <c r="D49" s="712" t="s">
        <v>306</v>
      </c>
      <c r="E49" s="712">
        <v>3.0</v>
      </c>
      <c r="F49" s="731"/>
      <c r="G49" s="732"/>
      <c r="H49" s="733" t="s">
        <v>31</v>
      </c>
      <c r="I49" s="734" t="s">
        <v>30</v>
      </c>
      <c r="K49" s="730"/>
      <c r="L49" s="730"/>
    </row>
    <row r="50">
      <c r="A50" s="236"/>
      <c r="B50" s="237"/>
      <c r="C50" s="237"/>
      <c r="D50" s="808" t="s">
        <v>64</v>
      </c>
      <c r="E50" s="808">
        <v>3.0</v>
      </c>
      <c r="F50" s="809"/>
      <c r="G50" s="810"/>
      <c r="H50" s="811" t="s">
        <v>69</v>
      </c>
      <c r="I50" s="812" t="s">
        <v>65</v>
      </c>
      <c r="K50" s="730"/>
      <c r="L50" s="730"/>
    </row>
    <row r="51">
      <c r="A51" s="636" t="s">
        <v>1110</v>
      </c>
      <c r="B51" s="658" t="s">
        <v>785</v>
      </c>
      <c r="C51" s="723">
        <f>sum(E51:E57)</f>
        <v>15</v>
      </c>
      <c r="D51" s="724" t="s">
        <v>254</v>
      </c>
      <c r="E51" s="725">
        <v>2.0</v>
      </c>
      <c r="F51" s="726"/>
      <c r="G51" s="727"/>
      <c r="H51" s="728" t="s">
        <v>255</v>
      </c>
      <c r="I51" s="729" t="s">
        <v>7</v>
      </c>
      <c r="K51" s="730"/>
      <c r="L51" s="730"/>
    </row>
    <row r="52">
      <c r="A52" s="222"/>
      <c r="D52" s="712" t="s">
        <v>64</v>
      </c>
      <c r="E52" s="712">
        <v>3.0</v>
      </c>
      <c r="F52" s="738"/>
      <c r="G52" s="739"/>
      <c r="H52" s="733" t="s">
        <v>69</v>
      </c>
      <c r="I52" s="737" t="s">
        <v>65</v>
      </c>
      <c r="K52" s="730"/>
      <c r="L52" s="730"/>
    </row>
    <row r="53">
      <c r="A53" s="222"/>
      <c r="D53" s="754" t="s">
        <v>147</v>
      </c>
      <c r="E53" s="754">
        <v>3.0</v>
      </c>
      <c r="F53" s="755"/>
      <c r="G53" s="755"/>
      <c r="H53" s="755" t="s">
        <v>145</v>
      </c>
      <c r="I53" s="756" t="s">
        <v>144</v>
      </c>
      <c r="K53" s="730"/>
      <c r="L53" s="730"/>
    </row>
    <row r="54">
      <c r="A54" s="222"/>
      <c r="D54" s="813" t="s">
        <v>162</v>
      </c>
      <c r="E54" s="813">
        <v>2.0</v>
      </c>
      <c r="F54" s="814"/>
      <c r="G54" s="814"/>
      <c r="H54" s="814" t="s">
        <v>164</v>
      </c>
      <c r="I54" s="815" t="s">
        <v>163</v>
      </c>
      <c r="K54" s="730"/>
      <c r="L54" s="730"/>
    </row>
    <row r="55">
      <c r="A55" s="222"/>
      <c r="D55" s="748" t="s">
        <v>182</v>
      </c>
      <c r="E55" s="749">
        <v>3.0</v>
      </c>
      <c r="F55" s="151"/>
      <c r="G55" s="152"/>
      <c r="H55" s="750" t="s">
        <v>183</v>
      </c>
      <c r="I55" s="751" t="s">
        <v>176</v>
      </c>
      <c r="K55" s="730"/>
      <c r="L55" s="730"/>
    </row>
    <row r="56">
      <c r="A56" s="222"/>
      <c r="D56" s="800" t="s">
        <v>185</v>
      </c>
      <c r="E56" s="801">
        <v>1.0</v>
      </c>
      <c r="F56" s="3"/>
      <c r="G56" s="478"/>
      <c r="H56" s="802" t="s">
        <v>187</v>
      </c>
      <c r="I56" s="803" t="s">
        <v>186</v>
      </c>
      <c r="K56" s="730"/>
      <c r="L56" s="730"/>
    </row>
    <row r="57">
      <c r="A57" s="236"/>
      <c r="B57" s="237"/>
      <c r="C57" s="237"/>
      <c r="D57" s="649" t="s">
        <v>239</v>
      </c>
      <c r="E57" s="649">
        <v>1.0</v>
      </c>
      <c r="F57" s="775"/>
      <c r="G57" s="776"/>
      <c r="H57" s="767" t="s">
        <v>115</v>
      </c>
      <c r="I57" s="777" t="s">
        <v>105</v>
      </c>
      <c r="K57" s="730"/>
      <c r="L57" s="730"/>
    </row>
    <row r="58">
      <c r="A58" s="816" t="s">
        <v>1111</v>
      </c>
      <c r="B58" s="817" t="s">
        <v>1112</v>
      </c>
      <c r="C58" s="723">
        <f>sum(E58:E64)</f>
        <v>15</v>
      </c>
      <c r="D58" s="725" t="s">
        <v>1113</v>
      </c>
      <c r="E58" s="712">
        <v>0.0</v>
      </c>
      <c r="F58" s="731"/>
      <c r="G58" s="732"/>
      <c r="H58" s="818" t="s">
        <v>1114</v>
      </c>
      <c r="I58" s="737" t="s">
        <v>7</v>
      </c>
      <c r="K58" s="730"/>
      <c r="L58" s="730"/>
    </row>
    <row r="59">
      <c r="A59" s="222"/>
      <c r="D59" s="712" t="s">
        <v>143</v>
      </c>
      <c r="E59" s="712">
        <v>5.0</v>
      </c>
      <c r="F59" s="772"/>
      <c r="G59" s="772"/>
      <c r="H59" s="715" t="s">
        <v>145</v>
      </c>
      <c r="I59" s="773" t="s">
        <v>144</v>
      </c>
      <c r="K59" s="730"/>
      <c r="L59" s="730"/>
    </row>
    <row r="60">
      <c r="A60" s="222"/>
      <c r="D60" s="712" t="s">
        <v>22</v>
      </c>
      <c r="E60" s="712">
        <v>2.0</v>
      </c>
      <c r="F60" s="745"/>
      <c r="G60" s="732"/>
      <c r="H60" s="733" t="s">
        <v>265</v>
      </c>
      <c r="I60" s="737" t="s">
        <v>23</v>
      </c>
      <c r="K60" s="730"/>
      <c r="L60" s="730"/>
    </row>
    <row r="61">
      <c r="A61" s="222"/>
      <c r="D61" s="712" t="s">
        <v>162</v>
      </c>
      <c r="E61" s="712">
        <v>2.0</v>
      </c>
      <c r="F61" s="745"/>
      <c r="G61" s="732"/>
      <c r="H61" s="733" t="s">
        <v>164</v>
      </c>
      <c r="I61" s="737" t="s">
        <v>163</v>
      </c>
      <c r="K61" s="730"/>
      <c r="L61" s="730"/>
    </row>
    <row r="62">
      <c r="A62" s="222"/>
      <c r="D62" s="819" t="s">
        <v>79</v>
      </c>
      <c r="E62" s="283">
        <v>2.0</v>
      </c>
      <c r="F62" s="62"/>
      <c r="G62" s="64"/>
      <c r="H62" s="820" t="s">
        <v>80</v>
      </c>
      <c r="I62" s="821" t="s">
        <v>65</v>
      </c>
      <c r="K62" s="730"/>
      <c r="L62" s="730"/>
    </row>
    <row r="63">
      <c r="A63" s="222"/>
      <c r="D63" s="712" t="s">
        <v>239</v>
      </c>
      <c r="E63" s="712">
        <v>1.0</v>
      </c>
      <c r="F63" s="738"/>
      <c r="G63" s="739"/>
      <c r="H63" s="733" t="s">
        <v>115</v>
      </c>
      <c r="I63" s="737" t="s">
        <v>105</v>
      </c>
      <c r="K63" s="730"/>
      <c r="L63" s="730"/>
    </row>
    <row r="64">
      <c r="A64" s="236"/>
      <c r="B64" s="237"/>
      <c r="C64" s="237"/>
      <c r="D64" s="649" t="s">
        <v>1115</v>
      </c>
      <c r="E64" s="649">
        <v>3.0</v>
      </c>
      <c r="F64" s="765"/>
      <c r="G64" s="766"/>
      <c r="H64" s="822" t="s">
        <v>1116</v>
      </c>
      <c r="I64" s="777" t="s">
        <v>105</v>
      </c>
      <c r="K64" s="730"/>
      <c r="L64" s="730"/>
    </row>
    <row r="65">
      <c r="A65" s="636" t="s">
        <v>1117</v>
      </c>
      <c r="B65" s="658" t="s">
        <v>486</v>
      </c>
      <c r="C65" s="723">
        <f>sum(E65:E70)</f>
        <v>14</v>
      </c>
      <c r="D65" s="792" t="s">
        <v>1118</v>
      </c>
      <c r="E65" s="792">
        <v>2.0</v>
      </c>
      <c r="F65" s="726"/>
      <c r="G65" s="727"/>
      <c r="H65" s="728" t="s">
        <v>1119</v>
      </c>
      <c r="I65" s="823" t="s">
        <v>7</v>
      </c>
      <c r="K65" s="730"/>
      <c r="L65" s="730"/>
    </row>
    <row r="66">
      <c r="A66" s="222"/>
      <c r="D66" s="747" t="s">
        <v>162</v>
      </c>
      <c r="E66" s="712">
        <v>2.0</v>
      </c>
      <c r="F66" s="745"/>
      <c r="G66" s="732"/>
      <c r="H66" s="733" t="s">
        <v>164</v>
      </c>
      <c r="I66" s="737" t="s">
        <v>163</v>
      </c>
      <c r="K66" s="730"/>
      <c r="L66" s="730"/>
    </row>
    <row r="67">
      <c r="A67" s="222"/>
      <c r="D67" s="824" t="s">
        <v>64</v>
      </c>
      <c r="E67" s="824">
        <v>3.0</v>
      </c>
      <c r="F67" s="825"/>
      <c r="G67" s="826"/>
      <c r="H67" s="827" t="s">
        <v>69</v>
      </c>
      <c r="I67" s="828" t="s">
        <v>65</v>
      </c>
      <c r="K67" s="730"/>
      <c r="L67" s="730"/>
    </row>
    <row r="68">
      <c r="A68" s="222"/>
      <c r="D68" s="758" t="s">
        <v>1120</v>
      </c>
      <c r="E68" s="758">
        <v>2.0</v>
      </c>
      <c r="F68" s="731"/>
      <c r="G68" s="732"/>
      <c r="H68" s="733" t="s">
        <v>1121</v>
      </c>
      <c r="I68" s="829" t="s">
        <v>144</v>
      </c>
      <c r="K68" s="730"/>
      <c r="L68" s="730"/>
    </row>
    <row r="69">
      <c r="A69" s="222"/>
      <c r="D69" s="758" t="s">
        <v>175</v>
      </c>
      <c r="E69" s="758">
        <v>3.0</v>
      </c>
      <c r="F69" s="732"/>
      <c r="G69" s="732"/>
      <c r="H69" s="733" t="s">
        <v>232</v>
      </c>
      <c r="I69" s="737" t="s">
        <v>176</v>
      </c>
      <c r="K69" s="730"/>
      <c r="L69" s="730"/>
    </row>
    <row r="70">
      <c r="A70" s="236"/>
      <c r="B70" s="237"/>
      <c r="C70" s="237"/>
      <c r="D70" s="764" t="s">
        <v>1122</v>
      </c>
      <c r="E70" s="764">
        <v>2.0</v>
      </c>
      <c r="F70" s="765"/>
      <c r="G70" s="766"/>
      <c r="H70" s="767" t="s">
        <v>1123</v>
      </c>
      <c r="I70" s="830" t="s">
        <v>105</v>
      </c>
      <c r="K70" s="730"/>
      <c r="L70" s="730"/>
    </row>
    <row r="71">
      <c r="A71" s="530" t="s">
        <v>1124</v>
      </c>
      <c r="B71" s="817" t="s">
        <v>338</v>
      </c>
      <c r="C71" s="711">
        <f>sum(E71:E77)</f>
        <v>14</v>
      </c>
      <c r="D71" s="740" t="s">
        <v>101</v>
      </c>
      <c r="E71" s="741">
        <v>2.0</v>
      </c>
      <c r="F71" s="742"/>
      <c r="G71" s="743"/>
      <c r="H71" s="743" t="s">
        <v>102</v>
      </c>
      <c r="I71" s="744" t="s">
        <v>98</v>
      </c>
      <c r="K71" s="730"/>
      <c r="L71" s="730"/>
    </row>
    <row r="72">
      <c r="A72" s="222"/>
      <c r="D72" s="747" t="s">
        <v>162</v>
      </c>
      <c r="E72" s="712">
        <v>2.0</v>
      </c>
      <c r="F72" s="745"/>
      <c r="G72" s="732"/>
      <c r="H72" s="733" t="s">
        <v>164</v>
      </c>
      <c r="I72" s="737" t="s">
        <v>163</v>
      </c>
      <c r="K72" s="730"/>
      <c r="L72" s="730"/>
    </row>
    <row r="73">
      <c r="A73" s="222"/>
      <c r="D73" s="748" t="s">
        <v>179</v>
      </c>
      <c r="E73" s="749">
        <v>2.0</v>
      </c>
      <c r="F73" s="151"/>
      <c r="G73" s="152"/>
      <c r="H73" s="152" t="s">
        <v>180</v>
      </c>
      <c r="I73" s="751" t="s">
        <v>176</v>
      </c>
      <c r="K73" s="730"/>
      <c r="L73" s="730"/>
    </row>
    <row r="74">
      <c r="A74" s="222"/>
      <c r="D74" s="800" t="s">
        <v>185</v>
      </c>
      <c r="E74" s="801">
        <v>1.0</v>
      </c>
      <c r="F74" s="3"/>
      <c r="G74" s="478"/>
      <c r="H74" s="802" t="s">
        <v>187</v>
      </c>
      <c r="I74" s="803" t="s">
        <v>186</v>
      </c>
      <c r="K74" s="730"/>
      <c r="L74" s="730"/>
    </row>
    <row r="75">
      <c r="A75" s="222"/>
      <c r="D75" s="712" t="s">
        <v>64</v>
      </c>
      <c r="E75" s="712">
        <v>3.0</v>
      </c>
      <c r="F75" s="738"/>
      <c r="G75" s="739"/>
      <c r="H75" s="733" t="s">
        <v>69</v>
      </c>
      <c r="I75" s="737" t="s">
        <v>65</v>
      </c>
      <c r="K75" s="730"/>
      <c r="L75" s="730"/>
    </row>
    <row r="76">
      <c r="A76" s="222"/>
      <c r="D76" s="747" t="s">
        <v>22</v>
      </c>
      <c r="E76" s="712">
        <v>2.0</v>
      </c>
      <c r="F76" s="745"/>
      <c r="G76" s="732"/>
      <c r="H76" s="733" t="s">
        <v>265</v>
      </c>
      <c r="I76" s="737" t="s">
        <v>23</v>
      </c>
      <c r="K76" s="730"/>
      <c r="L76" s="730"/>
    </row>
    <row r="77">
      <c r="A77" s="236"/>
      <c r="B77" s="237"/>
      <c r="C77" s="237"/>
      <c r="D77" s="673" t="s">
        <v>254</v>
      </c>
      <c r="E77" s="649">
        <v>2.0</v>
      </c>
      <c r="F77" s="765"/>
      <c r="G77" s="766"/>
      <c r="H77" s="767" t="s">
        <v>255</v>
      </c>
      <c r="I77" s="777" t="s">
        <v>7</v>
      </c>
      <c r="K77" s="730"/>
      <c r="L77" s="730"/>
    </row>
    <row r="78">
      <c r="A78" s="636" t="s">
        <v>1125</v>
      </c>
      <c r="B78" s="658" t="s">
        <v>899</v>
      </c>
      <c r="C78" s="723">
        <f>sum(E78:E84)</f>
        <v>14</v>
      </c>
      <c r="D78" s="725" t="s">
        <v>143</v>
      </c>
      <c r="E78" s="725">
        <v>5.0</v>
      </c>
      <c r="F78" s="831"/>
      <c r="G78" s="831"/>
      <c r="H78" s="832" t="s">
        <v>145</v>
      </c>
      <c r="I78" s="833" t="s">
        <v>144</v>
      </c>
      <c r="K78" s="730"/>
      <c r="L78" s="730"/>
    </row>
    <row r="79">
      <c r="A79" s="222"/>
      <c r="D79" s="279" t="s">
        <v>49</v>
      </c>
      <c r="E79" s="279">
        <v>2.0</v>
      </c>
      <c r="F79" s="280"/>
      <c r="G79" s="280"/>
      <c r="H79" s="834" t="s">
        <v>50</v>
      </c>
      <c r="I79" s="282" t="s">
        <v>43</v>
      </c>
      <c r="K79" s="730"/>
      <c r="L79" s="730"/>
    </row>
    <row r="80">
      <c r="A80" s="222"/>
      <c r="D80" s="712" t="s">
        <v>120</v>
      </c>
      <c r="E80" s="712">
        <v>1.0</v>
      </c>
      <c r="F80" s="713"/>
      <c r="G80" s="713"/>
      <c r="H80" s="715" t="s">
        <v>289</v>
      </c>
      <c r="I80" s="737" t="s">
        <v>105</v>
      </c>
      <c r="K80" s="730"/>
      <c r="L80" s="730"/>
    </row>
    <row r="81">
      <c r="A81" s="222"/>
      <c r="D81" s="712" t="s">
        <v>239</v>
      </c>
      <c r="E81" s="712">
        <v>1.0</v>
      </c>
      <c r="F81" s="738"/>
      <c r="G81" s="739"/>
      <c r="H81" s="733" t="s">
        <v>115</v>
      </c>
      <c r="I81" s="737" t="s">
        <v>105</v>
      </c>
      <c r="K81" s="730"/>
      <c r="L81" s="730"/>
    </row>
    <row r="82">
      <c r="A82" s="222"/>
      <c r="D82" s="232" t="s">
        <v>134</v>
      </c>
      <c r="E82" s="232">
        <v>1.0</v>
      </c>
      <c r="F82" s="254"/>
      <c r="G82" s="254"/>
      <c r="H82" s="835" t="s">
        <v>135</v>
      </c>
      <c r="I82" s="298" t="s">
        <v>105</v>
      </c>
      <c r="K82" s="730"/>
      <c r="L82" s="730"/>
    </row>
    <row r="83">
      <c r="A83" s="222"/>
      <c r="D83" s="747" t="s">
        <v>22</v>
      </c>
      <c r="E83" s="712">
        <v>2.0</v>
      </c>
      <c r="F83" s="806"/>
      <c r="G83" s="807"/>
      <c r="H83" s="715" t="s">
        <v>265</v>
      </c>
      <c r="I83" s="737" t="s">
        <v>23</v>
      </c>
      <c r="K83" s="730"/>
      <c r="L83" s="730"/>
    </row>
    <row r="84">
      <c r="A84" s="236"/>
      <c r="B84" s="237"/>
      <c r="C84" s="237"/>
      <c r="D84" s="430" t="s">
        <v>101</v>
      </c>
      <c r="E84" s="430">
        <v>2.0</v>
      </c>
      <c r="F84" s="450"/>
      <c r="G84" s="450"/>
      <c r="H84" s="836" t="s">
        <v>102</v>
      </c>
      <c r="I84" s="452" t="s">
        <v>98</v>
      </c>
      <c r="K84" s="730"/>
      <c r="L84" s="730"/>
    </row>
    <row r="85" ht="45.0" customHeight="1">
      <c r="A85" s="837" t="s">
        <v>280</v>
      </c>
      <c r="B85" s="698"/>
      <c r="C85" s="698"/>
      <c r="D85" s="698"/>
      <c r="E85" s="698"/>
      <c r="F85" s="698"/>
      <c r="G85" s="698"/>
      <c r="H85" s="838"/>
      <c r="I85" s="839"/>
      <c r="J85" s="214"/>
      <c r="K85" s="214"/>
      <c r="L85" s="214"/>
      <c r="M85" s="214"/>
      <c r="N85" s="840"/>
      <c r="O85" s="840"/>
      <c r="P85" s="840"/>
      <c r="Q85" s="840"/>
      <c r="R85" s="840"/>
      <c r="S85" s="840"/>
      <c r="T85" s="840"/>
      <c r="U85" s="840"/>
      <c r="V85" s="840"/>
      <c r="W85" s="840"/>
      <c r="X85" s="840"/>
      <c r="Y85" s="840"/>
      <c r="Z85" s="840"/>
      <c r="AA85" s="840"/>
      <c r="AB85" s="840"/>
      <c r="AC85" s="840"/>
    </row>
    <row r="86">
      <c r="A86" s="242" t="s">
        <v>1126</v>
      </c>
      <c r="B86" s="243" t="s">
        <v>358</v>
      </c>
      <c r="C86" s="411">
        <f>sum(E86:E91)</f>
        <v>12</v>
      </c>
      <c r="D86" s="841" t="s">
        <v>52</v>
      </c>
      <c r="E86" s="841">
        <v>1.0</v>
      </c>
      <c r="F86" s="842"/>
      <c r="G86" s="842"/>
      <c r="H86" s="842" t="s">
        <v>53</v>
      </c>
      <c r="I86" s="843" t="s">
        <v>43</v>
      </c>
      <c r="K86" s="730"/>
      <c r="L86" s="730"/>
    </row>
    <row r="87">
      <c r="A87" s="222"/>
      <c r="D87" s="844" t="s">
        <v>11</v>
      </c>
      <c r="E87" s="844">
        <v>2.0</v>
      </c>
      <c r="F87" s="845"/>
      <c r="G87" s="845"/>
      <c r="H87" s="845" t="s">
        <v>294</v>
      </c>
      <c r="I87" s="846" t="s">
        <v>7</v>
      </c>
      <c r="K87" s="730"/>
      <c r="L87" s="730"/>
    </row>
    <row r="88">
      <c r="A88" s="222"/>
      <c r="D88" s="754" t="s">
        <v>147</v>
      </c>
      <c r="E88" s="754">
        <v>3.0</v>
      </c>
      <c r="F88" s="755"/>
      <c r="G88" s="755"/>
      <c r="H88" s="755" t="s">
        <v>145</v>
      </c>
      <c r="I88" s="756" t="s">
        <v>144</v>
      </c>
      <c r="K88" s="730"/>
      <c r="L88" s="730"/>
    </row>
    <row r="89">
      <c r="A89" s="222"/>
      <c r="D89" s="847" t="s">
        <v>162</v>
      </c>
      <c r="E89" s="847">
        <v>2.0</v>
      </c>
      <c r="F89" s="814"/>
      <c r="G89" s="848"/>
      <c r="H89" s="848" t="s">
        <v>164</v>
      </c>
      <c r="I89" s="849" t="s">
        <v>163</v>
      </c>
      <c r="K89" s="730"/>
      <c r="L89" s="730"/>
    </row>
    <row r="90">
      <c r="A90" s="222"/>
      <c r="D90" s="824" t="s">
        <v>64</v>
      </c>
      <c r="E90" s="824">
        <v>3.0</v>
      </c>
      <c r="F90" s="825"/>
      <c r="G90" s="826"/>
      <c r="H90" s="827" t="s">
        <v>69</v>
      </c>
      <c r="I90" s="828" t="s">
        <v>65</v>
      </c>
      <c r="K90" s="730"/>
      <c r="L90" s="730"/>
    </row>
    <row r="91">
      <c r="A91" s="236"/>
      <c r="B91" s="237"/>
      <c r="C91" s="237"/>
      <c r="D91" s="850" t="s">
        <v>239</v>
      </c>
      <c r="E91" s="850">
        <v>1.0</v>
      </c>
      <c r="F91" s="851"/>
      <c r="G91" s="852"/>
      <c r="H91" s="852" t="s">
        <v>115</v>
      </c>
      <c r="I91" s="853" t="s">
        <v>105</v>
      </c>
      <c r="K91" s="730"/>
      <c r="L91" s="730"/>
    </row>
    <row r="92">
      <c r="A92" s="854" t="s">
        <v>1127</v>
      </c>
      <c r="B92" s="855" t="s">
        <v>500</v>
      </c>
      <c r="C92" s="723">
        <f>sum(E92:E95)</f>
        <v>12</v>
      </c>
      <c r="D92" s="856" t="s">
        <v>73</v>
      </c>
      <c r="E92" s="856">
        <v>2.0</v>
      </c>
      <c r="F92" s="56"/>
      <c r="G92" s="58"/>
      <c r="H92" s="58" t="s">
        <v>74</v>
      </c>
      <c r="I92" s="857" t="s">
        <v>65</v>
      </c>
      <c r="K92" s="730"/>
      <c r="L92" s="730"/>
    </row>
    <row r="93">
      <c r="A93" s="222"/>
      <c r="D93" s="758" t="s">
        <v>175</v>
      </c>
      <c r="E93" s="758">
        <v>3.0</v>
      </c>
      <c r="F93" s="732"/>
      <c r="G93" s="732"/>
      <c r="H93" s="733" t="s">
        <v>232</v>
      </c>
      <c r="I93" s="737" t="s">
        <v>176</v>
      </c>
      <c r="K93" s="730"/>
      <c r="L93" s="730"/>
    </row>
    <row r="94">
      <c r="A94" s="222"/>
      <c r="D94" s="800" t="s">
        <v>254</v>
      </c>
      <c r="E94" s="712">
        <v>2.0</v>
      </c>
      <c r="F94" s="731"/>
      <c r="G94" s="732"/>
      <c r="H94" s="733" t="s">
        <v>255</v>
      </c>
      <c r="I94" s="737" t="s">
        <v>7</v>
      </c>
      <c r="K94" s="730"/>
      <c r="L94" s="730"/>
    </row>
    <row r="95">
      <c r="A95" s="236"/>
      <c r="B95" s="237"/>
      <c r="C95" s="237"/>
      <c r="D95" s="649" t="s">
        <v>1128</v>
      </c>
      <c r="E95" s="764">
        <v>5.0</v>
      </c>
      <c r="F95" s="765"/>
      <c r="G95" s="766"/>
      <c r="H95" s="858" t="s">
        <v>1129</v>
      </c>
      <c r="I95" s="859" t="s">
        <v>65</v>
      </c>
      <c r="K95" s="730"/>
      <c r="L95" s="730"/>
    </row>
    <row r="96">
      <c r="A96" s="860" t="s">
        <v>1130</v>
      </c>
      <c r="B96" s="861" t="s">
        <v>586</v>
      </c>
      <c r="C96" s="723">
        <f>sum(E96:E101)</f>
        <v>11</v>
      </c>
      <c r="D96" s="725" t="s">
        <v>143</v>
      </c>
      <c r="E96" s="725">
        <v>5.0</v>
      </c>
      <c r="F96" s="831"/>
      <c r="G96" s="862" t="s">
        <v>1131</v>
      </c>
      <c r="H96" s="832" t="s">
        <v>1132</v>
      </c>
      <c r="I96" s="833" t="s">
        <v>144</v>
      </c>
      <c r="K96" s="730"/>
      <c r="L96" s="730"/>
    </row>
    <row r="97">
      <c r="A97" s="222"/>
      <c r="D97" s="712" t="s">
        <v>239</v>
      </c>
      <c r="E97" s="712">
        <v>1.0</v>
      </c>
      <c r="F97" s="738"/>
      <c r="G97" s="739"/>
      <c r="H97" s="733" t="s">
        <v>115</v>
      </c>
      <c r="I97" s="737" t="s">
        <v>105</v>
      </c>
      <c r="K97" s="730"/>
      <c r="L97" s="730"/>
    </row>
    <row r="98">
      <c r="A98" s="222"/>
      <c r="D98" s="747" t="s">
        <v>162</v>
      </c>
      <c r="E98" s="712">
        <v>2.0</v>
      </c>
      <c r="F98" s="745"/>
      <c r="G98" s="732"/>
      <c r="H98" s="733" t="s">
        <v>164</v>
      </c>
      <c r="I98" s="737" t="s">
        <v>163</v>
      </c>
      <c r="K98" s="730"/>
      <c r="L98" s="730"/>
    </row>
    <row r="99">
      <c r="A99" s="222"/>
      <c r="D99" s="863" t="s">
        <v>1133</v>
      </c>
      <c r="E99" s="758">
        <v>1.0</v>
      </c>
      <c r="F99" s="731"/>
      <c r="G99" s="732"/>
      <c r="H99" s="733" t="s">
        <v>1134</v>
      </c>
      <c r="I99" s="737" t="s">
        <v>105</v>
      </c>
      <c r="K99" s="730"/>
      <c r="L99" s="730"/>
    </row>
    <row r="100">
      <c r="A100" s="222"/>
      <c r="D100" s="863" t="s">
        <v>1135</v>
      </c>
      <c r="E100" s="758">
        <v>1.0</v>
      </c>
      <c r="F100" s="731"/>
      <c r="G100" s="732"/>
      <c r="H100" s="733" t="s">
        <v>1136</v>
      </c>
      <c r="I100" s="737" t="s">
        <v>105</v>
      </c>
      <c r="K100" s="730"/>
      <c r="L100" s="730"/>
    </row>
    <row r="101">
      <c r="A101" s="236"/>
      <c r="B101" s="237"/>
      <c r="C101" s="237"/>
      <c r="D101" s="864" t="s">
        <v>1137</v>
      </c>
      <c r="E101" s="764">
        <v>1.0</v>
      </c>
      <c r="F101" s="765"/>
      <c r="G101" s="766"/>
      <c r="H101" s="767" t="s">
        <v>1138</v>
      </c>
      <c r="I101" s="777" t="s">
        <v>105</v>
      </c>
      <c r="K101" s="730"/>
      <c r="L101" s="730"/>
    </row>
    <row r="102">
      <c r="A102" s="636" t="s">
        <v>1139</v>
      </c>
      <c r="B102" s="658" t="s">
        <v>296</v>
      </c>
      <c r="C102" s="723">
        <f>sum(E102:E106)</f>
        <v>11</v>
      </c>
      <c r="D102" s="725" t="s">
        <v>143</v>
      </c>
      <c r="E102" s="725">
        <v>5.0</v>
      </c>
      <c r="F102" s="831"/>
      <c r="G102" s="831"/>
      <c r="H102" s="832" t="s">
        <v>145</v>
      </c>
      <c r="I102" s="833" t="s">
        <v>144</v>
      </c>
      <c r="K102" s="730"/>
      <c r="L102" s="730"/>
    </row>
    <row r="103">
      <c r="A103" s="222"/>
      <c r="D103" s="747" t="s">
        <v>162</v>
      </c>
      <c r="E103" s="712">
        <v>2.0</v>
      </c>
      <c r="F103" s="745"/>
      <c r="G103" s="732"/>
      <c r="H103" s="733" t="s">
        <v>164</v>
      </c>
      <c r="I103" s="737" t="s">
        <v>163</v>
      </c>
      <c r="K103" s="730"/>
      <c r="L103" s="730"/>
    </row>
    <row r="104">
      <c r="A104" s="222"/>
      <c r="D104" s="712" t="s">
        <v>117</v>
      </c>
      <c r="E104" s="712">
        <v>1.0</v>
      </c>
      <c r="F104" s="732"/>
      <c r="G104" s="732"/>
      <c r="H104" s="733" t="s">
        <v>238</v>
      </c>
      <c r="I104" s="737" t="s">
        <v>105</v>
      </c>
      <c r="K104" s="730"/>
      <c r="L104" s="730"/>
    </row>
    <row r="105">
      <c r="A105" s="222"/>
      <c r="D105" s="712" t="s">
        <v>239</v>
      </c>
      <c r="E105" s="712">
        <v>1.0</v>
      </c>
      <c r="F105" s="738"/>
      <c r="G105" s="739"/>
      <c r="H105" s="733" t="s">
        <v>115</v>
      </c>
      <c r="I105" s="737" t="s">
        <v>105</v>
      </c>
      <c r="K105" s="730"/>
      <c r="L105" s="730"/>
    </row>
    <row r="106">
      <c r="A106" s="236"/>
      <c r="B106" s="237"/>
      <c r="C106" s="237"/>
      <c r="D106" s="865" t="s">
        <v>42</v>
      </c>
      <c r="E106" s="866">
        <v>2.0</v>
      </c>
      <c r="F106" s="867"/>
      <c r="G106" s="868"/>
      <c r="H106" s="47" t="s">
        <v>44</v>
      </c>
      <c r="I106" s="869" t="s">
        <v>43</v>
      </c>
      <c r="J106" s="870"/>
      <c r="K106" s="730"/>
      <c r="L106" s="730"/>
    </row>
    <row r="107">
      <c r="A107" s="349" t="s">
        <v>1140</v>
      </c>
      <c r="B107" s="552" t="s">
        <v>594</v>
      </c>
      <c r="C107" s="723">
        <f>sum(E107:E113)</f>
        <v>11</v>
      </c>
      <c r="D107" s="871" t="s">
        <v>42</v>
      </c>
      <c r="E107" s="872">
        <v>2.0</v>
      </c>
      <c r="F107" s="873"/>
      <c r="G107" s="842"/>
      <c r="H107" s="874" t="s">
        <v>44</v>
      </c>
      <c r="I107" s="875" t="s">
        <v>43</v>
      </c>
      <c r="J107" s="3" t="s">
        <v>1141</v>
      </c>
      <c r="K107" s="730"/>
      <c r="L107" s="730"/>
    </row>
    <row r="108">
      <c r="A108" s="222"/>
      <c r="D108" s="654" t="s">
        <v>46</v>
      </c>
      <c r="E108" s="655">
        <v>2.0</v>
      </c>
      <c r="F108" s="46"/>
      <c r="G108" s="47"/>
      <c r="H108" s="47" t="s">
        <v>47</v>
      </c>
      <c r="I108" s="657" t="s">
        <v>43</v>
      </c>
      <c r="J108" s="3" t="s">
        <v>1141</v>
      </c>
      <c r="K108" s="730"/>
      <c r="L108" s="730"/>
    </row>
    <row r="109">
      <c r="A109" s="222"/>
      <c r="D109" s="712" t="s">
        <v>52</v>
      </c>
      <c r="E109" s="712">
        <v>1.0</v>
      </c>
      <c r="F109" s="731"/>
      <c r="G109" s="732"/>
      <c r="H109" s="733" t="s">
        <v>53</v>
      </c>
      <c r="I109" s="774" t="s">
        <v>43</v>
      </c>
      <c r="J109" s="3" t="s">
        <v>1141</v>
      </c>
      <c r="K109" s="730"/>
      <c r="L109" s="730"/>
    </row>
    <row r="110">
      <c r="A110" s="222"/>
      <c r="D110" s="712" t="s">
        <v>159</v>
      </c>
      <c r="E110" s="712">
        <v>1.0</v>
      </c>
      <c r="F110" s="772"/>
      <c r="G110" s="772"/>
      <c r="H110" s="733" t="s">
        <v>160</v>
      </c>
      <c r="I110" s="746" t="s">
        <v>144</v>
      </c>
      <c r="K110" s="730"/>
      <c r="L110" s="730"/>
    </row>
    <row r="111">
      <c r="A111" s="222"/>
      <c r="D111" s="712" t="s">
        <v>162</v>
      </c>
      <c r="E111" s="712">
        <v>2.0</v>
      </c>
      <c r="F111" s="745"/>
      <c r="G111" s="732"/>
      <c r="H111" s="733" t="s">
        <v>164</v>
      </c>
      <c r="I111" s="774" t="s">
        <v>163</v>
      </c>
      <c r="K111" s="730"/>
      <c r="L111" s="730"/>
    </row>
    <row r="112">
      <c r="A112" s="222"/>
      <c r="D112" s="712" t="s">
        <v>131</v>
      </c>
      <c r="E112" s="712">
        <v>1.0</v>
      </c>
      <c r="F112" s="713"/>
      <c r="G112" s="713"/>
      <c r="H112" s="715" t="s">
        <v>132</v>
      </c>
      <c r="I112" s="774" t="s">
        <v>105</v>
      </c>
      <c r="K112" s="730"/>
      <c r="L112" s="730"/>
    </row>
    <row r="113">
      <c r="A113" s="236"/>
      <c r="B113" s="237"/>
      <c r="C113" s="237"/>
      <c r="D113" s="649" t="s">
        <v>22</v>
      </c>
      <c r="E113" s="649">
        <v>2.0</v>
      </c>
      <c r="F113" s="876"/>
      <c r="G113" s="877"/>
      <c r="H113" s="878" t="s">
        <v>265</v>
      </c>
      <c r="I113" s="879" t="s">
        <v>23</v>
      </c>
      <c r="J113" s="3" t="s">
        <v>1141</v>
      </c>
      <c r="K113" s="730"/>
      <c r="L113" s="730"/>
    </row>
    <row r="114">
      <c r="A114" s="636" t="s">
        <v>1142</v>
      </c>
      <c r="B114" s="658" t="s">
        <v>310</v>
      </c>
      <c r="C114" s="723">
        <f>sum(E114:E118)</f>
        <v>11</v>
      </c>
      <c r="D114" s="856" t="s">
        <v>70</v>
      </c>
      <c r="E114" s="856">
        <v>2.0</v>
      </c>
      <c r="F114" s="56"/>
      <c r="G114" s="58"/>
      <c r="H114" s="880" t="s">
        <v>237</v>
      </c>
      <c r="I114" s="857" t="s">
        <v>65</v>
      </c>
      <c r="K114" s="730"/>
      <c r="L114" s="730"/>
    </row>
    <row r="115">
      <c r="A115" s="222"/>
      <c r="D115" s="712" t="s">
        <v>143</v>
      </c>
      <c r="E115" s="712">
        <v>5.0</v>
      </c>
      <c r="F115" s="772"/>
      <c r="G115" s="772"/>
      <c r="H115" s="715" t="s">
        <v>145</v>
      </c>
      <c r="I115" s="773" t="s">
        <v>144</v>
      </c>
      <c r="K115" s="730"/>
      <c r="L115" s="730"/>
    </row>
    <row r="116">
      <c r="A116" s="222"/>
      <c r="D116" s="712" t="s">
        <v>166</v>
      </c>
      <c r="E116" s="712">
        <v>2.0</v>
      </c>
      <c r="F116" s="772"/>
      <c r="G116" s="772"/>
      <c r="H116" s="715" t="s">
        <v>167</v>
      </c>
      <c r="I116" s="774" t="s">
        <v>163</v>
      </c>
      <c r="K116" s="730"/>
      <c r="L116" s="730"/>
    </row>
    <row r="117">
      <c r="A117" s="222"/>
      <c r="D117" s="800" t="s">
        <v>185</v>
      </c>
      <c r="E117" s="801">
        <v>1.0</v>
      </c>
      <c r="F117" s="3"/>
      <c r="G117" s="478"/>
      <c r="H117" s="802" t="s">
        <v>187</v>
      </c>
      <c r="I117" s="803" t="s">
        <v>186</v>
      </c>
      <c r="K117" s="730"/>
      <c r="L117" s="730"/>
    </row>
    <row r="118">
      <c r="A118" s="236"/>
      <c r="B118" s="237"/>
      <c r="C118" s="237"/>
      <c r="D118" s="649" t="s">
        <v>140</v>
      </c>
      <c r="E118" s="649">
        <v>1.0</v>
      </c>
      <c r="F118" s="650"/>
      <c r="G118" s="650"/>
      <c r="H118" s="878" t="s">
        <v>141</v>
      </c>
      <c r="I118" s="879" t="s">
        <v>105</v>
      </c>
      <c r="K118" s="730"/>
      <c r="L118" s="730"/>
    </row>
    <row r="119">
      <c r="A119" s="636" t="s">
        <v>1143</v>
      </c>
      <c r="B119" s="658" t="s">
        <v>338</v>
      </c>
      <c r="C119" s="723">
        <f>sum(E119:E122)</f>
        <v>11</v>
      </c>
      <c r="D119" s="872" t="s">
        <v>61</v>
      </c>
      <c r="E119" s="872">
        <v>2.0</v>
      </c>
      <c r="F119" s="873"/>
      <c r="G119" s="842"/>
      <c r="H119" s="842" t="s">
        <v>62</v>
      </c>
      <c r="I119" s="881" t="s">
        <v>43</v>
      </c>
      <c r="K119" s="730"/>
      <c r="L119" s="730"/>
    </row>
    <row r="120">
      <c r="A120" s="222"/>
      <c r="D120" s="781" t="s">
        <v>76</v>
      </c>
      <c r="E120" s="781">
        <v>4.0</v>
      </c>
      <c r="F120" s="62"/>
      <c r="G120" s="63"/>
      <c r="H120" s="63" t="s">
        <v>1085</v>
      </c>
      <c r="I120" s="882" t="s">
        <v>65</v>
      </c>
      <c r="K120" s="730"/>
      <c r="L120" s="730"/>
    </row>
    <row r="121">
      <c r="A121" s="222"/>
      <c r="D121" s="758" t="s">
        <v>1144</v>
      </c>
      <c r="E121" s="758">
        <v>2.0</v>
      </c>
      <c r="F121" s="731"/>
      <c r="G121" s="732"/>
      <c r="H121" s="883" t="s">
        <v>1145</v>
      </c>
      <c r="I121" s="884" t="s">
        <v>105</v>
      </c>
      <c r="K121" s="730"/>
      <c r="L121" s="730"/>
    </row>
    <row r="122">
      <c r="A122" s="236"/>
      <c r="B122" s="237"/>
      <c r="C122" s="237"/>
      <c r="D122" s="764" t="s">
        <v>175</v>
      </c>
      <c r="E122" s="764">
        <v>3.0</v>
      </c>
      <c r="F122" s="766"/>
      <c r="G122" s="766"/>
      <c r="H122" s="767" t="s">
        <v>232</v>
      </c>
      <c r="I122" s="879" t="s">
        <v>176</v>
      </c>
      <c r="K122" s="730"/>
      <c r="L122" s="730"/>
    </row>
    <row r="123">
      <c r="A123" s="636" t="s">
        <v>1146</v>
      </c>
      <c r="B123" s="658" t="s">
        <v>338</v>
      </c>
      <c r="C123" s="723">
        <f>sum(E123:E129)</f>
        <v>10</v>
      </c>
      <c r="D123" s="487" t="s">
        <v>36</v>
      </c>
      <c r="E123" s="487">
        <v>1.0</v>
      </c>
      <c r="F123" s="488"/>
      <c r="G123" s="488"/>
      <c r="H123" s="885" t="s">
        <v>37</v>
      </c>
      <c r="I123" s="514" t="s">
        <v>30</v>
      </c>
      <c r="K123" s="730"/>
      <c r="L123" s="730"/>
    </row>
    <row r="124">
      <c r="A124" s="222"/>
      <c r="D124" s="844" t="s">
        <v>11</v>
      </c>
      <c r="E124" s="844">
        <v>2.0</v>
      </c>
      <c r="F124" s="845"/>
      <c r="G124" s="845"/>
      <c r="H124" s="845" t="s">
        <v>294</v>
      </c>
      <c r="I124" s="846" t="s">
        <v>7</v>
      </c>
      <c r="K124" s="730"/>
      <c r="L124" s="730"/>
    </row>
    <row r="125">
      <c r="A125" s="222"/>
      <c r="D125" s="712" t="s">
        <v>52</v>
      </c>
      <c r="E125" s="712">
        <v>1.0</v>
      </c>
      <c r="F125" s="731"/>
      <c r="G125" s="732"/>
      <c r="H125" s="733" t="s">
        <v>53</v>
      </c>
      <c r="I125" s="774" t="s">
        <v>43</v>
      </c>
      <c r="K125" s="730"/>
      <c r="L125" s="730"/>
    </row>
    <row r="126">
      <c r="A126" s="222"/>
      <c r="D126" s="299" t="s">
        <v>150</v>
      </c>
      <c r="E126" s="299">
        <v>2.0</v>
      </c>
      <c r="F126" s="250"/>
      <c r="G126" s="251"/>
      <c r="H126" s="886" t="s">
        <v>151</v>
      </c>
      <c r="I126" s="415" t="s">
        <v>144</v>
      </c>
      <c r="K126" s="730"/>
      <c r="L126" s="730"/>
    </row>
    <row r="127">
      <c r="A127" s="222"/>
      <c r="D127" s="747" t="s">
        <v>162</v>
      </c>
      <c r="E127" s="712">
        <v>2.0</v>
      </c>
      <c r="F127" s="745"/>
      <c r="G127" s="732"/>
      <c r="H127" s="733" t="s">
        <v>164</v>
      </c>
      <c r="I127" s="737" t="s">
        <v>163</v>
      </c>
      <c r="K127" s="730"/>
      <c r="L127" s="730"/>
    </row>
    <row r="128">
      <c r="A128" s="222"/>
      <c r="D128" s="712" t="s">
        <v>120</v>
      </c>
      <c r="E128" s="712">
        <v>1.0</v>
      </c>
      <c r="F128" s="713"/>
      <c r="G128" s="713"/>
      <c r="H128" s="715" t="s">
        <v>289</v>
      </c>
      <c r="I128" s="737" t="s">
        <v>105</v>
      </c>
      <c r="K128" s="730"/>
      <c r="L128" s="730"/>
    </row>
    <row r="129">
      <c r="A129" s="236"/>
      <c r="B129" s="237"/>
      <c r="C129" s="237"/>
      <c r="D129" s="649" t="s">
        <v>239</v>
      </c>
      <c r="E129" s="649">
        <v>1.0</v>
      </c>
      <c r="F129" s="775"/>
      <c r="G129" s="776"/>
      <c r="H129" s="767" t="s">
        <v>115</v>
      </c>
      <c r="I129" s="777" t="s">
        <v>105</v>
      </c>
      <c r="K129" s="730"/>
      <c r="L129" s="730"/>
    </row>
    <row r="130">
      <c r="A130" s="636" t="s">
        <v>1147</v>
      </c>
      <c r="B130" s="658" t="s">
        <v>388</v>
      </c>
      <c r="C130" s="723">
        <f>sum(E130:E135)</f>
        <v>10</v>
      </c>
      <c r="D130" s="778" t="s">
        <v>162</v>
      </c>
      <c r="E130" s="725">
        <v>2.0</v>
      </c>
      <c r="F130" s="779"/>
      <c r="G130" s="727"/>
      <c r="H130" s="728" t="s">
        <v>164</v>
      </c>
      <c r="I130" s="729" t="s">
        <v>163</v>
      </c>
      <c r="K130" s="730"/>
      <c r="L130" s="730"/>
    </row>
    <row r="131">
      <c r="A131" s="222"/>
      <c r="D131" s="712" t="s">
        <v>159</v>
      </c>
      <c r="E131" s="712">
        <v>1.0</v>
      </c>
      <c r="F131" s="772"/>
      <c r="G131" s="772"/>
      <c r="H131" s="733" t="s">
        <v>160</v>
      </c>
      <c r="I131" s="773" t="s">
        <v>144</v>
      </c>
      <c r="K131" s="730"/>
      <c r="L131" s="730"/>
    </row>
    <row r="132">
      <c r="A132" s="222"/>
      <c r="D132" s="260" t="s">
        <v>229</v>
      </c>
      <c r="E132" s="260">
        <v>2.0</v>
      </c>
      <c r="F132" s="261"/>
      <c r="G132" s="261"/>
      <c r="H132" s="887" t="s">
        <v>69</v>
      </c>
      <c r="I132" s="263" t="s">
        <v>65</v>
      </c>
      <c r="K132" s="730"/>
      <c r="L132" s="730"/>
    </row>
    <row r="133">
      <c r="A133" s="222"/>
      <c r="D133" s="333" t="s">
        <v>101</v>
      </c>
      <c r="E133" s="333">
        <v>2.0</v>
      </c>
      <c r="F133" s="296"/>
      <c r="G133" s="296"/>
      <c r="H133" s="888" t="s">
        <v>102</v>
      </c>
      <c r="I133" s="297" t="s">
        <v>98</v>
      </c>
      <c r="K133" s="730"/>
      <c r="L133" s="730"/>
    </row>
    <row r="134">
      <c r="A134" s="222"/>
      <c r="D134" s="712" t="s">
        <v>239</v>
      </c>
      <c r="E134" s="712">
        <v>1.0</v>
      </c>
      <c r="F134" s="738"/>
      <c r="G134" s="739"/>
      <c r="H134" s="733" t="s">
        <v>115</v>
      </c>
      <c r="I134" s="737" t="s">
        <v>105</v>
      </c>
      <c r="K134" s="730"/>
      <c r="L134" s="730"/>
    </row>
    <row r="135">
      <c r="A135" s="236"/>
      <c r="B135" s="237"/>
      <c r="C135" s="237"/>
      <c r="D135" s="764" t="s">
        <v>1148</v>
      </c>
      <c r="E135" s="764">
        <v>2.0</v>
      </c>
      <c r="F135" s="765"/>
      <c r="G135" s="766"/>
      <c r="H135" s="767" t="s">
        <v>1149</v>
      </c>
      <c r="I135" s="830" t="s">
        <v>105</v>
      </c>
      <c r="K135" s="730"/>
      <c r="L135" s="730"/>
    </row>
    <row r="136">
      <c r="A136" s="349" t="s">
        <v>1150</v>
      </c>
      <c r="B136" s="635" t="s">
        <v>259</v>
      </c>
      <c r="C136" s="723">
        <f>sum(E136:E140)</f>
        <v>10</v>
      </c>
      <c r="D136" s="725" t="s">
        <v>143</v>
      </c>
      <c r="E136" s="725">
        <v>5.0</v>
      </c>
      <c r="F136" s="831"/>
      <c r="G136" s="831"/>
      <c r="H136" s="832" t="s">
        <v>145</v>
      </c>
      <c r="I136" s="889" t="s">
        <v>144</v>
      </c>
      <c r="K136" s="730"/>
      <c r="L136" s="730"/>
    </row>
    <row r="137">
      <c r="A137" s="222"/>
      <c r="D137" s="747" t="s">
        <v>162</v>
      </c>
      <c r="E137" s="712">
        <v>2.0</v>
      </c>
      <c r="F137" s="745"/>
      <c r="G137" s="732"/>
      <c r="H137" s="733" t="s">
        <v>164</v>
      </c>
      <c r="I137" s="737" t="s">
        <v>163</v>
      </c>
      <c r="K137" s="730"/>
      <c r="L137" s="730"/>
    </row>
    <row r="138">
      <c r="A138" s="222"/>
      <c r="D138" s="712" t="s">
        <v>239</v>
      </c>
      <c r="E138" s="712">
        <v>1.0</v>
      </c>
      <c r="F138" s="738"/>
      <c r="G138" s="739"/>
      <c r="H138" s="733" t="s">
        <v>115</v>
      </c>
      <c r="I138" s="737" t="s">
        <v>105</v>
      </c>
      <c r="K138" s="730"/>
      <c r="L138" s="730"/>
    </row>
    <row r="139">
      <c r="A139" s="222"/>
      <c r="D139" s="890" t="s">
        <v>117</v>
      </c>
      <c r="E139" s="890">
        <v>1.0</v>
      </c>
      <c r="F139" s="891"/>
      <c r="G139" s="891"/>
      <c r="H139" s="891" t="s">
        <v>238</v>
      </c>
      <c r="I139" s="884" t="s">
        <v>105</v>
      </c>
      <c r="K139" s="730"/>
      <c r="L139" s="730"/>
    </row>
    <row r="140">
      <c r="A140" s="236"/>
      <c r="B140" s="237"/>
      <c r="C140" s="237"/>
      <c r="D140" s="649" t="s">
        <v>120</v>
      </c>
      <c r="E140" s="649">
        <v>1.0</v>
      </c>
      <c r="F140" s="650"/>
      <c r="G140" s="650"/>
      <c r="H140" s="878" t="s">
        <v>289</v>
      </c>
      <c r="I140" s="777" t="s">
        <v>105</v>
      </c>
      <c r="K140" s="730"/>
      <c r="L140" s="730"/>
    </row>
    <row r="141">
      <c r="A141" s="892" t="s">
        <v>1151</v>
      </c>
      <c r="B141" s="893" t="s">
        <v>586</v>
      </c>
      <c r="C141" s="723">
        <f>sum(E141:E145)</f>
        <v>10</v>
      </c>
      <c r="D141" s="778" t="s">
        <v>162</v>
      </c>
      <c r="E141" s="725">
        <v>2.0</v>
      </c>
      <c r="F141" s="779"/>
      <c r="G141" s="727"/>
      <c r="H141" s="728" t="s">
        <v>164</v>
      </c>
      <c r="I141" s="729" t="s">
        <v>163</v>
      </c>
      <c r="K141" s="730"/>
      <c r="L141" s="730"/>
    </row>
    <row r="142">
      <c r="A142" s="222"/>
      <c r="D142" s="748" t="s">
        <v>179</v>
      </c>
      <c r="E142" s="749">
        <v>2.0</v>
      </c>
      <c r="F142" s="151"/>
      <c r="G142" s="152"/>
      <c r="H142" s="152" t="s">
        <v>180</v>
      </c>
      <c r="I142" s="751" t="s">
        <v>176</v>
      </c>
      <c r="K142" s="730"/>
      <c r="L142" s="730"/>
    </row>
    <row r="143">
      <c r="A143" s="222"/>
      <c r="D143" s="894" t="s">
        <v>39</v>
      </c>
      <c r="E143" s="895">
        <v>1.0</v>
      </c>
      <c r="F143" s="34"/>
      <c r="G143" s="36"/>
      <c r="H143" s="36" t="s">
        <v>40</v>
      </c>
      <c r="I143" s="734" t="s">
        <v>30</v>
      </c>
      <c r="K143" s="730"/>
      <c r="L143" s="730"/>
    </row>
    <row r="144">
      <c r="A144" s="222"/>
      <c r="D144" s="712" t="s">
        <v>306</v>
      </c>
      <c r="E144" s="712">
        <v>3.0</v>
      </c>
      <c r="F144" s="731"/>
      <c r="G144" s="732"/>
      <c r="H144" s="733" t="s">
        <v>31</v>
      </c>
      <c r="I144" s="734" t="s">
        <v>30</v>
      </c>
      <c r="K144" s="730"/>
      <c r="L144" s="730"/>
    </row>
    <row r="145">
      <c r="A145" s="236"/>
      <c r="B145" s="237"/>
      <c r="C145" s="237"/>
      <c r="D145" s="896" t="s">
        <v>22</v>
      </c>
      <c r="E145" s="649">
        <v>2.0</v>
      </c>
      <c r="F145" s="897"/>
      <c r="G145" s="766"/>
      <c r="H145" s="767" t="s">
        <v>265</v>
      </c>
      <c r="I145" s="777" t="s">
        <v>23</v>
      </c>
      <c r="K145" s="730"/>
      <c r="L145" s="730"/>
    </row>
    <row r="146">
      <c r="A146" s="349" t="s">
        <v>1152</v>
      </c>
      <c r="B146" s="658" t="s">
        <v>1153</v>
      </c>
      <c r="C146" s="723">
        <f>sum(E146:E153)</f>
        <v>10</v>
      </c>
      <c r="D146" s="725" t="s">
        <v>239</v>
      </c>
      <c r="E146" s="725">
        <v>1.0</v>
      </c>
      <c r="F146" s="752"/>
      <c r="G146" s="753"/>
      <c r="H146" s="728" t="s">
        <v>115</v>
      </c>
      <c r="I146" s="729" t="s">
        <v>105</v>
      </c>
      <c r="K146" s="730"/>
      <c r="L146" s="730"/>
    </row>
    <row r="147">
      <c r="A147" s="222"/>
      <c r="D147" s="813" t="s">
        <v>162</v>
      </c>
      <c r="E147" s="813">
        <v>2.0</v>
      </c>
      <c r="F147" s="814"/>
      <c r="G147" s="814"/>
      <c r="H147" s="814" t="s">
        <v>164</v>
      </c>
      <c r="I147" s="815" t="s">
        <v>163</v>
      </c>
      <c r="K147" s="730"/>
      <c r="L147" s="730"/>
    </row>
    <row r="148">
      <c r="A148" s="222"/>
      <c r="D148" s="712" t="s">
        <v>131</v>
      </c>
      <c r="E148" s="712">
        <v>1.0</v>
      </c>
      <c r="F148" s="713"/>
      <c r="G148" s="713"/>
      <c r="H148" s="715" t="s">
        <v>132</v>
      </c>
      <c r="I148" s="737" t="s">
        <v>105</v>
      </c>
      <c r="K148" s="730"/>
      <c r="L148" s="730"/>
    </row>
    <row r="149">
      <c r="A149" s="222"/>
      <c r="D149" s="286" t="s">
        <v>88</v>
      </c>
      <c r="E149" s="286">
        <v>1.0</v>
      </c>
      <c r="F149" s="261"/>
      <c r="G149" s="261"/>
      <c r="H149" s="898" t="s">
        <v>89</v>
      </c>
      <c r="I149" s="263" t="s">
        <v>65</v>
      </c>
      <c r="K149" s="730"/>
      <c r="L149" s="730"/>
    </row>
    <row r="150">
      <c r="A150" s="222"/>
      <c r="D150" s="894" t="s">
        <v>39</v>
      </c>
      <c r="E150" s="895">
        <v>1.0</v>
      </c>
      <c r="F150" s="34"/>
      <c r="G150" s="36"/>
      <c r="H150" s="36" t="s">
        <v>40</v>
      </c>
      <c r="I150" s="734" t="s">
        <v>30</v>
      </c>
      <c r="K150" s="730"/>
      <c r="L150" s="730"/>
    </row>
    <row r="151">
      <c r="A151" s="222"/>
      <c r="D151" s="712" t="s">
        <v>22</v>
      </c>
      <c r="E151" s="712">
        <v>2.0</v>
      </c>
      <c r="F151" s="745"/>
      <c r="G151" s="732"/>
      <c r="H151" s="733" t="s">
        <v>265</v>
      </c>
      <c r="I151" s="737" t="s">
        <v>23</v>
      </c>
      <c r="K151" s="730"/>
      <c r="L151" s="730"/>
    </row>
    <row r="152">
      <c r="A152" s="222"/>
      <c r="D152" s="232" t="s">
        <v>129</v>
      </c>
      <c r="E152" s="232">
        <v>1.0</v>
      </c>
      <c r="F152" s="254"/>
      <c r="G152" s="254"/>
      <c r="H152" s="835" t="s">
        <v>130</v>
      </c>
      <c r="I152" s="298" t="s">
        <v>105</v>
      </c>
      <c r="K152" s="730"/>
      <c r="L152" s="730"/>
    </row>
    <row r="153">
      <c r="A153" s="236"/>
      <c r="B153" s="237"/>
      <c r="C153" s="237"/>
      <c r="D153" s="649" t="s">
        <v>120</v>
      </c>
      <c r="E153" s="649">
        <v>1.0</v>
      </c>
      <c r="F153" s="650"/>
      <c r="G153" s="650"/>
      <c r="H153" s="878" t="s">
        <v>289</v>
      </c>
      <c r="I153" s="777" t="s">
        <v>105</v>
      </c>
      <c r="K153" s="730"/>
      <c r="L153" s="730"/>
    </row>
    <row r="154">
      <c r="A154" s="636" t="s">
        <v>1154</v>
      </c>
      <c r="B154" s="658" t="s">
        <v>1155</v>
      </c>
      <c r="C154" s="723">
        <f>sum(E154:E159)</f>
        <v>10</v>
      </c>
      <c r="D154" s="725" t="s">
        <v>22</v>
      </c>
      <c r="E154" s="725">
        <v>2.0</v>
      </c>
      <c r="F154" s="779"/>
      <c r="G154" s="727"/>
      <c r="H154" s="728" t="s">
        <v>265</v>
      </c>
      <c r="I154" s="729" t="s">
        <v>23</v>
      </c>
      <c r="K154" s="730"/>
      <c r="L154" s="730"/>
    </row>
    <row r="155">
      <c r="A155" s="222"/>
      <c r="D155" s="279" t="s">
        <v>49</v>
      </c>
      <c r="E155" s="279">
        <v>2.0</v>
      </c>
      <c r="F155" s="280"/>
      <c r="G155" s="280"/>
      <c r="H155" s="834" t="s">
        <v>50</v>
      </c>
      <c r="I155" s="282" t="s">
        <v>43</v>
      </c>
      <c r="K155" s="730"/>
      <c r="L155" s="730"/>
    </row>
    <row r="156">
      <c r="A156" s="222"/>
      <c r="D156" s="260" t="s">
        <v>229</v>
      </c>
      <c r="E156" s="260">
        <v>2.0</v>
      </c>
      <c r="F156" s="261"/>
      <c r="G156" s="261"/>
      <c r="H156" s="887" t="s">
        <v>69</v>
      </c>
      <c r="I156" s="263" t="s">
        <v>65</v>
      </c>
      <c r="K156" s="730"/>
      <c r="L156" s="730"/>
    </row>
    <row r="157">
      <c r="A157" s="222"/>
      <c r="D157" s="712" t="s">
        <v>153</v>
      </c>
      <c r="E157" s="712">
        <v>2.0</v>
      </c>
      <c r="F157" s="745"/>
      <c r="G157" s="732"/>
      <c r="H157" s="733" t="s">
        <v>154</v>
      </c>
      <c r="I157" s="746" t="s">
        <v>144</v>
      </c>
      <c r="K157" s="730"/>
      <c r="L157" s="730"/>
    </row>
    <row r="158">
      <c r="A158" s="222"/>
      <c r="D158" s="712" t="s">
        <v>239</v>
      </c>
      <c r="E158" s="712">
        <v>1.0</v>
      </c>
      <c r="F158" s="738"/>
      <c r="G158" s="739"/>
      <c r="H158" s="733" t="s">
        <v>115</v>
      </c>
      <c r="I158" s="737" t="s">
        <v>105</v>
      </c>
      <c r="K158" s="730"/>
      <c r="L158" s="730"/>
    </row>
    <row r="159">
      <c r="A159" s="236"/>
      <c r="B159" s="237"/>
      <c r="C159" s="237"/>
      <c r="D159" s="649" t="s">
        <v>117</v>
      </c>
      <c r="E159" s="649">
        <v>1.0</v>
      </c>
      <c r="F159" s="766"/>
      <c r="G159" s="766"/>
      <c r="H159" s="767" t="s">
        <v>238</v>
      </c>
      <c r="I159" s="777" t="s">
        <v>105</v>
      </c>
      <c r="K159" s="730"/>
      <c r="L159" s="730"/>
    </row>
    <row r="160" ht="39.0" customHeight="1">
      <c r="A160" s="899" t="s">
        <v>467</v>
      </c>
      <c r="H160" s="900"/>
      <c r="I160" s="901"/>
      <c r="K160" s="730"/>
      <c r="L160" s="730"/>
    </row>
    <row r="161">
      <c r="A161" s="534" t="s">
        <v>1156</v>
      </c>
      <c r="B161" s="658" t="s">
        <v>350</v>
      </c>
      <c r="C161" s="723">
        <f>sum(E161:E167)</f>
        <v>9</v>
      </c>
      <c r="D161" s="725" t="s">
        <v>22</v>
      </c>
      <c r="E161" s="725">
        <v>2.0</v>
      </c>
      <c r="F161" s="779"/>
      <c r="G161" s="727"/>
      <c r="H161" s="728" t="s">
        <v>265</v>
      </c>
      <c r="I161" s="729" t="s">
        <v>23</v>
      </c>
      <c r="K161" s="730"/>
      <c r="L161" s="730"/>
    </row>
    <row r="162">
      <c r="A162" s="222"/>
      <c r="D162" s="894" t="s">
        <v>39</v>
      </c>
      <c r="E162" s="895">
        <v>1.0</v>
      </c>
      <c r="F162" s="34"/>
      <c r="G162" s="36"/>
      <c r="H162" s="36" t="s">
        <v>40</v>
      </c>
      <c r="I162" s="734" t="s">
        <v>30</v>
      </c>
      <c r="K162" s="730"/>
      <c r="L162" s="730"/>
    </row>
    <row r="163">
      <c r="A163" s="222"/>
      <c r="D163" s="279" t="s">
        <v>55</v>
      </c>
      <c r="E163" s="279">
        <v>1.0</v>
      </c>
      <c r="F163" s="316"/>
      <c r="G163" s="316"/>
      <c r="H163" s="834" t="s">
        <v>56</v>
      </c>
      <c r="I163" s="282" t="s">
        <v>43</v>
      </c>
      <c r="K163" s="730"/>
      <c r="L163" s="730"/>
    </row>
    <row r="164">
      <c r="A164" s="222"/>
      <c r="D164" s="747" t="s">
        <v>162</v>
      </c>
      <c r="E164" s="712">
        <v>2.0</v>
      </c>
      <c r="F164" s="745"/>
      <c r="G164" s="732"/>
      <c r="H164" s="733" t="s">
        <v>164</v>
      </c>
      <c r="I164" s="737" t="s">
        <v>163</v>
      </c>
      <c r="K164" s="730"/>
      <c r="L164" s="730"/>
    </row>
    <row r="165">
      <c r="A165" s="222"/>
      <c r="D165" s="712" t="s">
        <v>120</v>
      </c>
      <c r="E165" s="712">
        <v>1.0</v>
      </c>
      <c r="F165" s="713"/>
      <c r="G165" s="713"/>
      <c r="H165" s="715" t="s">
        <v>289</v>
      </c>
      <c r="I165" s="737" t="s">
        <v>105</v>
      </c>
      <c r="K165" s="730"/>
      <c r="L165" s="730"/>
    </row>
    <row r="166">
      <c r="A166" s="222"/>
      <c r="D166" s="712" t="s">
        <v>239</v>
      </c>
      <c r="E166" s="712">
        <v>1.0</v>
      </c>
      <c r="F166" s="738"/>
      <c r="G166" s="739"/>
      <c r="H166" s="733" t="s">
        <v>115</v>
      </c>
      <c r="I166" s="737" t="s">
        <v>105</v>
      </c>
      <c r="K166" s="730"/>
      <c r="L166" s="730"/>
    </row>
    <row r="167">
      <c r="A167" s="236"/>
      <c r="B167" s="237"/>
      <c r="C167" s="237"/>
      <c r="D167" s="287" t="s">
        <v>134</v>
      </c>
      <c r="E167" s="287">
        <v>1.0</v>
      </c>
      <c r="F167" s="404"/>
      <c r="G167" s="404"/>
      <c r="H167" s="902" t="s">
        <v>135</v>
      </c>
      <c r="I167" s="461" t="s">
        <v>105</v>
      </c>
      <c r="K167" s="730"/>
      <c r="L167" s="730"/>
    </row>
    <row r="168">
      <c r="A168" s="903" t="s">
        <v>491</v>
      </c>
      <c r="B168" s="817" t="s">
        <v>492</v>
      </c>
      <c r="C168" s="711">
        <f>sum(E168:E171)</f>
        <v>9</v>
      </c>
      <c r="D168" s="800" t="s">
        <v>254</v>
      </c>
      <c r="E168" s="712">
        <v>2.0</v>
      </c>
      <c r="F168" s="731"/>
      <c r="G168" s="732"/>
      <c r="H168" s="733" t="s">
        <v>255</v>
      </c>
      <c r="I168" s="737" t="s">
        <v>7</v>
      </c>
      <c r="K168" s="730"/>
      <c r="L168" s="730"/>
    </row>
    <row r="169">
      <c r="A169" s="222"/>
      <c r="D169" s="758" t="s">
        <v>493</v>
      </c>
      <c r="E169" s="758">
        <v>3.0</v>
      </c>
      <c r="F169" s="731"/>
      <c r="G169" s="732"/>
      <c r="H169" s="733" t="s">
        <v>494</v>
      </c>
      <c r="I169" s="737" t="s">
        <v>98</v>
      </c>
      <c r="K169" s="730"/>
      <c r="L169" s="730"/>
    </row>
    <row r="170">
      <c r="A170" s="222"/>
      <c r="D170" s="735" t="s">
        <v>58</v>
      </c>
      <c r="E170" s="735">
        <v>1.0</v>
      </c>
      <c r="F170" s="214"/>
      <c r="G170" s="214"/>
      <c r="H170" s="736" t="s">
        <v>59</v>
      </c>
      <c r="I170" s="737" t="s">
        <v>43</v>
      </c>
      <c r="K170" s="730"/>
      <c r="L170" s="730"/>
    </row>
    <row r="171">
      <c r="A171" s="236"/>
      <c r="B171" s="237"/>
      <c r="C171" s="237"/>
      <c r="D171" s="712" t="s">
        <v>64</v>
      </c>
      <c r="E171" s="712">
        <v>3.0</v>
      </c>
      <c r="F171" s="738"/>
      <c r="G171" s="739"/>
      <c r="H171" s="733" t="s">
        <v>69</v>
      </c>
      <c r="I171" s="737" t="s">
        <v>65</v>
      </c>
      <c r="K171" s="730"/>
      <c r="L171" s="730"/>
    </row>
    <row r="172">
      <c r="A172" s="534" t="s">
        <v>1157</v>
      </c>
      <c r="B172" s="658" t="s">
        <v>1158</v>
      </c>
      <c r="C172" s="723">
        <f>sum(E172:E175)</f>
        <v>8</v>
      </c>
      <c r="D172" s="725" t="s">
        <v>143</v>
      </c>
      <c r="E172" s="725">
        <v>5.0</v>
      </c>
      <c r="F172" s="831"/>
      <c r="G172" s="831"/>
      <c r="H172" s="832" t="s">
        <v>145</v>
      </c>
      <c r="I172" s="904" t="s">
        <v>144</v>
      </c>
      <c r="J172" s="727"/>
      <c r="K172" s="905"/>
      <c r="L172" s="905"/>
      <c r="M172" s="727"/>
      <c r="N172" s="727"/>
      <c r="O172" s="727"/>
      <c r="P172" s="727"/>
      <c r="Q172" s="727"/>
      <c r="R172" s="727"/>
      <c r="S172" s="727"/>
      <c r="T172" s="727"/>
      <c r="U172" s="727"/>
      <c r="V172" s="727"/>
      <c r="W172" s="727"/>
      <c r="X172" s="727"/>
      <c r="Y172" s="727"/>
      <c r="Z172" s="727"/>
      <c r="AA172" s="727"/>
      <c r="AB172" s="727"/>
      <c r="AC172" s="906"/>
    </row>
    <row r="173">
      <c r="A173" s="222"/>
      <c r="D173" s="800" t="s">
        <v>185</v>
      </c>
      <c r="E173" s="801">
        <v>1.0</v>
      </c>
      <c r="F173" s="3"/>
      <c r="G173" s="478"/>
      <c r="H173" s="802" t="s">
        <v>187</v>
      </c>
      <c r="I173" s="907" t="s">
        <v>186</v>
      </c>
      <c r="K173" s="730"/>
      <c r="L173" s="730"/>
      <c r="AC173" s="908"/>
    </row>
    <row r="174">
      <c r="A174" s="222"/>
      <c r="D174" s="712" t="s">
        <v>239</v>
      </c>
      <c r="E174" s="712">
        <v>1.0</v>
      </c>
      <c r="F174" s="738"/>
      <c r="G174" s="739"/>
      <c r="H174" s="733" t="s">
        <v>115</v>
      </c>
      <c r="I174" s="730" t="s">
        <v>105</v>
      </c>
      <c r="K174" s="730"/>
      <c r="L174" s="730"/>
      <c r="AC174" s="908"/>
    </row>
    <row r="175">
      <c r="A175" s="236"/>
      <c r="B175" s="237"/>
      <c r="C175" s="237"/>
      <c r="D175" s="649" t="s">
        <v>131</v>
      </c>
      <c r="E175" s="649">
        <v>1.0</v>
      </c>
      <c r="F175" s="650"/>
      <c r="G175" s="650"/>
      <c r="H175" s="878" t="s">
        <v>132</v>
      </c>
      <c r="I175" s="909" t="s">
        <v>105</v>
      </c>
      <c r="J175" s="766"/>
      <c r="K175" s="909"/>
      <c r="L175" s="909"/>
      <c r="M175" s="766"/>
      <c r="N175" s="766"/>
      <c r="O175" s="766"/>
      <c r="P175" s="766"/>
      <c r="Q175" s="766"/>
      <c r="R175" s="766"/>
      <c r="S175" s="766"/>
      <c r="T175" s="766"/>
      <c r="U175" s="766"/>
      <c r="V175" s="766"/>
      <c r="W175" s="766"/>
      <c r="X175" s="766"/>
      <c r="Y175" s="766"/>
      <c r="Z175" s="766"/>
      <c r="AA175" s="766"/>
      <c r="AB175" s="766"/>
      <c r="AC175" s="910"/>
    </row>
    <row r="176">
      <c r="A176" s="636" t="s">
        <v>1159</v>
      </c>
      <c r="B176" s="658" t="s">
        <v>338</v>
      </c>
      <c r="C176" s="723">
        <f>sum(E176:E179)</f>
        <v>7</v>
      </c>
      <c r="D176" s="724" t="s">
        <v>1160</v>
      </c>
      <c r="E176" s="725">
        <v>4.0</v>
      </c>
      <c r="F176" s="726"/>
      <c r="G176" s="727"/>
      <c r="H176" s="728" t="s">
        <v>1161</v>
      </c>
      <c r="I176" s="729" t="s">
        <v>7</v>
      </c>
      <c r="K176" s="730"/>
      <c r="L176" s="730"/>
    </row>
    <row r="177">
      <c r="A177" s="222"/>
      <c r="D177" s="800" t="s">
        <v>126</v>
      </c>
      <c r="E177" s="712">
        <v>1.0</v>
      </c>
      <c r="F177" s="911" t="s">
        <v>339</v>
      </c>
      <c r="G177" s="912" t="s">
        <v>343</v>
      </c>
      <c r="H177" s="733" t="s">
        <v>127</v>
      </c>
      <c r="I177" s="737" t="s">
        <v>105</v>
      </c>
      <c r="K177" s="730"/>
      <c r="L177" s="730"/>
    </row>
    <row r="178">
      <c r="A178" s="222"/>
      <c r="D178" s="735" t="s">
        <v>58</v>
      </c>
      <c r="E178" s="735">
        <v>1.0</v>
      </c>
      <c r="F178" s="214"/>
      <c r="G178" s="214"/>
      <c r="H178" s="736" t="s">
        <v>59</v>
      </c>
      <c r="I178" s="737" t="s">
        <v>43</v>
      </c>
      <c r="K178" s="730"/>
      <c r="L178" s="730"/>
    </row>
    <row r="179">
      <c r="A179" s="236"/>
      <c r="B179" s="237"/>
      <c r="C179" s="237"/>
      <c r="D179" s="649" t="s">
        <v>239</v>
      </c>
      <c r="E179" s="649">
        <v>1.0</v>
      </c>
      <c r="F179" s="775"/>
      <c r="G179" s="776"/>
      <c r="H179" s="767" t="s">
        <v>115</v>
      </c>
      <c r="I179" s="737" t="s">
        <v>105</v>
      </c>
      <c r="K179" s="730"/>
      <c r="L179" s="730"/>
    </row>
    <row r="180">
      <c r="A180" s="860" t="s">
        <v>1162</v>
      </c>
      <c r="B180" s="861" t="s">
        <v>1163</v>
      </c>
      <c r="C180" s="723">
        <f>sum(E180:E183)</f>
        <v>7</v>
      </c>
      <c r="D180" s="792" t="s">
        <v>1164</v>
      </c>
      <c r="E180" s="792">
        <v>2.0</v>
      </c>
      <c r="F180" s="726"/>
      <c r="G180" s="727"/>
      <c r="H180" s="913" t="s">
        <v>1165</v>
      </c>
      <c r="I180" s="729" t="s">
        <v>65</v>
      </c>
      <c r="K180" s="730"/>
      <c r="L180" s="730"/>
    </row>
    <row r="181">
      <c r="A181" s="222"/>
      <c r="D181" s="758" t="s">
        <v>175</v>
      </c>
      <c r="E181" s="758">
        <v>3.0</v>
      </c>
      <c r="F181" s="732"/>
      <c r="G181" s="732"/>
      <c r="H181" s="733" t="s">
        <v>232</v>
      </c>
      <c r="I181" s="737" t="s">
        <v>176</v>
      </c>
      <c r="K181" s="730"/>
      <c r="L181" s="730"/>
    </row>
    <row r="182">
      <c r="A182" s="222"/>
      <c r="D182" s="758" t="s">
        <v>1166</v>
      </c>
      <c r="E182" s="758">
        <v>1.0</v>
      </c>
      <c r="F182" s="731"/>
      <c r="G182" s="732"/>
      <c r="H182" s="3" t="s">
        <v>1167</v>
      </c>
      <c r="I182" s="737" t="s">
        <v>163</v>
      </c>
      <c r="K182" s="730"/>
      <c r="L182" s="730"/>
    </row>
    <row r="183">
      <c r="A183" s="236"/>
      <c r="B183" s="237"/>
      <c r="C183" s="237"/>
      <c r="D183" s="764" t="s">
        <v>1168</v>
      </c>
      <c r="E183" s="764">
        <v>1.0</v>
      </c>
      <c r="F183" s="765"/>
      <c r="G183" s="766"/>
      <c r="H183" s="914" t="s">
        <v>1169</v>
      </c>
      <c r="I183" s="777" t="s">
        <v>105</v>
      </c>
      <c r="K183" s="730"/>
      <c r="L183" s="730"/>
    </row>
    <row r="184">
      <c r="A184" s="660" t="s">
        <v>1170</v>
      </c>
      <c r="B184" s="439" t="s">
        <v>1171</v>
      </c>
      <c r="C184" s="550">
        <f>sum(E184:E189)</f>
        <v>7</v>
      </c>
      <c r="D184" s="915" t="s">
        <v>26</v>
      </c>
      <c r="E184" s="916">
        <v>1.0</v>
      </c>
      <c r="F184" s="917"/>
      <c r="G184" s="917"/>
      <c r="H184" s="917" t="s">
        <v>27</v>
      </c>
      <c r="I184" s="918" t="s">
        <v>23</v>
      </c>
      <c r="K184" s="730"/>
      <c r="L184" s="730"/>
    </row>
    <row r="185">
      <c r="A185" s="222"/>
      <c r="D185" s="919" t="s">
        <v>33</v>
      </c>
      <c r="E185" s="919">
        <v>1.0</v>
      </c>
      <c r="F185" s="920"/>
      <c r="G185" s="920"/>
      <c r="H185" s="920" t="s">
        <v>34</v>
      </c>
      <c r="I185" s="921" t="s">
        <v>30</v>
      </c>
      <c r="K185" s="730"/>
      <c r="L185" s="730"/>
    </row>
    <row r="186">
      <c r="A186" s="222"/>
      <c r="D186" s="922" t="s">
        <v>58</v>
      </c>
      <c r="E186" s="922">
        <v>1.0</v>
      </c>
      <c r="F186" s="923"/>
      <c r="G186" s="923"/>
      <c r="H186" s="923" t="s">
        <v>59</v>
      </c>
      <c r="I186" s="924" t="s">
        <v>43</v>
      </c>
      <c r="K186" s="730"/>
      <c r="L186" s="730"/>
    </row>
    <row r="187">
      <c r="A187" s="222"/>
      <c r="D187" s="890" t="s">
        <v>117</v>
      </c>
      <c r="E187" s="890">
        <v>1.0</v>
      </c>
      <c r="F187" s="891"/>
      <c r="G187" s="891"/>
      <c r="H187" s="891" t="s">
        <v>238</v>
      </c>
      <c r="I187" s="884" t="s">
        <v>105</v>
      </c>
      <c r="K187" s="730"/>
      <c r="L187" s="730"/>
    </row>
    <row r="188">
      <c r="A188" s="222"/>
      <c r="D188" s="759" t="s">
        <v>189</v>
      </c>
      <c r="E188" s="760">
        <v>1.0</v>
      </c>
      <c r="F188" s="761"/>
      <c r="G188" s="761"/>
      <c r="H188" s="761" t="s">
        <v>190</v>
      </c>
      <c r="I188" s="762" t="s">
        <v>186</v>
      </c>
      <c r="K188" s="730"/>
      <c r="L188" s="730"/>
    </row>
    <row r="189">
      <c r="A189" s="236"/>
      <c r="B189" s="237"/>
      <c r="C189" s="237"/>
      <c r="D189" s="925" t="s">
        <v>162</v>
      </c>
      <c r="E189" s="925">
        <v>2.0</v>
      </c>
      <c r="F189" s="926"/>
      <c r="G189" s="926"/>
      <c r="H189" s="926" t="s">
        <v>164</v>
      </c>
      <c r="I189" s="927" t="s">
        <v>163</v>
      </c>
      <c r="K189" s="730"/>
      <c r="L189" s="730"/>
    </row>
    <row r="190">
      <c r="A190" s="928" t="s">
        <v>716</v>
      </c>
      <c r="B190" s="237"/>
      <c r="C190" s="237"/>
      <c r="D190" s="237"/>
      <c r="E190" s="237"/>
      <c r="F190" s="237"/>
      <c r="G190" s="237"/>
      <c r="H190" s="929"/>
      <c r="I190" s="930"/>
      <c r="K190" s="730"/>
      <c r="L190" s="730"/>
    </row>
    <row r="191">
      <c r="A191" s="534" t="s">
        <v>1172</v>
      </c>
      <c r="B191" s="658" t="s">
        <v>492</v>
      </c>
      <c r="C191" s="723">
        <f>sum(E191:E193)</f>
        <v>5</v>
      </c>
      <c r="D191" s="931" t="s">
        <v>123</v>
      </c>
      <c r="E191" s="932">
        <v>1.0</v>
      </c>
      <c r="F191" s="933"/>
      <c r="G191" s="934"/>
      <c r="H191" s="934" t="s">
        <v>124</v>
      </c>
      <c r="I191" s="935" t="s">
        <v>105</v>
      </c>
      <c r="K191" s="730"/>
      <c r="L191" s="730"/>
    </row>
    <row r="192">
      <c r="A192" s="222"/>
      <c r="D192" s="712" t="s">
        <v>239</v>
      </c>
      <c r="E192" s="712">
        <v>1.0</v>
      </c>
      <c r="F192" s="738"/>
      <c r="G192" s="739"/>
      <c r="H192" s="733" t="s">
        <v>115</v>
      </c>
      <c r="I192" s="737" t="s">
        <v>105</v>
      </c>
      <c r="K192" s="730"/>
      <c r="L192" s="730"/>
    </row>
    <row r="193">
      <c r="A193" s="236"/>
      <c r="B193" s="237"/>
      <c r="C193" s="237"/>
      <c r="D193" s="936" t="s">
        <v>147</v>
      </c>
      <c r="E193" s="936">
        <v>3.0</v>
      </c>
      <c r="F193" s="937"/>
      <c r="G193" s="937"/>
      <c r="H193" s="937" t="s">
        <v>145</v>
      </c>
      <c r="I193" s="938" t="s">
        <v>144</v>
      </c>
      <c r="K193" s="730"/>
      <c r="L193" s="730"/>
    </row>
    <row r="194">
      <c r="A194" s="939" t="s">
        <v>1173</v>
      </c>
      <c r="B194" s="940" t="s">
        <v>582</v>
      </c>
      <c r="C194" s="711">
        <f>sum(E194:E195)</f>
        <v>5</v>
      </c>
      <c r="D194" s="747" t="s">
        <v>162</v>
      </c>
      <c r="E194" s="712">
        <v>2.0</v>
      </c>
      <c r="F194" s="745"/>
      <c r="G194" s="732"/>
      <c r="H194" s="733" t="s">
        <v>164</v>
      </c>
      <c r="I194" s="737" t="s">
        <v>163</v>
      </c>
      <c r="K194" s="730"/>
      <c r="L194" s="730"/>
    </row>
    <row r="195">
      <c r="A195" s="236"/>
      <c r="B195" s="237"/>
      <c r="C195" s="237"/>
      <c r="D195" s="758" t="s">
        <v>175</v>
      </c>
      <c r="E195" s="758">
        <v>3.0</v>
      </c>
      <c r="F195" s="732"/>
      <c r="G195" s="732"/>
      <c r="H195" s="733" t="s">
        <v>232</v>
      </c>
      <c r="I195" s="737" t="s">
        <v>176</v>
      </c>
      <c r="K195" s="730"/>
      <c r="L195" s="730"/>
    </row>
    <row r="196">
      <c r="A196" s="636" t="s">
        <v>771</v>
      </c>
      <c r="B196" s="658" t="s">
        <v>772</v>
      </c>
      <c r="C196" s="723">
        <f>sum(E196:E197)</f>
        <v>4</v>
      </c>
      <c r="D196" s="725" t="s">
        <v>120</v>
      </c>
      <c r="E196" s="725">
        <v>1.0</v>
      </c>
      <c r="F196" s="941"/>
      <c r="G196" s="941"/>
      <c r="H196" s="832" t="s">
        <v>289</v>
      </c>
      <c r="I196" s="729" t="s">
        <v>105</v>
      </c>
      <c r="K196" s="730"/>
      <c r="L196" s="730"/>
    </row>
    <row r="197">
      <c r="A197" s="236"/>
      <c r="B197" s="237"/>
      <c r="C197" s="237"/>
      <c r="D197" s="758" t="s">
        <v>773</v>
      </c>
      <c r="E197" s="758">
        <v>3.0</v>
      </c>
      <c r="F197" s="731"/>
      <c r="G197" s="731"/>
      <c r="H197" s="818" t="s">
        <v>774</v>
      </c>
      <c r="I197" s="737" t="s">
        <v>105</v>
      </c>
      <c r="K197" s="730"/>
      <c r="L197" s="730"/>
    </row>
    <row r="198">
      <c r="A198" s="678" t="s">
        <v>1174</v>
      </c>
      <c r="B198" s="942" t="s">
        <v>1175</v>
      </c>
      <c r="C198" s="943">
        <f>sum(E198)</f>
        <v>4</v>
      </c>
      <c r="D198" s="944" t="s">
        <v>1176</v>
      </c>
      <c r="E198" s="787">
        <v>4.0</v>
      </c>
      <c r="F198" s="945"/>
      <c r="G198" s="945"/>
      <c r="H198" s="946" t="s">
        <v>1177</v>
      </c>
      <c r="I198" s="947" t="s">
        <v>105</v>
      </c>
      <c r="K198" s="730"/>
      <c r="L198" s="730"/>
    </row>
    <row r="199">
      <c r="A199" s="817" t="s">
        <v>1178</v>
      </c>
      <c r="B199" s="817" t="s">
        <v>366</v>
      </c>
      <c r="C199" s="723">
        <f>sum(E199:E200)</f>
        <v>3</v>
      </c>
      <c r="D199" s="747" t="s">
        <v>162</v>
      </c>
      <c r="E199" s="712">
        <v>2.0</v>
      </c>
      <c r="F199" s="745"/>
      <c r="G199" s="732"/>
      <c r="H199" s="733" t="s">
        <v>164</v>
      </c>
      <c r="I199" s="737" t="s">
        <v>163</v>
      </c>
      <c r="K199" s="730"/>
      <c r="L199" s="730"/>
    </row>
    <row r="200">
      <c r="D200" s="780" t="s">
        <v>94</v>
      </c>
      <c r="E200" s="781">
        <v>1.0</v>
      </c>
      <c r="F200" s="62"/>
      <c r="G200" s="70"/>
      <c r="H200" s="782" t="s">
        <v>95</v>
      </c>
      <c r="I200" s="783" t="s">
        <v>65</v>
      </c>
      <c r="K200" s="730"/>
      <c r="L200" s="730"/>
    </row>
    <row r="201">
      <c r="A201" s="860" t="s">
        <v>1040</v>
      </c>
      <c r="B201" s="861" t="s">
        <v>1041</v>
      </c>
      <c r="C201" s="723">
        <f t="shared" ref="C201:C202" si="1">sum(E201)</f>
        <v>0</v>
      </c>
      <c r="D201" s="948" t="s">
        <v>1034</v>
      </c>
      <c r="E201" s="570"/>
      <c r="F201" s="570"/>
      <c r="G201" s="570"/>
      <c r="H201" s="570"/>
      <c r="I201" s="706"/>
      <c r="K201" s="730"/>
      <c r="L201" s="730"/>
    </row>
    <row r="202">
      <c r="A202" s="949" t="s">
        <v>1179</v>
      </c>
      <c r="B202" s="940" t="s">
        <v>677</v>
      </c>
      <c r="C202" s="723">
        <f t="shared" si="1"/>
        <v>0</v>
      </c>
      <c r="D202" s="948" t="s">
        <v>1034</v>
      </c>
      <c r="E202" s="570"/>
      <c r="F202" s="570"/>
      <c r="G202" s="570"/>
      <c r="H202" s="570"/>
      <c r="I202" s="706"/>
      <c r="K202" s="730"/>
      <c r="L202" s="730"/>
    </row>
    <row r="203">
      <c r="D203" s="738"/>
      <c r="E203" s="738"/>
      <c r="F203" s="731"/>
      <c r="H203" s="950"/>
      <c r="I203" s="951"/>
      <c r="K203" s="730"/>
      <c r="L203" s="730"/>
    </row>
    <row r="204">
      <c r="D204" s="738"/>
      <c r="E204" s="738"/>
      <c r="F204" s="731"/>
      <c r="H204" s="950"/>
      <c r="I204" s="951"/>
      <c r="K204" s="730"/>
      <c r="L204" s="730"/>
    </row>
    <row r="205">
      <c r="D205" s="738"/>
      <c r="E205" s="738"/>
      <c r="F205" s="731"/>
      <c r="H205" s="950"/>
      <c r="I205" s="951"/>
      <c r="K205" s="730"/>
      <c r="L205" s="730"/>
    </row>
    <row r="206">
      <c r="D206" s="738"/>
      <c r="E206" s="738"/>
      <c r="F206" s="731"/>
      <c r="H206" s="950"/>
      <c r="I206" s="951"/>
      <c r="K206" s="730"/>
      <c r="L206" s="730"/>
    </row>
    <row r="207">
      <c r="D207" s="738"/>
      <c r="E207" s="738"/>
      <c r="F207" s="731"/>
      <c r="H207" s="950"/>
      <c r="I207" s="951"/>
      <c r="K207" s="730"/>
      <c r="L207" s="730"/>
    </row>
    <row r="208">
      <c r="D208" s="738"/>
      <c r="E208" s="738"/>
      <c r="F208" s="731"/>
      <c r="H208" s="950"/>
      <c r="I208" s="951"/>
      <c r="K208" s="730"/>
      <c r="L208" s="730"/>
    </row>
    <row r="209">
      <c r="D209" s="738"/>
      <c r="E209" s="738"/>
      <c r="F209" s="731"/>
      <c r="H209" s="950"/>
      <c r="I209" s="951"/>
      <c r="K209" s="730"/>
      <c r="L209" s="730"/>
    </row>
    <row r="210">
      <c r="D210" s="738"/>
      <c r="E210" s="738"/>
      <c r="F210" s="731"/>
      <c r="H210" s="950"/>
      <c r="I210" s="951"/>
      <c r="K210" s="730"/>
      <c r="L210" s="730"/>
    </row>
    <row r="211">
      <c r="D211" s="738"/>
      <c r="E211" s="738"/>
      <c r="F211" s="731"/>
      <c r="H211" s="950"/>
      <c r="I211" s="951"/>
      <c r="K211" s="730"/>
      <c r="L211" s="730"/>
    </row>
    <row r="212">
      <c r="D212" s="738"/>
      <c r="E212" s="738"/>
      <c r="F212" s="731"/>
      <c r="H212" s="950"/>
      <c r="I212" s="951"/>
      <c r="K212" s="730"/>
      <c r="L212" s="730"/>
    </row>
    <row r="213">
      <c r="D213" s="738"/>
      <c r="E213" s="738"/>
      <c r="F213" s="731"/>
      <c r="H213" s="950"/>
      <c r="I213" s="951"/>
      <c r="K213" s="730"/>
      <c r="L213" s="730"/>
    </row>
    <row r="214">
      <c r="D214" s="738"/>
      <c r="E214" s="738"/>
      <c r="F214" s="731"/>
      <c r="H214" s="950"/>
      <c r="I214" s="951"/>
      <c r="K214" s="730"/>
      <c r="L214" s="730"/>
    </row>
    <row r="215">
      <c r="D215" s="738"/>
      <c r="E215" s="738"/>
      <c r="F215" s="731"/>
      <c r="H215" s="950"/>
      <c r="I215" s="951"/>
      <c r="K215" s="730"/>
      <c r="L215" s="730"/>
    </row>
    <row r="216">
      <c r="D216" s="738"/>
      <c r="E216" s="738"/>
      <c r="F216" s="731"/>
      <c r="H216" s="950"/>
      <c r="I216" s="951"/>
      <c r="K216" s="730"/>
      <c r="L216" s="730"/>
    </row>
    <row r="217">
      <c r="D217" s="738"/>
      <c r="E217" s="738"/>
      <c r="F217" s="731"/>
      <c r="H217" s="950"/>
      <c r="I217" s="951"/>
      <c r="K217" s="730"/>
      <c r="L217" s="730"/>
    </row>
    <row r="218">
      <c r="D218" s="738"/>
      <c r="E218" s="738"/>
      <c r="F218" s="731"/>
      <c r="H218" s="950"/>
      <c r="I218" s="951"/>
      <c r="K218" s="730"/>
      <c r="L218" s="730"/>
    </row>
    <row r="219">
      <c r="D219" s="738"/>
      <c r="E219" s="738"/>
      <c r="F219" s="731"/>
      <c r="H219" s="950"/>
      <c r="I219" s="951"/>
      <c r="K219" s="730"/>
      <c r="L219" s="730"/>
    </row>
    <row r="220">
      <c r="D220" s="738"/>
      <c r="E220" s="738"/>
      <c r="F220" s="731"/>
      <c r="H220" s="950"/>
      <c r="I220" s="951"/>
      <c r="K220" s="730"/>
      <c r="L220" s="730"/>
    </row>
    <row r="221">
      <c r="D221" s="738"/>
      <c r="E221" s="738"/>
      <c r="F221" s="731"/>
      <c r="H221" s="950"/>
      <c r="I221" s="951"/>
      <c r="K221" s="730"/>
      <c r="L221" s="730"/>
    </row>
    <row r="222">
      <c r="D222" s="738"/>
      <c r="E222" s="738"/>
      <c r="F222" s="731"/>
      <c r="H222" s="950"/>
      <c r="I222" s="951"/>
      <c r="K222" s="730"/>
      <c r="L222" s="730"/>
    </row>
    <row r="223">
      <c r="D223" s="738"/>
      <c r="E223" s="738"/>
      <c r="F223" s="731"/>
      <c r="H223" s="950"/>
      <c r="I223" s="951"/>
      <c r="K223" s="730"/>
      <c r="L223" s="730"/>
    </row>
    <row r="224">
      <c r="D224" s="738"/>
      <c r="E224" s="738"/>
      <c r="F224" s="731"/>
      <c r="H224" s="950"/>
      <c r="I224" s="951"/>
      <c r="K224" s="730"/>
      <c r="L224" s="730"/>
    </row>
    <row r="225">
      <c r="D225" s="738"/>
      <c r="E225" s="738"/>
      <c r="F225" s="731"/>
      <c r="H225" s="950"/>
      <c r="I225" s="951"/>
      <c r="K225" s="730"/>
      <c r="L225" s="730"/>
    </row>
    <row r="226">
      <c r="D226" s="738"/>
      <c r="E226" s="738"/>
      <c r="F226" s="731"/>
      <c r="H226" s="950"/>
      <c r="I226" s="951"/>
      <c r="K226" s="730"/>
      <c r="L226" s="730"/>
    </row>
    <row r="227">
      <c r="D227" s="738"/>
      <c r="E227" s="738"/>
      <c r="F227" s="731"/>
      <c r="H227" s="950"/>
      <c r="I227" s="951"/>
      <c r="K227" s="730"/>
      <c r="L227" s="730"/>
    </row>
    <row r="228">
      <c r="D228" s="738"/>
      <c r="E228" s="738"/>
      <c r="F228" s="731"/>
      <c r="H228" s="950"/>
      <c r="I228" s="951"/>
      <c r="K228" s="730"/>
      <c r="L228" s="730"/>
    </row>
    <row r="229">
      <c r="D229" s="738"/>
      <c r="E229" s="738"/>
      <c r="F229" s="731"/>
      <c r="H229" s="950"/>
      <c r="I229" s="951"/>
      <c r="K229" s="730"/>
      <c r="L229" s="730"/>
    </row>
    <row r="230">
      <c r="D230" s="738"/>
      <c r="E230" s="738"/>
      <c r="F230" s="731"/>
      <c r="H230" s="950"/>
      <c r="I230" s="951"/>
      <c r="K230" s="730"/>
      <c r="L230" s="730"/>
    </row>
    <row r="231">
      <c r="D231" s="738"/>
      <c r="E231" s="738"/>
      <c r="F231" s="731"/>
      <c r="H231" s="950"/>
      <c r="I231" s="951"/>
      <c r="K231" s="730"/>
      <c r="L231" s="730"/>
    </row>
    <row r="232">
      <c r="D232" s="738"/>
      <c r="E232" s="738"/>
      <c r="F232" s="731"/>
      <c r="H232" s="950"/>
      <c r="I232" s="951"/>
      <c r="K232" s="730"/>
      <c r="L232" s="730"/>
    </row>
    <row r="233">
      <c r="D233" s="738"/>
      <c r="E233" s="738"/>
      <c r="F233" s="731"/>
      <c r="H233" s="950"/>
      <c r="I233" s="951"/>
      <c r="K233" s="730"/>
      <c r="L233" s="730"/>
    </row>
    <row r="234">
      <c r="D234" s="738"/>
      <c r="E234" s="738"/>
      <c r="F234" s="731"/>
      <c r="H234" s="950"/>
      <c r="I234" s="951"/>
      <c r="K234" s="730"/>
      <c r="L234" s="730"/>
    </row>
    <row r="235">
      <c r="D235" s="738"/>
      <c r="E235" s="738"/>
      <c r="F235" s="731"/>
      <c r="H235" s="950"/>
      <c r="I235" s="951"/>
      <c r="K235" s="730"/>
      <c r="L235" s="730"/>
    </row>
    <row r="236">
      <c r="D236" s="738"/>
      <c r="E236" s="738"/>
      <c r="F236" s="731"/>
      <c r="H236" s="950"/>
      <c r="I236" s="951"/>
      <c r="K236" s="730"/>
      <c r="L236" s="730"/>
    </row>
    <row r="237">
      <c r="D237" s="738"/>
      <c r="E237" s="738"/>
      <c r="F237" s="731"/>
      <c r="H237" s="950"/>
      <c r="I237" s="951"/>
      <c r="K237" s="730"/>
      <c r="L237" s="730"/>
    </row>
    <row r="238">
      <c r="D238" s="738"/>
      <c r="E238" s="738"/>
      <c r="F238" s="731"/>
      <c r="H238" s="950"/>
      <c r="I238" s="951"/>
      <c r="K238" s="730"/>
      <c r="L238" s="730"/>
    </row>
    <row r="239">
      <c r="D239" s="738"/>
      <c r="E239" s="738"/>
      <c r="F239" s="731"/>
      <c r="H239" s="950"/>
      <c r="I239" s="951"/>
      <c r="K239" s="730"/>
      <c r="L239" s="730"/>
    </row>
    <row r="240">
      <c r="D240" s="738"/>
      <c r="E240" s="738"/>
      <c r="F240" s="731"/>
      <c r="H240" s="950"/>
      <c r="I240" s="951"/>
      <c r="K240" s="730"/>
      <c r="L240" s="730"/>
    </row>
    <row r="241">
      <c r="D241" s="738"/>
      <c r="E241" s="738"/>
      <c r="F241" s="731"/>
      <c r="H241" s="950"/>
      <c r="I241" s="951"/>
      <c r="K241" s="730"/>
      <c r="L241" s="730"/>
    </row>
    <row r="242">
      <c r="D242" s="738"/>
      <c r="E242" s="738"/>
      <c r="F242" s="731"/>
      <c r="H242" s="950"/>
      <c r="I242" s="951"/>
      <c r="K242" s="730"/>
      <c r="L242" s="730"/>
    </row>
    <row r="243">
      <c r="D243" s="738"/>
      <c r="E243" s="738"/>
      <c r="F243" s="731"/>
      <c r="H243" s="950"/>
      <c r="I243" s="951"/>
      <c r="K243" s="730"/>
      <c r="L243" s="730"/>
    </row>
    <row r="244">
      <c r="D244" s="738"/>
      <c r="E244" s="738"/>
      <c r="F244" s="731"/>
      <c r="H244" s="950"/>
      <c r="I244" s="951"/>
      <c r="K244" s="730"/>
      <c r="L244" s="730"/>
    </row>
    <row r="245">
      <c r="D245" s="738"/>
      <c r="E245" s="738"/>
      <c r="F245" s="731"/>
      <c r="H245" s="950"/>
      <c r="I245" s="951"/>
      <c r="K245" s="730"/>
      <c r="L245" s="730"/>
    </row>
    <row r="246">
      <c r="D246" s="738"/>
      <c r="E246" s="738"/>
      <c r="F246" s="731"/>
      <c r="H246" s="950"/>
      <c r="I246" s="951"/>
      <c r="K246" s="730"/>
      <c r="L246" s="730"/>
    </row>
    <row r="247">
      <c r="D247" s="738"/>
      <c r="E247" s="738"/>
      <c r="F247" s="731"/>
      <c r="H247" s="950"/>
      <c r="I247" s="951"/>
      <c r="K247" s="730"/>
      <c r="L247" s="730"/>
    </row>
    <row r="248">
      <c r="D248" s="738"/>
      <c r="E248" s="738"/>
      <c r="F248" s="731"/>
      <c r="H248" s="950"/>
      <c r="I248" s="951"/>
      <c r="K248" s="730"/>
      <c r="L248" s="730"/>
    </row>
    <row r="249">
      <c r="D249" s="738"/>
      <c r="E249" s="738"/>
      <c r="F249" s="731"/>
      <c r="H249" s="950"/>
      <c r="I249" s="951"/>
      <c r="K249" s="730"/>
      <c r="L249" s="730"/>
    </row>
    <row r="250">
      <c r="D250" s="738"/>
      <c r="E250" s="738"/>
      <c r="F250" s="731"/>
      <c r="H250" s="950"/>
      <c r="I250" s="951"/>
      <c r="K250" s="730"/>
      <c r="L250" s="730"/>
    </row>
    <row r="251">
      <c r="D251" s="738"/>
      <c r="E251" s="738"/>
      <c r="F251" s="731"/>
      <c r="H251" s="950"/>
      <c r="I251" s="951"/>
      <c r="K251" s="730"/>
      <c r="L251" s="730"/>
    </row>
    <row r="252">
      <c r="D252" s="738"/>
      <c r="E252" s="738"/>
      <c r="F252" s="731"/>
      <c r="H252" s="950"/>
      <c r="I252" s="951"/>
      <c r="K252" s="730"/>
      <c r="L252" s="730"/>
    </row>
    <row r="253">
      <c r="D253" s="738"/>
      <c r="E253" s="738"/>
      <c r="F253" s="731"/>
      <c r="H253" s="950"/>
      <c r="I253" s="951"/>
      <c r="K253" s="730"/>
      <c r="L253" s="730"/>
    </row>
    <row r="254">
      <c r="D254" s="738"/>
      <c r="E254" s="738"/>
      <c r="F254" s="731"/>
      <c r="H254" s="950"/>
      <c r="I254" s="951"/>
      <c r="K254" s="730"/>
      <c r="L254" s="730"/>
    </row>
    <row r="255">
      <c r="D255" s="738"/>
      <c r="E255" s="738"/>
      <c r="F255" s="731"/>
      <c r="H255" s="950"/>
      <c r="I255" s="951"/>
      <c r="K255" s="730"/>
      <c r="L255" s="730"/>
    </row>
    <row r="256">
      <c r="D256" s="738"/>
      <c r="E256" s="738"/>
      <c r="F256" s="731"/>
      <c r="H256" s="950"/>
      <c r="I256" s="951"/>
      <c r="K256" s="730"/>
      <c r="L256" s="730"/>
    </row>
    <row r="257">
      <c r="D257" s="738"/>
      <c r="E257" s="738"/>
      <c r="F257" s="731"/>
      <c r="H257" s="950"/>
      <c r="I257" s="951"/>
      <c r="K257" s="730"/>
      <c r="L257" s="730"/>
    </row>
    <row r="258">
      <c r="D258" s="738"/>
      <c r="E258" s="738"/>
      <c r="F258" s="731"/>
      <c r="H258" s="950"/>
      <c r="I258" s="951"/>
      <c r="K258" s="730"/>
      <c r="L258" s="730"/>
    </row>
    <row r="259">
      <c r="D259" s="738"/>
      <c r="E259" s="738"/>
      <c r="F259" s="731"/>
      <c r="H259" s="950"/>
      <c r="I259" s="951"/>
      <c r="K259" s="730"/>
      <c r="L259" s="730"/>
    </row>
    <row r="260">
      <c r="D260" s="738"/>
      <c r="E260" s="738"/>
      <c r="F260" s="731"/>
      <c r="H260" s="950"/>
      <c r="I260" s="951"/>
      <c r="K260" s="730"/>
      <c r="L260" s="730"/>
    </row>
    <row r="261">
      <c r="D261" s="738"/>
      <c r="E261" s="738"/>
      <c r="F261" s="731"/>
      <c r="H261" s="950"/>
      <c r="I261" s="951"/>
      <c r="K261" s="730"/>
      <c r="L261" s="730"/>
    </row>
    <row r="262">
      <c r="D262" s="738"/>
      <c r="E262" s="738"/>
      <c r="F262" s="731"/>
      <c r="H262" s="950"/>
      <c r="I262" s="951"/>
      <c r="K262" s="730"/>
      <c r="L262" s="730"/>
    </row>
    <row r="263">
      <c r="D263" s="738"/>
      <c r="E263" s="738"/>
      <c r="F263" s="731"/>
      <c r="H263" s="950"/>
      <c r="I263" s="951"/>
      <c r="K263" s="730"/>
      <c r="L263" s="730"/>
    </row>
    <row r="264">
      <c r="D264" s="738"/>
      <c r="E264" s="738"/>
      <c r="F264" s="731"/>
      <c r="H264" s="950"/>
      <c r="I264" s="951"/>
      <c r="K264" s="730"/>
      <c r="L264" s="730"/>
    </row>
    <row r="265">
      <c r="D265" s="738"/>
      <c r="E265" s="738"/>
      <c r="F265" s="731"/>
      <c r="H265" s="950"/>
      <c r="I265" s="951"/>
      <c r="K265" s="730"/>
      <c r="L265" s="730"/>
    </row>
    <row r="266">
      <c r="D266" s="738"/>
      <c r="E266" s="738"/>
      <c r="F266" s="731"/>
      <c r="H266" s="950"/>
      <c r="I266" s="951"/>
      <c r="K266" s="730"/>
      <c r="L266" s="730"/>
    </row>
    <row r="267">
      <c r="D267" s="738"/>
      <c r="E267" s="738"/>
      <c r="F267" s="731"/>
      <c r="H267" s="950"/>
      <c r="I267" s="951"/>
      <c r="K267" s="730"/>
      <c r="L267" s="730"/>
    </row>
    <row r="268">
      <c r="D268" s="738"/>
      <c r="E268" s="738"/>
      <c r="F268" s="731"/>
      <c r="H268" s="950"/>
      <c r="I268" s="951"/>
      <c r="K268" s="730"/>
      <c r="L268" s="730"/>
    </row>
    <row r="269">
      <c r="D269" s="738"/>
      <c r="E269" s="738"/>
      <c r="F269" s="731"/>
      <c r="H269" s="950"/>
      <c r="I269" s="951"/>
      <c r="K269" s="730"/>
      <c r="L269" s="730"/>
    </row>
    <row r="270">
      <c r="D270" s="738"/>
      <c r="E270" s="738"/>
      <c r="F270" s="731"/>
      <c r="H270" s="950"/>
      <c r="I270" s="951"/>
      <c r="K270" s="730"/>
      <c r="L270" s="730"/>
    </row>
    <row r="271">
      <c r="D271" s="738"/>
      <c r="E271" s="738"/>
      <c r="F271" s="731"/>
      <c r="H271" s="950"/>
      <c r="I271" s="951"/>
      <c r="K271" s="730"/>
      <c r="L271" s="730"/>
    </row>
    <row r="272">
      <c r="D272" s="738"/>
      <c r="E272" s="738"/>
      <c r="F272" s="731"/>
      <c r="H272" s="950"/>
      <c r="I272" s="951"/>
      <c r="K272" s="730"/>
      <c r="L272" s="730"/>
    </row>
    <row r="273">
      <c r="D273" s="738"/>
      <c r="E273" s="738"/>
      <c r="F273" s="731"/>
      <c r="H273" s="950"/>
      <c r="I273" s="951"/>
      <c r="K273" s="730"/>
      <c r="L273" s="730"/>
    </row>
    <row r="274">
      <c r="D274" s="738"/>
      <c r="E274" s="738"/>
      <c r="F274" s="731"/>
      <c r="H274" s="950"/>
      <c r="I274" s="951"/>
      <c r="K274" s="730"/>
      <c r="L274" s="730"/>
    </row>
    <row r="275">
      <c r="D275" s="738"/>
      <c r="E275" s="738"/>
      <c r="F275" s="731"/>
      <c r="H275" s="950"/>
      <c r="I275" s="951"/>
      <c r="K275" s="730"/>
      <c r="L275" s="730"/>
    </row>
    <row r="276">
      <c r="D276" s="738"/>
      <c r="E276" s="738"/>
      <c r="F276" s="731"/>
      <c r="H276" s="950"/>
      <c r="I276" s="951"/>
      <c r="K276" s="730"/>
      <c r="L276" s="730"/>
    </row>
    <row r="277">
      <c r="D277" s="738"/>
      <c r="E277" s="738"/>
      <c r="F277" s="731"/>
      <c r="H277" s="950"/>
      <c r="I277" s="951"/>
      <c r="K277" s="730"/>
      <c r="L277" s="730"/>
    </row>
    <row r="278">
      <c r="D278" s="738"/>
      <c r="E278" s="738"/>
      <c r="F278" s="731"/>
      <c r="H278" s="950"/>
      <c r="I278" s="951"/>
      <c r="K278" s="730"/>
      <c r="L278" s="730"/>
    </row>
    <row r="279">
      <c r="D279" s="738"/>
      <c r="E279" s="738"/>
      <c r="F279" s="731"/>
      <c r="H279" s="950"/>
      <c r="I279" s="951"/>
      <c r="K279" s="730"/>
      <c r="L279" s="730"/>
    </row>
    <row r="280">
      <c r="D280" s="738"/>
      <c r="E280" s="738"/>
      <c r="F280" s="731"/>
      <c r="H280" s="950"/>
      <c r="I280" s="951"/>
      <c r="K280" s="730"/>
      <c r="L280" s="730"/>
    </row>
    <row r="281">
      <c r="D281" s="738"/>
      <c r="E281" s="738"/>
      <c r="F281" s="731"/>
      <c r="H281" s="950"/>
      <c r="I281" s="951"/>
      <c r="K281" s="730"/>
      <c r="L281" s="730"/>
    </row>
    <row r="282">
      <c r="D282" s="738"/>
      <c r="E282" s="738"/>
      <c r="F282" s="731"/>
      <c r="H282" s="950"/>
      <c r="I282" s="951"/>
      <c r="K282" s="730"/>
      <c r="L282" s="730"/>
    </row>
    <row r="283">
      <c r="D283" s="738"/>
      <c r="E283" s="738"/>
      <c r="F283" s="731"/>
      <c r="H283" s="950"/>
      <c r="I283" s="951"/>
      <c r="K283" s="730"/>
      <c r="L283" s="730"/>
    </row>
    <row r="284">
      <c r="D284" s="738"/>
      <c r="E284" s="738"/>
      <c r="F284" s="731"/>
      <c r="H284" s="950"/>
      <c r="I284" s="951"/>
      <c r="K284" s="730"/>
      <c r="L284" s="730"/>
    </row>
    <row r="285">
      <c r="D285" s="738"/>
      <c r="E285" s="738"/>
      <c r="F285" s="731"/>
      <c r="H285" s="950"/>
      <c r="I285" s="951"/>
      <c r="K285" s="730"/>
      <c r="L285" s="730"/>
    </row>
    <row r="286">
      <c r="D286" s="738"/>
      <c r="E286" s="738"/>
      <c r="F286" s="731"/>
      <c r="H286" s="950"/>
      <c r="I286" s="951"/>
      <c r="K286" s="730"/>
      <c r="L286" s="730"/>
    </row>
    <row r="287">
      <c r="D287" s="738"/>
      <c r="E287" s="738"/>
      <c r="F287" s="731"/>
      <c r="H287" s="950"/>
      <c r="I287" s="951"/>
      <c r="K287" s="730"/>
      <c r="L287" s="730"/>
    </row>
    <row r="288">
      <c r="D288" s="738"/>
      <c r="E288" s="738"/>
      <c r="F288" s="731"/>
      <c r="H288" s="950"/>
      <c r="I288" s="951"/>
      <c r="K288" s="730"/>
      <c r="L288" s="730"/>
    </row>
    <row r="289">
      <c r="D289" s="738"/>
      <c r="E289" s="738"/>
      <c r="F289" s="731"/>
      <c r="H289" s="950"/>
      <c r="I289" s="951"/>
      <c r="K289" s="730"/>
      <c r="L289" s="730"/>
    </row>
    <row r="290">
      <c r="D290" s="738"/>
      <c r="E290" s="738"/>
      <c r="F290" s="731"/>
      <c r="H290" s="950"/>
      <c r="I290" s="951"/>
      <c r="K290" s="730"/>
      <c r="L290" s="730"/>
    </row>
    <row r="291">
      <c r="D291" s="738"/>
      <c r="E291" s="738"/>
      <c r="F291" s="731"/>
      <c r="H291" s="950"/>
      <c r="I291" s="951"/>
      <c r="K291" s="730"/>
      <c r="L291" s="730"/>
    </row>
    <row r="292">
      <c r="D292" s="738"/>
      <c r="E292" s="738"/>
      <c r="F292" s="731"/>
      <c r="H292" s="950"/>
      <c r="I292" s="951"/>
      <c r="K292" s="730"/>
      <c r="L292" s="730"/>
    </row>
    <row r="293">
      <c r="D293" s="738"/>
      <c r="E293" s="738"/>
      <c r="F293" s="731"/>
      <c r="H293" s="950"/>
      <c r="I293" s="951"/>
      <c r="K293" s="730"/>
      <c r="L293" s="730"/>
    </row>
    <row r="294">
      <c r="D294" s="738"/>
      <c r="E294" s="738"/>
      <c r="F294" s="731"/>
      <c r="H294" s="950"/>
      <c r="I294" s="951"/>
      <c r="K294" s="730"/>
      <c r="L294" s="730"/>
    </row>
    <row r="295">
      <c r="D295" s="738"/>
      <c r="E295" s="738"/>
      <c r="F295" s="731"/>
      <c r="H295" s="950"/>
      <c r="I295" s="951"/>
      <c r="K295" s="730"/>
      <c r="L295" s="730"/>
    </row>
    <row r="296">
      <c r="D296" s="738"/>
      <c r="E296" s="738"/>
      <c r="F296" s="731"/>
      <c r="H296" s="950"/>
      <c r="I296" s="951"/>
      <c r="K296" s="730"/>
      <c r="L296" s="730"/>
    </row>
    <row r="297">
      <c r="D297" s="738"/>
      <c r="E297" s="738"/>
      <c r="F297" s="731"/>
      <c r="H297" s="950"/>
      <c r="I297" s="951"/>
      <c r="K297" s="730"/>
      <c r="L297" s="730"/>
    </row>
    <row r="298">
      <c r="D298" s="738"/>
      <c r="E298" s="738"/>
      <c r="F298" s="731"/>
      <c r="H298" s="950"/>
      <c r="I298" s="951"/>
      <c r="K298" s="730"/>
      <c r="L298" s="730"/>
    </row>
    <row r="299">
      <c r="D299" s="738"/>
      <c r="E299" s="738"/>
      <c r="F299" s="731"/>
      <c r="H299" s="950"/>
      <c r="I299" s="951"/>
      <c r="K299" s="730"/>
      <c r="L299" s="730"/>
    </row>
    <row r="300">
      <c r="D300" s="738"/>
      <c r="E300" s="738"/>
      <c r="F300" s="731"/>
      <c r="H300" s="950"/>
      <c r="I300" s="951"/>
      <c r="K300" s="730"/>
      <c r="L300" s="730"/>
    </row>
    <row r="301">
      <c r="D301" s="738"/>
      <c r="E301" s="738"/>
      <c r="F301" s="731"/>
      <c r="H301" s="950"/>
      <c r="I301" s="951"/>
      <c r="K301" s="730"/>
      <c r="L301" s="730"/>
    </row>
    <row r="302">
      <c r="D302" s="738"/>
      <c r="E302" s="738"/>
      <c r="F302" s="731"/>
      <c r="H302" s="950"/>
      <c r="I302" s="951"/>
      <c r="K302" s="730"/>
      <c r="L302" s="730"/>
    </row>
    <row r="303">
      <c r="D303" s="738"/>
      <c r="E303" s="738"/>
      <c r="F303" s="731"/>
      <c r="H303" s="950"/>
      <c r="I303" s="951"/>
      <c r="K303" s="730"/>
      <c r="L303" s="730"/>
    </row>
    <row r="304">
      <c r="D304" s="738"/>
      <c r="E304" s="738"/>
      <c r="F304" s="731"/>
      <c r="H304" s="950"/>
      <c r="I304" s="951"/>
      <c r="K304" s="730"/>
      <c r="L304" s="730"/>
    </row>
    <row r="305">
      <c r="D305" s="738"/>
      <c r="E305" s="738"/>
      <c r="F305" s="731"/>
      <c r="H305" s="950"/>
      <c r="I305" s="951"/>
      <c r="K305" s="730"/>
      <c r="L305" s="730"/>
    </row>
    <row r="306">
      <c r="D306" s="738"/>
      <c r="E306" s="738"/>
      <c r="F306" s="731"/>
      <c r="H306" s="950"/>
      <c r="I306" s="951"/>
      <c r="K306" s="730"/>
      <c r="L306" s="730"/>
    </row>
    <row r="307">
      <c r="D307" s="738"/>
      <c r="E307" s="738"/>
      <c r="F307" s="731"/>
      <c r="H307" s="950"/>
      <c r="I307" s="951"/>
      <c r="K307" s="730"/>
      <c r="L307" s="730"/>
    </row>
    <row r="308">
      <c r="D308" s="738"/>
      <c r="E308" s="738"/>
      <c r="F308" s="731"/>
      <c r="H308" s="950"/>
      <c r="I308" s="951"/>
      <c r="K308" s="730"/>
      <c r="L308" s="730"/>
    </row>
    <row r="309">
      <c r="D309" s="738"/>
      <c r="E309" s="738"/>
      <c r="F309" s="731"/>
      <c r="H309" s="950"/>
      <c r="I309" s="951"/>
      <c r="K309" s="730"/>
      <c r="L309" s="730"/>
    </row>
    <row r="310">
      <c r="D310" s="738"/>
      <c r="E310" s="738"/>
      <c r="F310" s="731"/>
      <c r="H310" s="950"/>
      <c r="I310" s="951"/>
      <c r="K310" s="730"/>
      <c r="L310" s="730"/>
    </row>
    <row r="311">
      <c r="D311" s="738"/>
      <c r="E311" s="738"/>
      <c r="F311" s="731"/>
      <c r="H311" s="950"/>
      <c r="I311" s="951"/>
      <c r="K311" s="730"/>
      <c r="L311" s="730"/>
    </row>
    <row r="312">
      <c r="D312" s="738"/>
      <c r="E312" s="738"/>
      <c r="F312" s="731"/>
      <c r="H312" s="950"/>
      <c r="I312" s="951"/>
      <c r="K312" s="730"/>
      <c r="L312" s="730"/>
    </row>
    <row r="313">
      <c r="D313" s="738"/>
      <c r="E313" s="738"/>
      <c r="F313" s="731"/>
      <c r="H313" s="950"/>
      <c r="I313" s="951"/>
      <c r="K313" s="730"/>
      <c r="L313" s="730"/>
    </row>
    <row r="314">
      <c r="D314" s="738"/>
      <c r="E314" s="738"/>
      <c r="F314" s="731"/>
      <c r="H314" s="950"/>
      <c r="I314" s="951"/>
      <c r="K314" s="730"/>
      <c r="L314" s="730"/>
    </row>
    <row r="315">
      <c r="D315" s="738"/>
      <c r="E315" s="738"/>
      <c r="F315" s="731"/>
      <c r="H315" s="950"/>
      <c r="I315" s="951"/>
      <c r="K315" s="730"/>
      <c r="L315" s="730"/>
    </row>
    <row r="316">
      <c r="D316" s="738"/>
      <c r="E316" s="738"/>
      <c r="F316" s="731"/>
      <c r="H316" s="950"/>
      <c r="I316" s="951"/>
      <c r="K316" s="730"/>
      <c r="L316" s="730"/>
    </row>
    <row r="317">
      <c r="D317" s="738"/>
      <c r="E317" s="738"/>
      <c r="F317" s="731"/>
      <c r="H317" s="950"/>
      <c r="I317" s="951"/>
      <c r="K317" s="730"/>
      <c r="L317" s="730"/>
    </row>
    <row r="318">
      <c r="D318" s="738"/>
      <c r="E318" s="738"/>
      <c r="F318" s="731"/>
      <c r="H318" s="950"/>
      <c r="I318" s="951"/>
      <c r="K318" s="730"/>
      <c r="L318" s="730"/>
    </row>
    <row r="319">
      <c r="D319" s="738"/>
      <c r="E319" s="738"/>
      <c r="F319" s="731"/>
      <c r="H319" s="950"/>
      <c r="I319" s="951"/>
      <c r="K319" s="730"/>
      <c r="L319" s="730"/>
    </row>
    <row r="320">
      <c r="D320" s="738"/>
      <c r="E320" s="738"/>
      <c r="F320" s="731"/>
      <c r="H320" s="950"/>
      <c r="I320" s="951"/>
      <c r="K320" s="730"/>
      <c r="L320" s="730"/>
    </row>
    <row r="321">
      <c r="D321" s="738"/>
      <c r="E321" s="738"/>
      <c r="F321" s="731"/>
      <c r="H321" s="950"/>
      <c r="I321" s="951"/>
      <c r="K321" s="730"/>
      <c r="L321" s="730"/>
    </row>
    <row r="322">
      <c r="D322" s="738"/>
      <c r="E322" s="738"/>
      <c r="F322" s="731"/>
      <c r="H322" s="950"/>
      <c r="I322" s="951"/>
      <c r="K322" s="730"/>
      <c r="L322" s="730"/>
    </row>
    <row r="323">
      <c r="D323" s="738"/>
      <c r="E323" s="738"/>
      <c r="F323" s="731"/>
      <c r="H323" s="950"/>
      <c r="I323" s="951"/>
      <c r="K323" s="730"/>
      <c r="L323" s="730"/>
    </row>
    <row r="324">
      <c r="D324" s="738"/>
      <c r="E324" s="738"/>
      <c r="F324" s="731"/>
      <c r="H324" s="950"/>
      <c r="I324" s="951"/>
      <c r="K324" s="730"/>
      <c r="L324" s="730"/>
    </row>
    <row r="325">
      <c r="D325" s="738"/>
      <c r="E325" s="738"/>
      <c r="F325" s="731"/>
      <c r="H325" s="950"/>
      <c r="I325" s="951"/>
      <c r="K325" s="730"/>
      <c r="L325" s="730"/>
    </row>
    <row r="326">
      <c r="D326" s="738"/>
      <c r="E326" s="738"/>
      <c r="F326" s="731"/>
      <c r="H326" s="950"/>
      <c r="I326" s="951"/>
      <c r="K326" s="730"/>
      <c r="L326" s="730"/>
    </row>
    <row r="327">
      <c r="D327" s="738"/>
      <c r="E327" s="738"/>
      <c r="F327" s="731"/>
      <c r="H327" s="950"/>
      <c r="I327" s="951"/>
      <c r="K327" s="730"/>
      <c r="L327" s="730"/>
    </row>
    <row r="328">
      <c r="D328" s="738"/>
      <c r="E328" s="738"/>
      <c r="F328" s="731"/>
      <c r="H328" s="950"/>
      <c r="I328" s="951"/>
      <c r="K328" s="730"/>
      <c r="L328" s="730"/>
    </row>
    <row r="329">
      <c r="D329" s="738"/>
      <c r="E329" s="738"/>
      <c r="F329" s="731"/>
      <c r="H329" s="950"/>
      <c r="I329" s="951"/>
      <c r="K329" s="730"/>
      <c r="L329" s="730"/>
    </row>
    <row r="330">
      <c r="D330" s="738"/>
      <c r="E330" s="738"/>
      <c r="F330" s="731"/>
      <c r="H330" s="950"/>
      <c r="I330" s="951"/>
      <c r="K330" s="730"/>
      <c r="L330" s="730"/>
    </row>
    <row r="331">
      <c r="D331" s="738"/>
      <c r="E331" s="738"/>
      <c r="F331" s="731"/>
      <c r="H331" s="950"/>
      <c r="I331" s="951"/>
      <c r="K331" s="730"/>
      <c r="L331" s="730"/>
    </row>
    <row r="332">
      <c r="D332" s="738"/>
      <c r="E332" s="738"/>
      <c r="F332" s="731"/>
      <c r="H332" s="950"/>
      <c r="I332" s="951"/>
      <c r="K332" s="730"/>
      <c r="L332" s="730"/>
    </row>
    <row r="333">
      <c r="D333" s="738"/>
      <c r="E333" s="738"/>
      <c r="F333" s="731"/>
      <c r="H333" s="950"/>
      <c r="I333" s="951"/>
      <c r="K333" s="730"/>
      <c r="L333" s="730"/>
    </row>
    <row r="334">
      <c r="D334" s="738"/>
      <c r="E334" s="738"/>
      <c r="F334" s="731"/>
      <c r="H334" s="950"/>
      <c r="I334" s="951"/>
      <c r="K334" s="730"/>
      <c r="L334" s="730"/>
    </row>
    <row r="335">
      <c r="D335" s="738"/>
      <c r="E335" s="738"/>
      <c r="F335" s="731"/>
      <c r="H335" s="950"/>
      <c r="I335" s="951"/>
      <c r="K335" s="730"/>
      <c r="L335" s="730"/>
    </row>
    <row r="336">
      <c r="D336" s="738"/>
      <c r="E336" s="738"/>
      <c r="F336" s="731"/>
      <c r="H336" s="950"/>
      <c r="I336" s="951"/>
      <c r="K336" s="730"/>
      <c r="L336" s="730"/>
    </row>
    <row r="337">
      <c r="D337" s="738"/>
      <c r="E337" s="738"/>
      <c r="F337" s="731"/>
      <c r="H337" s="950"/>
      <c r="I337" s="951"/>
      <c r="K337" s="730"/>
      <c r="L337" s="730"/>
    </row>
    <row r="338">
      <c r="D338" s="738"/>
      <c r="E338" s="738"/>
      <c r="F338" s="731"/>
      <c r="H338" s="950"/>
      <c r="I338" s="951"/>
      <c r="K338" s="730"/>
      <c r="L338" s="730"/>
    </row>
    <row r="339">
      <c r="D339" s="738"/>
      <c r="E339" s="738"/>
      <c r="F339" s="731"/>
      <c r="H339" s="950"/>
      <c r="I339" s="951"/>
      <c r="K339" s="730"/>
      <c r="L339" s="730"/>
    </row>
    <row r="340">
      <c r="D340" s="738"/>
      <c r="E340" s="738"/>
      <c r="F340" s="731"/>
      <c r="H340" s="950"/>
      <c r="I340" s="951"/>
      <c r="K340" s="730"/>
      <c r="L340" s="730"/>
    </row>
    <row r="341">
      <c r="D341" s="738"/>
      <c r="E341" s="738"/>
      <c r="F341" s="731"/>
      <c r="H341" s="950"/>
      <c r="I341" s="951"/>
      <c r="K341" s="730"/>
      <c r="L341" s="730"/>
    </row>
    <row r="342">
      <c r="D342" s="738"/>
      <c r="E342" s="738"/>
      <c r="F342" s="731"/>
      <c r="H342" s="950"/>
      <c r="I342" s="951"/>
      <c r="K342" s="730"/>
      <c r="L342" s="730"/>
    </row>
    <row r="343">
      <c r="D343" s="738"/>
      <c r="E343" s="738"/>
      <c r="F343" s="731"/>
      <c r="H343" s="950"/>
      <c r="I343" s="951"/>
      <c r="K343" s="730"/>
      <c r="L343" s="730"/>
    </row>
    <row r="344">
      <c r="D344" s="738"/>
      <c r="E344" s="738"/>
      <c r="F344" s="731"/>
      <c r="H344" s="950"/>
      <c r="I344" s="951"/>
      <c r="K344" s="730"/>
      <c r="L344" s="730"/>
    </row>
    <row r="345">
      <c r="D345" s="738"/>
      <c r="E345" s="738"/>
      <c r="F345" s="731"/>
      <c r="H345" s="950"/>
      <c r="I345" s="951"/>
      <c r="K345" s="730"/>
      <c r="L345" s="730"/>
    </row>
    <row r="346">
      <c r="D346" s="738"/>
      <c r="E346" s="738"/>
      <c r="F346" s="731"/>
      <c r="H346" s="950"/>
      <c r="I346" s="951"/>
      <c r="K346" s="730"/>
      <c r="L346" s="730"/>
    </row>
    <row r="347">
      <c r="D347" s="738"/>
      <c r="E347" s="738"/>
      <c r="F347" s="731"/>
      <c r="H347" s="950"/>
      <c r="I347" s="951"/>
      <c r="K347" s="730"/>
      <c r="L347" s="730"/>
    </row>
    <row r="348">
      <c r="D348" s="738"/>
      <c r="E348" s="738"/>
      <c r="F348" s="731"/>
      <c r="H348" s="950"/>
      <c r="I348" s="951"/>
      <c r="K348" s="730"/>
      <c r="L348" s="730"/>
    </row>
    <row r="349">
      <c r="D349" s="738"/>
      <c r="E349" s="738"/>
      <c r="F349" s="731"/>
      <c r="H349" s="950"/>
      <c r="I349" s="951"/>
      <c r="K349" s="730"/>
      <c r="L349" s="730"/>
    </row>
    <row r="350">
      <c r="D350" s="738"/>
      <c r="E350" s="738"/>
      <c r="F350" s="731"/>
      <c r="H350" s="950"/>
      <c r="I350" s="951"/>
      <c r="K350" s="730"/>
      <c r="L350" s="730"/>
    </row>
    <row r="351">
      <c r="D351" s="738"/>
      <c r="E351" s="738"/>
      <c r="F351" s="731"/>
      <c r="H351" s="950"/>
      <c r="I351" s="951"/>
      <c r="K351" s="730"/>
      <c r="L351" s="730"/>
    </row>
    <row r="352">
      <c r="D352" s="738"/>
      <c r="E352" s="738"/>
      <c r="F352" s="731"/>
      <c r="H352" s="950"/>
      <c r="I352" s="951"/>
      <c r="K352" s="730"/>
      <c r="L352" s="730"/>
    </row>
    <row r="353">
      <c r="D353" s="738"/>
      <c r="E353" s="738"/>
      <c r="F353" s="731"/>
      <c r="H353" s="950"/>
      <c r="I353" s="951"/>
      <c r="K353" s="730"/>
      <c r="L353" s="730"/>
    </row>
    <row r="354">
      <c r="D354" s="738"/>
      <c r="E354" s="738"/>
      <c r="F354" s="731"/>
      <c r="H354" s="950"/>
      <c r="I354" s="951"/>
      <c r="K354" s="730"/>
      <c r="L354" s="730"/>
    </row>
    <row r="355">
      <c r="D355" s="738"/>
      <c r="E355" s="738"/>
      <c r="F355" s="731"/>
      <c r="H355" s="950"/>
      <c r="I355" s="951"/>
      <c r="K355" s="730"/>
      <c r="L355" s="730"/>
    </row>
    <row r="356">
      <c r="D356" s="738"/>
      <c r="E356" s="738"/>
      <c r="F356" s="731"/>
      <c r="H356" s="950"/>
      <c r="I356" s="951"/>
      <c r="K356" s="730"/>
      <c r="L356" s="730"/>
    </row>
    <row r="357">
      <c r="D357" s="738"/>
      <c r="E357" s="738"/>
      <c r="F357" s="731"/>
      <c r="H357" s="950"/>
      <c r="I357" s="951"/>
      <c r="K357" s="730"/>
      <c r="L357" s="730"/>
    </row>
    <row r="358">
      <c r="D358" s="738"/>
      <c r="E358" s="738"/>
      <c r="F358" s="731"/>
      <c r="H358" s="950"/>
      <c r="I358" s="951"/>
      <c r="K358" s="730"/>
      <c r="L358" s="730"/>
    </row>
    <row r="359">
      <c r="D359" s="738"/>
      <c r="E359" s="738"/>
      <c r="F359" s="731"/>
      <c r="H359" s="950"/>
      <c r="I359" s="951"/>
      <c r="K359" s="730"/>
      <c r="L359" s="730"/>
    </row>
    <row r="360">
      <c r="D360" s="738"/>
      <c r="E360" s="738"/>
      <c r="F360" s="731"/>
      <c r="H360" s="950"/>
      <c r="I360" s="951"/>
      <c r="K360" s="730"/>
      <c r="L360" s="730"/>
    </row>
    <row r="361">
      <c r="D361" s="738"/>
      <c r="E361" s="738"/>
      <c r="F361" s="731"/>
      <c r="H361" s="950"/>
      <c r="I361" s="951"/>
      <c r="K361" s="730"/>
      <c r="L361" s="730"/>
    </row>
    <row r="362">
      <c r="D362" s="738"/>
      <c r="E362" s="738"/>
      <c r="F362" s="731"/>
      <c r="H362" s="950"/>
      <c r="I362" s="951"/>
      <c r="K362" s="730"/>
      <c r="L362" s="730"/>
    </row>
    <row r="363">
      <c r="D363" s="738"/>
      <c r="E363" s="738"/>
      <c r="F363" s="731"/>
      <c r="H363" s="950"/>
      <c r="I363" s="951"/>
      <c r="K363" s="730"/>
      <c r="L363" s="730"/>
    </row>
    <row r="364">
      <c r="D364" s="738"/>
      <c r="E364" s="738"/>
      <c r="F364" s="731"/>
      <c r="H364" s="950"/>
      <c r="I364" s="951"/>
      <c r="K364" s="730"/>
      <c r="L364" s="730"/>
    </row>
    <row r="365">
      <c r="D365" s="738"/>
      <c r="E365" s="738"/>
      <c r="F365" s="731"/>
      <c r="H365" s="950"/>
      <c r="I365" s="951"/>
      <c r="K365" s="730"/>
      <c r="L365" s="730"/>
    </row>
    <row r="366">
      <c r="D366" s="738"/>
      <c r="E366" s="738"/>
      <c r="F366" s="731"/>
      <c r="H366" s="950"/>
      <c r="I366" s="951"/>
      <c r="K366" s="730"/>
      <c r="L366" s="730"/>
    </row>
    <row r="367">
      <c r="D367" s="738"/>
      <c r="E367" s="738"/>
      <c r="F367" s="731"/>
      <c r="H367" s="950"/>
      <c r="I367" s="951"/>
      <c r="K367" s="730"/>
      <c r="L367" s="730"/>
    </row>
    <row r="368">
      <c r="D368" s="738"/>
      <c r="E368" s="738"/>
      <c r="F368" s="731"/>
      <c r="H368" s="950"/>
      <c r="I368" s="951"/>
      <c r="K368" s="730"/>
      <c r="L368" s="730"/>
    </row>
    <row r="369">
      <c r="D369" s="738"/>
      <c r="E369" s="738"/>
      <c r="F369" s="731"/>
      <c r="H369" s="950"/>
      <c r="I369" s="951"/>
      <c r="K369" s="730"/>
      <c r="L369" s="730"/>
    </row>
    <row r="370">
      <c r="D370" s="738"/>
      <c r="E370" s="738"/>
      <c r="F370" s="731"/>
      <c r="H370" s="950"/>
      <c r="I370" s="951"/>
      <c r="K370" s="730"/>
      <c r="L370" s="730"/>
    </row>
    <row r="371">
      <c r="D371" s="738"/>
      <c r="E371" s="738"/>
      <c r="F371" s="731"/>
      <c r="H371" s="950"/>
      <c r="I371" s="951"/>
      <c r="K371" s="730"/>
      <c r="L371" s="730"/>
    </row>
    <row r="372">
      <c r="D372" s="738"/>
      <c r="E372" s="738"/>
      <c r="F372" s="731"/>
      <c r="H372" s="950"/>
      <c r="I372" s="951"/>
      <c r="K372" s="730"/>
      <c r="L372" s="730"/>
    </row>
    <row r="373">
      <c r="D373" s="738"/>
      <c r="E373" s="738"/>
      <c r="F373" s="731"/>
      <c r="H373" s="950"/>
      <c r="I373" s="951"/>
      <c r="K373" s="730"/>
      <c r="L373" s="730"/>
    </row>
    <row r="374">
      <c r="D374" s="738"/>
      <c r="E374" s="738"/>
      <c r="F374" s="731"/>
      <c r="H374" s="950"/>
      <c r="I374" s="951"/>
      <c r="K374" s="730"/>
      <c r="L374" s="730"/>
    </row>
    <row r="375">
      <c r="D375" s="738"/>
      <c r="E375" s="738"/>
      <c r="F375" s="731"/>
      <c r="H375" s="950"/>
      <c r="I375" s="951"/>
      <c r="K375" s="730"/>
      <c r="L375" s="730"/>
    </row>
    <row r="376">
      <c r="D376" s="738"/>
      <c r="E376" s="738"/>
      <c r="F376" s="731"/>
      <c r="H376" s="950"/>
      <c r="I376" s="951"/>
      <c r="K376" s="730"/>
      <c r="L376" s="730"/>
    </row>
    <row r="377">
      <c r="D377" s="738"/>
      <c r="E377" s="738"/>
      <c r="F377" s="731"/>
      <c r="H377" s="950"/>
      <c r="I377" s="951"/>
      <c r="K377" s="730"/>
      <c r="L377" s="730"/>
    </row>
    <row r="378">
      <c r="D378" s="738"/>
      <c r="E378" s="738"/>
      <c r="F378" s="731"/>
      <c r="H378" s="950"/>
      <c r="I378" s="951"/>
      <c r="K378" s="730"/>
      <c r="L378" s="730"/>
    </row>
    <row r="379">
      <c r="D379" s="738"/>
      <c r="E379" s="738"/>
      <c r="F379" s="731"/>
      <c r="H379" s="950"/>
      <c r="I379" s="951"/>
      <c r="K379" s="730"/>
      <c r="L379" s="730"/>
    </row>
    <row r="380">
      <c r="D380" s="738"/>
      <c r="E380" s="738"/>
      <c r="F380" s="731"/>
      <c r="H380" s="950"/>
      <c r="I380" s="951"/>
      <c r="K380" s="730"/>
      <c r="L380" s="730"/>
    </row>
    <row r="381">
      <c r="D381" s="738"/>
      <c r="E381" s="738"/>
      <c r="F381" s="731"/>
      <c r="H381" s="950"/>
      <c r="I381" s="951"/>
      <c r="K381" s="730"/>
      <c r="L381" s="730"/>
    </row>
    <row r="382">
      <c r="D382" s="738"/>
      <c r="E382" s="738"/>
      <c r="F382" s="731"/>
      <c r="H382" s="950"/>
      <c r="I382" s="951"/>
      <c r="K382" s="730"/>
      <c r="L382" s="730"/>
    </row>
    <row r="383">
      <c r="D383" s="738"/>
      <c r="E383" s="738"/>
      <c r="F383" s="731"/>
      <c r="H383" s="950"/>
      <c r="I383" s="951"/>
      <c r="K383" s="730"/>
      <c r="L383" s="730"/>
    </row>
    <row r="384">
      <c r="D384" s="738"/>
      <c r="E384" s="738"/>
      <c r="F384" s="731"/>
      <c r="H384" s="950"/>
      <c r="I384" s="951"/>
      <c r="K384" s="730"/>
      <c r="L384" s="730"/>
    </row>
    <row r="385">
      <c r="D385" s="738"/>
      <c r="E385" s="738"/>
      <c r="F385" s="731"/>
      <c r="H385" s="950"/>
      <c r="I385" s="951"/>
      <c r="K385" s="730"/>
      <c r="L385" s="730"/>
    </row>
    <row r="386">
      <c r="D386" s="738"/>
      <c r="E386" s="738"/>
      <c r="F386" s="731"/>
      <c r="H386" s="950"/>
      <c r="I386" s="951"/>
      <c r="K386" s="730"/>
      <c r="L386" s="730"/>
    </row>
    <row r="387">
      <c r="D387" s="738"/>
      <c r="E387" s="738"/>
      <c r="F387" s="731"/>
      <c r="H387" s="950"/>
      <c r="I387" s="951"/>
      <c r="K387" s="730"/>
      <c r="L387" s="730"/>
    </row>
    <row r="388">
      <c r="D388" s="738"/>
      <c r="E388" s="738"/>
      <c r="F388" s="731"/>
      <c r="H388" s="950"/>
      <c r="I388" s="951"/>
      <c r="K388" s="730"/>
      <c r="L388" s="730"/>
    </row>
    <row r="389">
      <c r="D389" s="738"/>
      <c r="E389" s="738"/>
      <c r="F389" s="731"/>
      <c r="H389" s="950"/>
      <c r="I389" s="951"/>
      <c r="K389" s="730"/>
      <c r="L389" s="730"/>
    </row>
    <row r="390">
      <c r="D390" s="738"/>
      <c r="E390" s="738"/>
      <c r="F390" s="731"/>
      <c r="H390" s="950"/>
      <c r="I390" s="951"/>
      <c r="K390" s="730"/>
      <c r="L390" s="730"/>
    </row>
    <row r="391">
      <c r="D391" s="738"/>
      <c r="E391" s="738"/>
      <c r="F391" s="731"/>
      <c r="H391" s="950"/>
      <c r="I391" s="951"/>
      <c r="K391" s="730"/>
      <c r="L391" s="730"/>
    </row>
    <row r="392">
      <c r="D392" s="738"/>
      <c r="E392" s="738"/>
      <c r="F392" s="731"/>
      <c r="H392" s="950"/>
      <c r="I392" s="951"/>
      <c r="K392" s="730"/>
      <c r="L392" s="730"/>
    </row>
    <row r="393">
      <c r="D393" s="738"/>
      <c r="E393" s="738"/>
      <c r="F393" s="731"/>
      <c r="H393" s="950"/>
      <c r="I393" s="951"/>
      <c r="K393" s="730"/>
      <c r="L393" s="730"/>
    </row>
    <row r="394">
      <c r="D394" s="738"/>
      <c r="E394" s="738"/>
      <c r="F394" s="731"/>
      <c r="H394" s="950"/>
      <c r="I394" s="951"/>
      <c r="K394" s="730"/>
      <c r="L394" s="730"/>
    </row>
    <row r="395">
      <c r="D395" s="738"/>
      <c r="E395" s="738"/>
      <c r="F395" s="731"/>
      <c r="H395" s="950"/>
      <c r="I395" s="951"/>
      <c r="K395" s="730"/>
      <c r="L395" s="730"/>
    </row>
    <row r="396">
      <c r="D396" s="738"/>
      <c r="E396" s="738"/>
      <c r="F396" s="731"/>
      <c r="H396" s="950"/>
      <c r="I396" s="951"/>
      <c r="K396" s="730"/>
      <c r="L396" s="730"/>
    </row>
    <row r="397">
      <c r="D397" s="738"/>
      <c r="E397" s="738"/>
      <c r="F397" s="731"/>
      <c r="H397" s="950"/>
      <c r="I397" s="951"/>
      <c r="K397" s="730"/>
      <c r="L397" s="730"/>
    </row>
    <row r="398">
      <c r="D398" s="738"/>
      <c r="E398" s="738"/>
      <c r="F398" s="731"/>
      <c r="H398" s="950"/>
      <c r="I398" s="951"/>
      <c r="K398" s="730"/>
      <c r="L398" s="730"/>
    </row>
    <row r="399">
      <c r="D399" s="738"/>
      <c r="E399" s="738"/>
      <c r="F399" s="731"/>
      <c r="H399" s="950"/>
      <c r="I399" s="951"/>
      <c r="K399" s="730"/>
      <c r="L399" s="730"/>
    </row>
    <row r="400">
      <c r="D400" s="738"/>
      <c r="E400" s="738"/>
      <c r="F400" s="731"/>
      <c r="H400" s="950"/>
      <c r="I400" s="951"/>
      <c r="K400" s="730"/>
      <c r="L400" s="730"/>
    </row>
    <row r="401">
      <c r="D401" s="738"/>
      <c r="E401" s="738"/>
      <c r="F401" s="731"/>
      <c r="H401" s="950"/>
      <c r="I401" s="951"/>
      <c r="K401" s="730"/>
      <c r="L401" s="730"/>
    </row>
    <row r="402">
      <c r="D402" s="738"/>
      <c r="E402" s="738"/>
      <c r="F402" s="731"/>
      <c r="H402" s="950"/>
      <c r="I402" s="951"/>
      <c r="K402" s="730"/>
      <c r="L402" s="730"/>
    </row>
    <row r="403">
      <c r="D403" s="738"/>
      <c r="E403" s="738"/>
      <c r="F403" s="731"/>
      <c r="H403" s="950"/>
      <c r="I403" s="951"/>
      <c r="K403" s="730"/>
      <c r="L403" s="730"/>
    </row>
    <row r="404">
      <c r="D404" s="738"/>
      <c r="E404" s="738"/>
      <c r="F404" s="731"/>
      <c r="H404" s="950"/>
      <c r="I404" s="951"/>
      <c r="K404" s="730"/>
      <c r="L404" s="730"/>
    </row>
    <row r="405">
      <c r="D405" s="738"/>
      <c r="E405" s="738"/>
      <c r="F405" s="731"/>
      <c r="H405" s="950"/>
      <c r="I405" s="951"/>
      <c r="K405" s="730"/>
      <c r="L405" s="730"/>
    </row>
    <row r="406">
      <c r="D406" s="738"/>
      <c r="E406" s="738"/>
      <c r="F406" s="731"/>
      <c r="H406" s="950"/>
      <c r="I406" s="951"/>
      <c r="K406" s="730"/>
      <c r="L406" s="730"/>
    </row>
    <row r="407">
      <c r="D407" s="738"/>
      <c r="E407" s="738"/>
      <c r="F407" s="731"/>
      <c r="H407" s="950"/>
      <c r="I407" s="951"/>
      <c r="K407" s="730"/>
      <c r="L407" s="730"/>
    </row>
    <row r="408">
      <c r="D408" s="738"/>
      <c r="E408" s="738"/>
      <c r="F408" s="731"/>
      <c r="H408" s="950"/>
      <c r="I408" s="951"/>
      <c r="K408" s="730"/>
      <c r="L408" s="730"/>
    </row>
    <row r="409">
      <c r="D409" s="738"/>
      <c r="E409" s="738"/>
      <c r="F409" s="731"/>
      <c r="H409" s="950"/>
      <c r="I409" s="951"/>
      <c r="K409" s="730"/>
      <c r="L409" s="730"/>
    </row>
    <row r="410">
      <c r="D410" s="738"/>
      <c r="E410" s="738"/>
      <c r="F410" s="731"/>
      <c r="H410" s="950"/>
      <c r="I410" s="951"/>
      <c r="K410" s="730"/>
      <c r="L410" s="730"/>
    </row>
    <row r="411">
      <c r="D411" s="738"/>
      <c r="E411" s="738"/>
      <c r="F411" s="731"/>
      <c r="H411" s="950"/>
      <c r="I411" s="951"/>
      <c r="K411" s="730"/>
      <c r="L411" s="730"/>
    </row>
    <row r="412">
      <c r="D412" s="738"/>
      <c r="E412" s="738"/>
      <c r="F412" s="731"/>
      <c r="H412" s="950"/>
      <c r="I412" s="951"/>
      <c r="K412" s="730"/>
      <c r="L412" s="730"/>
    </row>
    <row r="413">
      <c r="D413" s="738"/>
      <c r="E413" s="738"/>
      <c r="F413" s="731"/>
      <c r="H413" s="950"/>
      <c r="I413" s="951"/>
      <c r="K413" s="730"/>
      <c r="L413" s="730"/>
    </row>
    <row r="414">
      <c r="D414" s="738"/>
      <c r="E414" s="738"/>
      <c r="F414" s="731"/>
      <c r="H414" s="950"/>
      <c r="I414" s="951"/>
      <c r="K414" s="730"/>
      <c r="L414" s="730"/>
    </row>
    <row r="415">
      <c r="D415" s="738"/>
      <c r="E415" s="738"/>
      <c r="F415" s="731"/>
      <c r="H415" s="950"/>
      <c r="I415" s="951"/>
      <c r="K415" s="730"/>
      <c r="L415" s="730"/>
    </row>
    <row r="416">
      <c r="D416" s="738"/>
      <c r="E416" s="738"/>
      <c r="F416" s="731"/>
      <c r="H416" s="950"/>
      <c r="I416" s="951"/>
      <c r="K416" s="730"/>
      <c r="L416" s="730"/>
    </row>
    <row r="417">
      <c r="D417" s="738"/>
      <c r="E417" s="738"/>
      <c r="F417" s="731"/>
      <c r="H417" s="950"/>
      <c r="I417" s="951"/>
      <c r="K417" s="730"/>
      <c r="L417" s="730"/>
    </row>
    <row r="418">
      <c r="D418" s="738"/>
      <c r="E418" s="738"/>
      <c r="F418" s="731"/>
      <c r="H418" s="950"/>
      <c r="I418" s="951"/>
      <c r="K418" s="730"/>
      <c r="L418" s="730"/>
    </row>
    <row r="419">
      <c r="D419" s="738"/>
      <c r="E419" s="738"/>
      <c r="F419" s="731"/>
      <c r="H419" s="950"/>
      <c r="I419" s="951"/>
      <c r="K419" s="730"/>
      <c r="L419" s="730"/>
    </row>
    <row r="420">
      <c r="D420" s="738"/>
      <c r="E420" s="738"/>
      <c r="F420" s="731"/>
      <c r="H420" s="950"/>
      <c r="I420" s="951"/>
      <c r="K420" s="730"/>
      <c r="L420" s="730"/>
    </row>
    <row r="421">
      <c r="D421" s="738"/>
      <c r="E421" s="738"/>
      <c r="F421" s="731"/>
      <c r="H421" s="950"/>
      <c r="I421" s="951"/>
      <c r="K421" s="730"/>
      <c r="L421" s="730"/>
    </row>
    <row r="422">
      <c r="D422" s="738"/>
      <c r="E422" s="738"/>
      <c r="F422" s="731"/>
      <c r="H422" s="950"/>
      <c r="I422" s="951"/>
      <c r="K422" s="730"/>
      <c r="L422" s="730"/>
    </row>
    <row r="423">
      <c r="D423" s="738"/>
      <c r="E423" s="738"/>
      <c r="F423" s="731"/>
      <c r="H423" s="950"/>
      <c r="I423" s="951"/>
      <c r="K423" s="730"/>
      <c r="L423" s="730"/>
    </row>
    <row r="424">
      <c r="D424" s="738"/>
      <c r="E424" s="738"/>
      <c r="F424" s="731"/>
      <c r="H424" s="950"/>
      <c r="I424" s="951"/>
      <c r="K424" s="730"/>
      <c r="L424" s="730"/>
    </row>
    <row r="425">
      <c r="D425" s="738"/>
      <c r="E425" s="738"/>
      <c r="F425" s="731"/>
      <c r="H425" s="950"/>
      <c r="I425" s="951"/>
      <c r="K425" s="730"/>
      <c r="L425" s="730"/>
    </row>
    <row r="426">
      <c r="D426" s="738"/>
      <c r="E426" s="738"/>
      <c r="F426" s="731"/>
      <c r="H426" s="950"/>
      <c r="I426" s="951"/>
      <c r="K426" s="730"/>
      <c r="L426" s="730"/>
    </row>
    <row r="427">
      <c r="D427" s="738"/>
      <c r="E427" s="738"/>
      <c r="F427" s="731"/>
      <c r="H427" s="950"/>
      <c r="I427" s="951"/>
      <c r="K427" s="730"/>
      <c r="L427" s="730"/>
    </row>
    <row r="428">
      <c r="D428" s="738"/>
      <c r="E428" s="738"/>
      <c r="F428" s="731"/>
      <c r="H428" s="950"/>
      <c r="I428" s="951"/>
      <c r="K428" s="730"/>
      <c r="L428" s="730"/>
    </row>
    <row r="429">
      <c r="D429" s="738"/>
      <c r="E429" s="738"/>
      <c r="F429" s="731"/>
      <c r="H429" s="950"/>
      <c r="I429" s="951"/>
      <c r="K429" s="730"/>
      <c r="L429" s="730"/>
    </row>
    <row r="430">
      <c r="D430" s="738"/>
      <c r="E430" s="738"/>
      <c r="F430" s="731"/>
      <c r="H430" s="950"/>
      <c r="I430" s="951"/>
      <c r="K430" s="730"/>
      <c r="L430" s="730"/>
    </row>
    <row r="431">
      <c r="D431" s="738"/>
      <c r="E431" s="738"/>
      <c r="F431" s="731"/>
      <c r="H431" s="950"/>
      <c r="I431" s="951"/>
      <c r="K431" s="730"/>
      <c r="L431" s="730"/>
    </row>
    <row r="432">
      <c r="D432" s="738"/>
      <c r="E432" s="738"/>
      <c r="F432" s="731"/>
      <c r="H432" s="950"/>
      <c r="I432" s="951"/>
      <c r="K432" s="730"/>
      <c r="L432" s="730"/>
    </row>
    <row r="433">
      <c r="D433" s="738"/>
      <c r="E433" s="738"/>
      <c r="F433" s="731"/>
      <c r="H433" s="950"/>
      <c r="I433" s="951"/>
      <c r="K433" s="730"/>
      <c r="L433" s="730"/>
    </row>
    <row r="434">
      <c r="D434" s="738"/>
      <c r="E434" s="738"/>
      <c r="F434" s="731"/>
      <c r="H434" s="950"/>
      <c r="I434" s="951"/>
      <c r="K434" s="730"/>
      <c r="L434" s="730"/>
    </row>
    <row r="435">
      <c r="D435" s="738"/>
      <c r="E435" s="738"/>
      <c r="F435" s="731"/>
      <c r="H435" s="950"/>
      <c r="I435" s="951"/>
      <c r="K435" s="730"/>
      <c r="L435" s="730"/>
    </row>
    <row r="436">
      <c r="D436" s="738"/>
      <c r="E436" s="738"/>
      <c r="F436" s="731"/>
      <c r="H436" s="950"/>
      <c r="I436" s="951"/>
      <c r="K436" s="730"/>
      <c r="L436" s="730"/>
    </row>
    <row r="437">
      <c r="D437" s="738"/>
      <c r="E437" s="738"/>
      <c r="F437" s="731"/>
      <c r="H437" s="950"/>
      <c r="I437" s="951"/>
      <c r="K437" s="730"/>
      <c r="L437" s="730"/>
    </row>
    <row r="438">
      <c r="D438" s="738"/>
      <c r="E438" s="738"/>
      <c r="F438" s="731"/>
      <c r="H438" s="950"/>
      <c r="I438" s="951"/>
      <c r="K438" s="730"/>
      <c r="L438" s="730"/>
    </row>
    <row r="439">
      <c r="D439" s="738"/>
      <c r="E439" s="738"/>
      <c r="F439" s="731"/>
      <c r="H439" s="950"/>
      <c r="I439" s="951"/>
      <c r="K439" s="730"/>
      <c r="L439" s="730"/>
    </row>
    <row r="440">
      <c r="D440" s="738"/>
      <c r="E440" s="738"/>
      <c r="F440" s="731"/>
      <c r="H440" s="950"/>
      <c r="I440" s="951"/>
      <c r="K440" s="730"/>
      <c r="L440" s="730"/>
    </row>
    <row r="441">
      <c r="D441" s="738"/>
      <c r="E441" s="738"/>
      <c r="F441" s="731"/>
      <c r="H441" s="950"/>
      <c r="I441" s="951"/>
      <c r="K441" s="730"/>
      <c r="L441" s="730"/>
    </row>
    <row r="442">
      <c r="D442" s="738"/>
      <c r="E442" s="738"/>
      <c r="F442" s="731"/>
      <c r="H442" s="950"/>
      <c r="I442" s="951"/>
      <c r="K442" s="730"/>
      <c r="L442" s="730"/>
    </row>
    <row r="443">
      <c r="D443" s="738"/>
      <c r="E443" s="738"/>
      <c r="F443" s="731"/>
      <c r="H443" s="950"/>
      <c r="I443" s="951"/>
      <c r="K443" s="730"/>
      <c r="L443" s="730"/>
    </row>
    <row r="444">
      <c r="D444" s="738"/>
      <c r="E444" s="738"/>
      <c r="F444" s="731"/>
      <c r="H444" s="950"/>
      <c r="I444" s="951"/>
      <c r="K444" s="730"/>
      <c r="L444" s="730"/>
    </row>
    <row r="445">
      <c r="D445" s="738"/>
      <c r="E445" s="738"/>
      <c r="F445" s="731"/>
      <c r="H445" s="950"/>
      <c r="I445" s="951"/>
      <c r="K445" s="730"/>
      <c r="L445" s="730"/>
    </row>
    <row r="446">
      <c r="D446" s="738"/>
      <c r="E446" s="738"/>
      <c r="F446" s="731"/>
      <c r="H446" s="950"/>
      <c r="I446" s="951"/>
      <c r="K446" s="730"/>
      <c r="L446" s="730"/>
    </row>
    <row r="447">
      <c r="D447" s="738"/>
      <c r="E447" s="738"/>
      <c r="F447" s="731"/>
      <c r="H447" s="950"/>
      <c r="I447" s="951"/>
      <c r="K447" s="730"/>
      <c r="L447" s="730"/>
    </row>
    <row r="448">
      <c r="D448" s="738"/>
      <c r="E448" s="738"/>
      <c r="F448" s="731"/>
      <c r="H448" s="950"/>
      <c r="I448" s="951"/>
      <c r="K448" s="730"/>
      <c r="L448" s="730"/>
    </row>
    <row r="449">
      <c r="D449" s="738"/>
      <c r="E449" s="738"/>
      <c r="F449" s="731"/>
      <c r="H449" s="950"/>
      <c r="I449" s="951"/>
      <c r="K449" s="730"/>
      <c r="L449" s="730"/>
    </row>
    <row r="450">
      <c r="D450" s="738"/>
      <c r="E450" s="738"/>
      <c r="F450" s="731"/>
      <c r="H450" s="950"/>
      <c r="I450" s="951"/>
      <c r="K450" s="730"/>
      <c r="L450" s="730"/>
    </row>
    <row r="451">
      <c r="D451" s="738"/>
      <c r="E451" s="738"/>
      <c r="F451" s="731"/>
      <c r="H451" s="950"/>
      <c r="I451" s="951"/>
      <c r="K451" s="730"/>
      <c r="L451" s="730"/>
    </row>
    <row r="452">
      <c r="D452" s="738"/>
      <c r="E452" s="738"/>
      <c r="F452" s="731"/>
      <c r="H452" s="950"/>
      <c r="I452" s="951"/>
      <c r="K452" s="730"/>
      <c r="L452" s="730"/>
    </row>
    <row r="453">
      <c r="D453" s="738"/>
      <c r="E453" s="738"/>
      <c r="F453" s="731"/>
      <c r="H453" s="950"/>
      <c r="I453" s="951"/>
      <c r="K453" s="730"/>
      <c r="L453" s="730"/>
    </row>
    <row r="454">
      <c r="D454" s="738"/>
      <c r="E454" s="738"/>
      <c r="F454" s="731"/>
      <c r="H454" s="950"/>
      <c r="I454" s="951"/>
      <c r="K454" s="730"/>
      <c r="L454" s="730"/>
    </row>
    <row r="455">
      <c r="D455" s="738"/>
      <c r="E455" s="738"/>
      <c r="F455" s="731"/>
      <c r="H455" s="950"/>
      <c r="I455" s="951"/>
      <c r="K455" s="730"/>
      <c r="L455" s="730"/>
    </row>
    <row r="456">
      <c r="D456" s="738"/>
      <c r="E456" s="738"/>
      <c r="F456" s="731"/>
      <c r="H456" s="950"/>
      <c r="I456" s="951"/>
      <c r="K456" s="730"/>
      <c r="L456" s="730"/>
    </row>
    <row r="457">
      <c r="D457" s="738"/>
      <c r="E457" s="738"/>
      <c r="F457" s="731"/>
      <c r="H457" s="950"/>
      <c r="I457" s="951"/>
      <c r="K457" s="730"/>
      <c r="L457" s="730"/>
    </row>
    <row r="458">
      <c r="D458" s="738"/>
      <c r="E458" s="738"/>
      <c r="F458" s="731"/>
      <c r="H458" s="950"/>
      <c r="I458" s="951"/>
      <c r="K458" s="730"/>
      <c r="L458" s="730"/>
    </row>
    <row r="459">
      <c r="D459" s="738"/>
      <c r="E459" s="738"/>
      <c r="F459" s="731"/>
      <c r="H459" s="950"/>
      <c r="I459" s="951"/>
      <c r="K459" s="730"/>
      <c r="L459" s="730"/>
    </row>
    <row r="460">
      <c r="D460" s="738"/>
      <c r="E460" s="738"/>
      <c r="F460" s="731"/>
      <c r="H460" s="950"/>
      <c r="I460" s="951"/>
      <c r="K460" s="730"/>
      <c r="L460" s="730"/>
    </row>
    <row r="461">
      <c r="D461" s="738"/>
      <c r="E461" s="738"/>
      <c r="F461" s="731"/>
      <c r="H461" s="950"/>
      <c r="I461" s="951"/>
      <c r="K461" s="730"/>
      <c r="L461" s="730"/>
    </row>
    <row r="462">
      <c r="D462" s="738"/>
      <c r="E462" s="738"/>
      <c r="F462" s="731"/>
      <c r="H462" s="950"/>
      <c r="I462" s="951"/>
      <c r="K462" s="730"/>
      <c r="L462" s="730"/>
    </row>
    <row r="463">
      <c r="D463" s="738"/>
      <c r="E463" s="738"/>
      <c r="F463" s="731"/>
      <c r="H463" s="950"/>
      <c r="I463" s="951"/>
      <c r="K463" s="730"/>
      <c r="L463" s="730"/>
    </row>
    <row r="464">
      <c r="D464" s="738"/>
      <c r="E464" s="738"/>
      <c r="F464" s="731"/>
      <c r="H464" s="950"/>
      <c r="I464" s="951"/>
      <c r="K464" s="730"/>
      <c r="L464" s="730"/>
    </row>
    <row r="465">
      <c r="D465" s="738"/>
      <c r="E465" s="738"/>
      <c r="F465" s="731"/>
      <c r="H465" s="950"/>
      <c r="I465" s="951"/>
      <c r="K465" s="730"/>
      <c r="L465" s="730"/>
    </row>
    <row r="466">
      <c r="D466" s="738"/>
      <c r="E466" s="738"/>
      <c r="F466" s="731"/>
      <c r="H466" s="950"/>
      <c r="I466" s="951"/>
      <c r="K466" s="730"/>
      <c r="L466" s="730"/>
    </row>
    <row r="467">
      <c r="D467" s="738"/>
      <c r="E467" s="738"/>
      <c r="F467" s="731"/>
      <c r="H467" s="950"/>
      <c r="I467" s="951"/>
      <c r="K467" s="730"/>
      <c r="L467" s="730"/>
    </row>
    <row r="468">
      <c r="D468" s="738"/>
      <c r="E468" s="738"/>
      <c r="F468" s="731"/>
      <c r="H468" s="950"/>
      <c r="I468" s="951"/>
      <c r="K468" s="730"/>
      <c r="L468" s="730"/>
    </row>
    <row r="469">
      <c r="D469" s="738"/>
      <c r="E469" s="738"/>
      <c r="F469" s="731"/>
      <c r="H469" s="950"/>
      <c r="I469" s="951"/>
      <c r="K469" s="730"/>
      <c r="L469" s="730"/>
    </row>
    <row r="470">
      <c r="D470" s="738"/>
      <c r="E470" s="738"/>
      <c r="F470" s="731"/>
      <c r="H470" s="950"/>
      <c r="I470" s="951"/>
      <c r="K470" s="730"/>
      <c r="L470" s="730"/>
    </row>
    <row r="471">
      <c r="D471" s="738"/>
      <c r="E471" s="738"/>
      <c r="F471" s="731"/>
      <c r="H471" s="950"/>
      <c r="I471" s="951"/>
      <c r="K471" s="730"/>
      <c r="L471" s="730"/>
    </row>
    <row r="472">
      <c r="D472" s="738"/>
      <c r="E472" s="738"/>
      <c r="F472" s="731"/>
      <c r="H472" s="950"/>
      <c r="I472" s="951"/>
      <c r="K472" s="730"/>
      <c r="L472" s="730"/>
    </row>
    <row r="473">
      <c r="D473" s="738"/>
      <c r="E473" s="738"/>
      <c r="F473" s="731"/>
      <c r="H473" s="950"/>
      <c r="I473" s="951"/>
      <c r="K473" s="730"/>
      <c r="L473" s="730"/>
    </row>
    <row r="474">
      <c r="D474" s="738"/>
      <c r="E474" s="738"/>
      <c r="F474" s="731"/>
      <c r="H474" s="950"/>
      <c r="I474" s="951"/>
      <c r="K474" s="730"/>
      <c r="L474" s="730"/>
    </row>
    <row r="475">
      <c r="D475" s="738"/>
      <c r="E475" s="738"/>
      <c r="F475" s="731"/>
      <c r="H475" s="950"/>
      <c r="I475" s="951"/>
      <c r="K475" s="730"/>
      <c r="L475" s="730"/>
    </row>
    <row r="476">
      <c r="D476" s="738"/>
      <c r="E476" s="738"/>
      <c r="F476" s="731"/>
      <c r="H476" s="950"/>
      <c r="I476" s="951"/>
      <c r="K476" s="730"/>
      <c r="L476" s="730"/>
    </row>
    <row r="477">
      <c r="D477" s="738"/>
      <c r="E477" s="738"/>
      <c r="F477" s="731"/>
      <c r="H477" s="950"/>
      <c r="I477" s="951"/>
      <c r="K477" s="730"/>
      <c r="L477" s="730"/>
    </row>
    <row r="478">
      <c r="D478" s="738"/>
      <c r="E478" s="738"/>
      <c r="F478" s="731"/>
      <c r="H478" s="950"/>
      <c r="I478" s="951"/>
      <c r="K478" s="730"/>
      <c r="L478" s="730"/>
    </row>
    <row r="479">
      <c r="D479" s="738"/>
      <c r="E479" s="738"/>
      <c r="F479" s="731"/>
      <c r="H479" s="950"/>
      <c r="I479" s="951"/>
      <c r="K479" s="730"/>
      <c r="L479" s="730"/>
    </row>
    <row r="480">
      <c r="D480" s="738"/>
      <c r="E480" s="738"/>
      <c r="F480" s="731"/>
      <c r="H480" s="950"/>
      <c r="I480" s="951"/>
      <c r="K480" s="730"/>
      <c r="L480" s="730"/>
    </row>
    <row r="481">
      <c r="D481" s="738"/>
      <c r="E481" s="738"/>
      <c r="F481" s="731"/>
      <c r="H481" s="950"/>
      <c r="I481" s="951"/>
      <c r="K481" s="730"/>
      <c r="L481" s="730"/>
    </row>
    <row r="482">
      <c r="D482" s="738"/>
      <c r="E482" s="738"/>
      <c r="F482" s="731"/>
      <c r="H482" s="950"/>
      <c r="I482" s="951"/>
      <c r="K482" s="730"/>
      <c r="L482" s="730"/>
    </row>
    <row r="483">
      <c r="D483" s="738"/>
      <c r="E483" s="738"/>
      <c r="F483" s="731"/>
      <c r="H483" s="950"/>
      <c r="I483" s="951"/>
      <c r="K483" s="730"/>
      <c r="L483" s="730"/>
    </row>
    <row r="484">
      <c r="D484" s="738"/>
      <c r="E484" s="738"/>
      <c r="F484" s="731"/>
      <c r="H484" s="950"/>
      <c r="I484" s="951"/>
      <c r="K484" s="730"/>
      <c r="L484" s="730"/>
    </row>
    <row r="485">
      <c r="D485" s="738"/>
      <c r="E485" s="738"/>
      <c r="F485" s="731"/>
      <c r="H485" s="950"/>
      <c r="I485" s="951"/>
      <c r="K485" s="730"/>
      <c r="L485" s="730"/>
    </row>
    <row r="486">
      <c r="D486" s="738"/>
      <c r="E486" s="738"/>
      <c r="F486" s="731"/>
      <c r="H486" s="950"/>
      <c r="I486" s="951"/>
      <c r="K486" s="730"/>
      <c r="L486" s="730"/>
    </row>
    <row r="487">
      <c r="D487" s="738"/>
      <c r="E487" s="738"/>
      <c r="F487" s="731"/>
      <c r="H487" s="950"/>
      <c r="I487" s="951"/>
      <c r="K487" s="730"/>
      <c r="L487" s="730"/>
    </row>
    <row r="488">
      <c r="D488" s="738"/>
      <c r="E488" s="738"/>
      <c r="F488" s="731"/>
      <c r="H488" s="950"/>
      <c r="I488" s="951"/>
      <c r="K488" s="730"/>
      <c r="L488" s="730"/>
    </row>
    <row r="489">
      <c r="D489" s="738"/>
      <c r="E489" s="738"/>
      <c r="F489" s="731"/>
      <c r="H489" s="950"/>
      <c r="I489" s="951"/>
      <c r="K489" s="730"/>
      <c r="L489" s="730"/>
    </row>
    <row r="490">
      <c r="D490" s="738"/>
      <c r="E490" s="738"/>
      <c r="F490" s="731"/>
      <c r="H490" s="950"/>
      <c r="I490" s="951"/>
      <c r="K490" s="730"/>
      <c r="L490" s="730"/>
    </row>
    <row r="491">
      <c r="D491" s="738"/>
      <c r="E491" s="738"/>
      <c r="F491" s="731"/>
      <c r="H491" s="950"/>
      <c r="I491" s="951"/>
      <c r="K491" s="730"/>
      <c r="L491" s="730"/>
    </row>
    <row r="492">
      <c r="D492" s="738"/>
      <c r="E492" s="738"/>
      <c r="F492" s="731"/>
      <c r="H492" s="950"/>
      <c r="I492" s="951"/>
      <c r="K492" s="730"/>
      <c r="L492" s="730"/>
    </row>
    <row r="493">
      <c r="D493" s="738"/>
      <c r="E493" s="738"/>
      <c r="F493" s="731"/>
      <c r="H493" s="950"/>
      <c r="I493" s="951"/>
      <c r="K493" s="730"/>
      <c r="L493" s="730"/>
    </row>
    <row r="494">
      <c r="D494" s="738"/>
      <c r="E494" s="738"/>
      <c r="F494" s="731"/>
      <c r="H494" s="950"/>
      <c r="I494" s="951"/>
      <c r="K494" s="730"/>
      <c r="L494" s="730"/>
    </row>
    <row r="495">
      <c r="D495" s="738"/>
      <c r="E495" s="738"/>
      <c r="F495" s="731"/>
      <c r="H495" s="950"/>
      <c r="I495" s="951"/>
      <c r="K495" s="730"/>
      <c r="L495" s="730"/>
    </row>
    <row r="496">
      <c r="D496" s="738"/>
      <c r="E496" s="738"/>
      <c r="F496" s="731"/>
      <c r="H496" s="950"/>
      <c r="I496" s="951"/>
      <c r="K496" s="730"/>
      <c r="L496" s="730"/>
    </row>
    <row r="497">
      <c r="D497" s="738"/>
      <c r="E497" s="738"/>
      <c r="F497" s="731"/>
      <c r="H497" s="950"/>
      <c r="I497" s="951"/>
      <c r="K497" s="730"/>
      <c r="L497" s="730"/>
    </row>
    <row r="498">
      <c r="D498" s="738"/>
      <c r="E498" s="738"/>
      <c r="F498" s="731"/>
      <c r="H498" s="950"/>
      <c r="I498" s="951"/>
      <c r="K498" s="730"/>
      <c r="L498" s="730"/>
    </row>
    <row r="499">
      <c r="D499" s="738"/>
      <c r="E499" s="738"/>
      <c r="F499" s="731"/>
      <c r="H499" s="950"/>
      <c r="I499" s="951"/>
      <c r="K499" s="730"/>
      <c r="L499" s="730"/>
    </row>
    <row r="500">
      <c r="D500" s="738"/>
      <c r="E500" s="738"/>
      <c r="F500" s="731"/>
      <c r="H500" s="950"/>
      <c r="I500" s="951"/>
      <c r="K500" s="730"/>
      <c r="L500" s="730"/>
    </row>
    <row r="501">
      <c r="D501" s="738"/>
      <c r="E501" s="738"/>
      <c r="F501" s="731"/>
      <c r="H501" s="950"/>
      <c r="I501" s="951"/>
      <c r="K501" s="730"/>
      <c r="L501" s="730"/>
    </row>
    <row r="502">
      <c r="D502" s="738"/>
      <c r="E502" s="738"/>
      <c r="F502" s="731"/>
      <c r="H502" s="950"/>
      <c r="I502" s="951"/>
      <c r="K502" s="730"/>
      <c r="L502" s="730"/>
    </row>
    <row r="503">
      <c r="D503" s="738"/>
      <c r="E503" s="738"/>
      <c r="F503" s="731"/>
      <c r="H503" s="950"/>
      <c r="I503" s="951"/>
      <c r="K503" s="730"/>
      <c r="L503" s="730"/>
    </row>
    <row r="504">
      <c r="D504" s="738"/>
      <c r="E504" s="738"/>
      <c r="F504" s="731"/>
      <c r="H504" s="950"/>
      <c r="I504" s="951"/>
      <c r="K504" s="730"/>
      <c r="L504" s="730"/>
    </row>
    <row r="505">
      <c r="D505" s="738"/>
      <c r="E505" s="738"/>
      <c r="F505" s="731"/>
      <c r="H505" s="950"/>
      <c r="I505" s="951"/>
      <c r="K505" s="730"/>
      <c r="L505" s="730"/>
    </row>
    <row r="506">
      <c r="D506" s="738"/>
      <c r="E506" s="738"/>
      <c r="F506" s="731"/>
      <c r="H506" s="950"/>
      <c r="I506" s="951"/>
      <c r="K506" s="730"/>
      <c r="L506" s="730"/>
    </row>
    <row r="507">
      <c r="D507" s="738"/>
      <c r="E507" s="738"/>
      <c r="F507" s="731"/>
      <c r="H507" s="950"/>
      <c r="I507" s="951"/>
      <c r="K507" s="730"/>
      <c r="L507" s="730"/>
    </row>
    <row r="508">
      <c r="D508" s="738"/>
      <c r="E508" s="738"/>
      <c r="F508" s="731"/>
      <c r="H508" s="950"/>
      <c r="I508" s="951"/>
      <c r="K508" s="730"/>
      <c r="L508" s="730"/>
    </row>
    <row r="509">
      <c r="D509" s="738"/>
      <c r="E509" s="738"/>
      <c r="F509" s="731"/>
      <c r="H509" s="950"/>
      <c r="I509" s="951"/>
      <c r="K509" s="730"/>
      <c r="L509" s="730"/>
    </row>
    <row r="510">
      <c r="D510" s="738"/>
      <c r="E510" s="738"/>
      <c r="F510" s="731"/>
      <c r="H510" s="950"/>
      <c r="I510" s="951"/>
      <c r="K510" s="730"/>
      <c r="L510" s="730"/>
    </row>
    <row r="511">
      <c r="D511" s="738"/>
      <c r="E511" s="738"/>
      <c r="F511" s="731"/>
      <c r="H511" s="950"/>
      <c r="I511" s="951"/>
      <c r="K511" s="730"/>
      <c r="L511" s="730"/>
    </row>
    <row r="512">
      <c r="D512" s="738"/>
      <c r="E512" s="738"/>
      <c r="F512" s="731"/>
      <c r="H512" s="950"/>
      <c r="I512" s="951"/>
      <c r="K512" s="730"/>
      <c r="L512" s="730"/>
    </row>
    <row r="513">
      <c r="D513" s="738"/>
      <c r="E513" s="738"/>
      <c r="F513" s="731"/>
      <c r="H513" s="950"/>
      <c r="I513" s="951"/>
      <c r="K513" s="730"/>
      <c r="L513" s="730"/>
    </row>
    <row r="514">
      <c r="D514" s="738"/>
      <c r="E514" s="738"/>
      <c r="F514" s="731"/>
      <c r="H514" s="950"/>
      <c r="I514" s="951"/>
      <c r="K514" s="730"/>
      <c r="L514" s="730"/>
    </row>
    <row r="515">
      <c r="D515" s="738"/>
      <c r="E515" s="738"/>
      <c r="F515" s="731"/>
      <c r="H515" s="950"/>
      <c r="I515" s="951"/>
      <c r="K515" s="730"/>
      <c r="L515" s="730"/>
    </row>
    <row r="516">
      <c r="D516" s="738"/>
      <c r="E516" s="738"/>
      <c r="F516" s="731"/>
      <c r="H516" s="950"/>
      <c r="I516" s="951"/>
      <c r="K516" s="730"/>
      <c r="L516" s="730"/>
    </row>
    <row r="517">
      <c r="D517" s="738"/>
      <c r="E517" s="738"/>
      <c r="F517" s="731"/>
      <c r="H517" s="950"/>
      <c r="I517" s="951"/>
      <c r="K517" s="730"/>
      <c r="L517" s="730"/>
    </row>
    <row r="518">
      <c r="D518" s="738"/>
      <c r="E518" s="738"/>
      <c r="F518" s="731"/>
      <c r="H518" s="950"/>
      <c r="I518" s="951"/>
      <c r="K518" s="730"/>
      <c r="L518" s="730"/>
    </row>
    <row r="519">
      <c r="D519" s="738"/>
      <c r="E519" s="738"/>
      <c r="F519" s="731"/>
      <c r="H519" s="950"/>
      <c r="I519" s="951"/>
      <c r="K519" s="730"/>
      <c r="L519" s="730"/>
    </row>
    <row r="520">
      <c r="D520" s="738"/>
      <c r="E520" s="738"/>
      <c r="F520" s="731"/>
      <c r="H520" s="950"/>
      <c r="I520" s="951"/>
      <c r="K520" s="730"/>
      <c r="L520" s="730"/>
    </row>
    <row r="521">
      <c r="D521" s="738"/>
      <c r="E521" s="738"/>
      <c r="F521" s="731"/>
      <c r="H521" s="950"/>
      <c r="I521" s="951"/>
      <c r="K521" s="730"/>
      <c r="L521" s="730"/>
    </row>
    <row r="522">
      <c r="D522" s="738"/>
      <c r="E522" s="738"/>
      <c r="F522" s="731"/>
      <c r="H522" s="950"/>
      <c r="I522" s="951"/>
      <c r="K522" s="730"/>
      <c r="L522" s="730"/>
    </row>
    <row r="523">
      <c r="D523" s="738"/>
      <c r="E523" s="738"/>
      <c r="F523" s="731"/>
      <c r="H523" s="950"/>
      <c r="I523" s="951"/>
      <c r="K523" s="730"/>
      <c r="L523" s="730"/>
    </row>
    <row r="524">
      <c r="D524" s="738"/>
      <c r="E524" s="738"/>
      <c r="F524" s="731"/>
      <c r="H524" s="950"/>
      <c r="I524" s="951"/>
      <c r="K524" s="730"/>
      <c r="L524" s="730"/>
    </row>
    <row r="525">
      <c r="D525" s="738"/>
      <c r="E525" s="738"/>
      <c r="F525" s="731"/>
      <c r="H525" s="950"/>
      <c r="I525" s="951"/>
      <c r="K525" s="730"/>
      <c r="L525" s="730"/>
    </row>
    <row r="526">
      <c r="D526" s="738"/>
      <c r="E526" s="738"/>
      <c r="F526" s="731"/>
      <c r="H526" s="950"/>
      <c r="I526" s="951"/>
      <c r="K526" s="730"/>
      <c r="L526" s="730"/>
    </row>
    <row r="527">
      <c r="D527" s="738"/>
      <c r="E527" s="738"/>
      <c r="F527" s="731"/>
      <c r="H527" s="950"/>
      <c r="I527" s="951"/>
      <c r="K527" s="730"/>
      <c r="L527" s="730"/>
    </row>
    <row r="528">
      <c r="D528" s="738"/>
      <c r="E528" s="738"/>
      <c r="F528" s="731"/>
      <c r="H528" s="950"/>
      <c r="I528" s="951"/>
      <c r="K528" s="730"/>
      <c r="L528" s="730"/>
    </row>
    <row r="529">
      <c r="D529" s="738"/>
      <c r="E529" s="738"/>
      <c r="F529" s="731"/>
      <c r="H529" s="950"/>
      <c r="I529" s="951"/>
      <c r="K529" s="730"/>
      <c r="L529" s="730"/>
    </row>
    <row r="530">
      <c r="D530" s="738"/>
      <c r="E530" s="738"/>
      <c r="F530" s="731"/>
      <c r="H530" s="950"/>
      <c r="I530" s="951"/>
      <c r="K530" s="730"/>
      <c r="L530" s="730"/>
    </row>
    <row r="531">
      <c r="D531" s="738"/>
      <c r="E531" s="738"/>
      <c r="F531" s="731"/>
      <c r="H531" s="950"/>
      <c r="I531" s="951"/>
      <c r="K531" s="730"/>
      <c r="L531" s="730"/>
    </row>
    <row r="532">
      <c r="D532" s="738"/>
      <c r="E532" s="738"/>
      <c r="F532" s="731"/>
      <c r="H532" s="950"/>
      <c r="I532" s="951"/>
      <c r="K532" s="730"/>
      <c r="L532" s="730"/>
    </row>
    <row r="533">
      <c r="D533" s="738"/>
      <c r="E533" s="738"/>
      <c r="F533" s="731"/>
      <c r="H533" s="950"/>
      <c r="I533" s="951"/>
      <c r="K533" s="730"/>
      <c r="L533" s="730"/>
    </row>
    <row r="534">
      <c r="D534" s="738"/>
      <c r="E534" s="738"/>
      <c r="F534" s="731"/>
      <c r="H534" s="950"/>
      <c r="I534" s="951"/>
      <c r="K534" s="730"/>
      <c r="L534" s="730"/>
    </row>
    <row r="535">
      <c r="D535" s="738"/>
      <c r="E535" s="738"/>
      <c r="F535" s="731"/>
      <c r="H535" s="950"/>
      <c r="I535" s="951"/>
      <c r="K535" s="730"/>
      <c r="L535" s="730"/>
    </row>
    <row r="536">
      <c r="D536" s="738"/>
      <c r="E536" s="738"/>
      <c r="F536" s="731"/>
      <c r="H536" s="950"/>
      <c r="I536" s="951"/>
      <c r="K536" s="730"/>
      <c r="L536" s="730"/>
    </row>
    <row r="537">
      <c r="D537" s="738"/>
      <c r="E537" s="738"/>
      <c r="F537" s="731"/>
      <c r="H537" s="950"/>
      <c r="I537" s="951"/>
      <c r="K537" s="730"/>
      <c r="L537" s="730"/>
    </row>
    <row r="538">
      <c r="D538" s="738"/>
      <c r="E538" s="738"/>
      <c r="F538" s="731"/>
      <c r="H538" s="950"/>
      <c r="I538" s="951"/>
      <c r="K538" s="730"/>
      <c r="L538" s="730"/>
    </row>
    <row r="539">
      <c r="D539" s="738"/>
      <c r="E539" s="738"/>
      <c r="F539" s="731"/>
      <c r="H539" s="950"/>
      <c r="I539" s="951"/>
      <c r="K539" s="730"/>
      <c r="L539" s="730"/>
    </row>
    <row r="540">
      <c r="D540" s="738"/>
      <c r="E540" s="738"/>
      <c r="F540" s="731"/>
      <c r="H540" s="950"/>
      <c r="I540" s="951"/>
      <c r="K540" s="730"/>
      <c r="L540" s="730"/>
    </row>
    <row r="541">
      <c r="D541" s="738"/>
      <c r="E541" s="738"/>
      <c r="F541" s="731"/>
      <c r="H541" s="950"/>
      <c r="I541" s="951"/>
      <c r="K541" s="730"/>
      <c r="L541" s="730"/>
    </row>
    <row r="542">
      <c r="D542" s="738"/>
      <c r="E542" s="738"/>
      <c r="F542" s="731"/>
      <c r="H542" s="950"/>
      <c r="I542" s="951"/>
      <c r="K542" s="730"/>
      <c r="L542" s="730"/>
    </row>
    <row r="543">
      <c r="D543" s="738"/>
      <c r="E543" s="738"/>
      <c r="F543" s="731"/>
      <c r="H543" s="950"/>
      <c r="I543" s="951"/>
      <c r="K543" s="730"/>
      <c r="L543" s="730"/>
    </row>
    <row r="544">
      <c r="D544" s="738"/>
      <c r="E544" s="738"/>
      <c r="F544" s="731"/>
      <c r="H544" s="950"/>
      <c r="I544" s="951"/>
      <c r="K544" s="730"/>
      <c r="L544" s="730"/>
    </row>
    <row r="545">
      <c r="D545" s="738"/>
      <c r="E545" s="738"/>
      <c r="F545" s="731"/>
      <c r="H545" s="950"/>
      <c r="I545" s="951"/>
      <c r="K545" s="730"/>
      <c r="L545" s="730"/>
    </row>
    <row r="546">
      <c r="D546" s="738"/>
      <c r="E546" s="738"/>
      <c r="F546" s="731"/>
      <c r="H546" s="950"/>
      <c r="I546" s="951"/>
      <c r="K546" s="730"/>
      <c r="L546" s="730"/>
    </row>
    <row r="547">
      <c r="D547" s="738"/>
      <c r="E547" s="738"/>
      <c r="F547" s="731"/>
      <c r="H547" s="950"/>
      <c r="I547" s="951"/>
      <c r="K547" s="730"/>
      <c r="L547" s="730"/>
    </row>
    <row r="548">
      <c r="D548" s="738"/>
      <c r="E548" s="738"/>
      <c r="F548" s="731"/>
      <c r="H548" s="950"/>
      <c r="I548" s="951"/>
      <c r="K548" s="730"/>
      <c r="L548" s="730"/>
    </row>
    <row r="549">
      <c r="D549" s="738"/>
      <c r="E549" s="738"/>
      <c r="F549" s="731"/>
      <c r="H549" s="950"/>
      <c r="I549" s="951"/>
      <c r="K549" s="730"/>
      <c r="L549" s="730"/>
    </row>
    <row r="550">
      <c r="D550" s="738"/>
      <c r="E550" s="738"/>
      <c r="F550" s="731"/>
      <c r="H550" s="950"/>
      <c r="I550" s="951"/>
      <c r="K550" s="730"/>
      <c r="L550" s="730"/>
    </row>
    <row r="551">
      <c r="D551" s="738"/>
      <c r="E551" s="738"/>
      <c r="F551" s="731"/>
      <c r="H551" s="950"/>
      <c r="I551" s="951"/>
      <c r="K551" s="730"/>
      <c r="L551" s="730"/>
    </row>
    <row r="552">
      <c r="D552" s="738"/>
      <c r="E552" s="738"/>
      <c r="F552" s="731"/>
      <c r="H552" s="950"/>
      <c r="I552" s="951"/>
      <c r="K552" s="730"/>
      <c r="L552" s="730"/>
    </row>
    <row r="553">
      <c r="D553" s="738"/>
      <c r="E553" s="738"/>
      <c r="F553" s="731"/>
      <c r="H553" s="950"/>
      <c r="I553" s="951"/>
      <c r="K553" s="730"/>
      <c r="L553" s="730"/>
    </row>
    <row r="554">
      <c r="D554" s="738"/>
      <c r="E554" s="738"/>
      <c r="F554" s="731"/>
      <c r="H554" s="950"/>
      <c r="I554" s="951"/>
      <c r="K554" s="730"/>
      <c r="L554" s="730"/>
    </row>
    <row r="555">
      <c r="D555" s="738"/>
      <c r="E555" s="738"/>
      <c r="F555" s="731"/>
      <c r="H555" s="950"/>
      <c r="I555" s="951"/>
      <c r="K555" s="730"/>
      <c r="L555" s="730"/>
    </row>
    <row r="556">
      <c r="D556" s="738"/>
      <c r="E556" s="738"/>
      <c r="F556" s="731"/>
      <c r="H556" s="950"/>
      <c r="I556" s="951"/>
      <c r="K556" s="730"/>
      <c r="L556" s="730"/>
    </row>
    <row r="557">
      <c r="D557" s="738"/>
      <c r="E557" s="738"/>
      <c r="F557" s="731"/>
      <c r="H557" s="950"/>
      <c r="I557" s="951"/>
      <c r="K557" s="730"/>
      <c r="L557" s="730"/>
    </row>
    <row r="558">
      <c r="D558" s="738"/>
      <c r="E558" s="738"/>
      <c r="F558" s="731"/>
      <c r="H558" s="950"/>
      <c r="I558" s="951"/>
      <c r="K558" s="730"/>
      <c r="L558" s="730"/>
    </row>
    <row r="559">
      <c r="D559" s="738"/>
      <c r="E559" s="738"/>
      <c r="F559" s="731"/>
      <c r="H559" s="950"/>
      <c r="I559" s="951"/>
      <c r="K559" s="730"/>
      <c r="L559" s="730"/>
    </row>
    <row r="560">
      <c r="D560" s="738"/>
      <c r="E560" s="738"/>
      <c r="F560" s="731"/>
      <c r="H560" s="950"/>
      <c r="I560" s="951"/>
      <c r="K560" s="730"/>
      <c r="L560" s="730"/>
    </row>
    <row r="561">
      <c r="D561" s="738"/>
      <c r="E561" s="738"/>
      <c r="F561" s="731"/>
      <c r="H561" s="950"/>
      <c r="I561" s="951"/>
      <c r="K561" s="730"/>
      <c r="L561" s="730"/>
    </row>
    <row r="562">
      <c r="D562" s="738"/>
      <c r="E562" s="738"/>
      <c r="F562" s="731"/>
      <c r="H562" s="950"/>
      <c r="I562" s="951"/>
      <c r="K562" s="730"/>
      <c r="L562" s="730"/>
    </row>
    <row r="563">
      <c r="D563" s="738"/>
      <c r="E563" s="738"/>
      <c r="F563" s="731"/>
      <c r="H563" s="950"/>
      <c r="I563" s="951"/>
      <c r="K563" s="730"/>
      <c r="L563" s="730"/>
    </row>
    <row r="564">
      <c r="D564" s="738"/>
      <c r="E564" s="738"/>
      <c r="F564" s="731"/>
      <c r="H564" s="950"/>
      <c r="I564" s="951"/>
      <c r="K564" s="730"/>
      <c r="L564" s="730"/>
    </row>
    <row r="565">
      <c r="D565" s="738"/>
      <c r="E565" s="738"/>
      <c r="F565" s="731"/>
      <c r="H565" s="950"/>
      <c r="I565" s="951"/>
      <c r="K565" s="730"/>
      <c r="L565" s="730"/>
    </row>
    <row r="566">
      <c r="D566" s="738"/>
      <c r="E566" s="738"/>
      <c r="F566" s="731"/>
      <c r="H566" s="950"/>
      <c r="I566" s="951"/>
      <c r="K566" s="730"/>
      <c r="L566" s="730"/>
    </row>
    <row r="567">
      <c r="D567" s="738"/>
      <c r="E567" s="738"/>
      <c r="F567" s="731"/>
      <c r="H567" s="950"/>
      <c r="I567" s="951"/>
      <c r="K567" s="730"/>
      <c r="L567" s="730"/>
    </row>
    <row r="568">
      <c r="D568" s="738"/>
      <c r="E568" s="738"/>
      <c r="F568" s="731"/>
      <c r="H568" s="950"/>
      <c r="I568" s="951"/>
      <c r="K568" s="730"/>
      <c r="L568" s="730"/>
    </row>
    <row r="569">
      <c r="D569" s="738"/>
      <c r="E569" s="738"/>
      <c r="F569" s="731"/>
      <c r="H569" s="950"/>
      <c r="I569" s="951"/>
      <c r="K569" s="730"/>
      <c r="L569" s="730"/>
    </row>
    <row r="570">
      <c r="D570" s="738"/>
      <c r="E570" s="738"/>
      <c r="F570" s="731"/>
      <c r="H570" s="950"/>
      <c r="I570" s="951"/>
      <c r="K570" s="730"/>
      <c r="L570" s="730"/>
    </row>
    <row r="571">
      <c r="D571" s="738"/>
      <c r="E571" s="738"/>
      <c r="F571" s="731"/>
      <c r="H571" s="950"/>
      <c r="I571" s="951"/>
      <c r="K571" s="730"/>
      <c r="L571" s="730"/>
    </row>
    <row r="572">
      <c r="D572" s="738"/>
      <c r="E572" s="738"/>
      <c r="F572" s="731"/>
      <c r="H572" s="950"/>
      <c r="I572" s="951"/>
      <c r="K572" s="730"/>
      <c r="L572" s="730"/>
    </row>
    <row r="573">
      <c r="D573" s="738"/>
      <c r="E573" s="738"/>
      <c r="F573" s="731"/>
      <c r="H573" s="950"/>
      <c r="I573" s="951"/>
      <c r="K573" s="730"/>
      <c r="L573" s="730"/>
    </row>
    <row r="574">
      <c r="D574" s="738"/>
      <c r="E574" s="738"/>
      <c r="F574" s="731"/>
      <c r="H574" s="950"/>
      <c r="I574" s="951"/>
      <c r="K574" s="730"/>
      <c r="L574" s="730"/>
    </row>
    <row r="575">
      <c r="D575" s="738"/>
      <c r="E575" s="738"/>
      <c r="F575" s="731"/>
      <c r="H575" s="950"/>
      <c r="I575" s="951"/>
      <c r="K575" s="730"/>
      <c r="L575" s="730"/>
    </row>
    <row r="576">
      <c r="D576" s="738"/>
      <c r="E576" s="738"/>
      <c r="F576" s="731"/>
      <c r="H576" s="950"/>
      <c r="I576" s="951"/>
      <c r="K576" s="730"/>
      <c r="L576" s="730"/>
    </row>
    <row r="577">
      <c r="D577" s="738"/>
      <c r="E577" s="738"/>
      <c r="F577" s="731"/>
      <c r="H577" s="950"/>
      <c r="I577" s="951"/>
      <c r="K577" s="730"/>
      <c r="L577" s="730"/>
    </row>
    <row r="578">
      <c r="D578" s="738"/>
      <c r="E578" s="738"/>
      <c r="F578" s="731"/>
      <c r="H578" s="950"/>
      <c r="I578" s="951"/>
      <c r="K578" s="730"/>
      <c r="L578" s="730"/>
    </row>
    <row r="579">
      <c r="D579" s="738"/>
      <c r="E579" s="738"/>
      <c r="F579" s="731"/>
      <c r="H579" s="950"/>
      <c r="I579" s="951"/>
      <c r="K579" s="730"/>
      <c r="L579" s="730"/>
    </row>
    <row r="580">
      <c r="D580" s="738"/>
      <c r="E580" s="738"/>
      <c r="F580" s="731"/>
      <c r="H580" s="950"/>
      <c r="I580" s="951"/>
      <c r="K580" s="730"/>
      <c r="L580" s="730"/>
    </row>
    <row r="581">
      <c r="D581" s="738"/>
      <c r="E581" s="738"/>
      <c r="F581" s="731"/>
      <c r="H581" s="950"/>
      <c r="I581" s="951"/>
      <c r="K581" s="730"/>
      <c r="L581" s="730"/>
    </row>
    <row r="582">
      <c r="D582" s="738"/>
      <c r="E582" s="738"/>
      <c r="F582" s="731"/>
      <c r="H582" s="950"/>
      <c r="I582" s="951"/>
      <c r="K582" s="730"/>
      <c r="L582" s="730"/>
    </row>
    <row r="583">
      <c r="D583" s="738"/>
      <c r="E583" s="738"/>
      <c r="F583" s="731"/>
      <c r="H583" s="950"/>
      <c r="I583" s="951"/>
      <c r="K583" s="730"/>
      <c r="L583" s="730"/>
    </row>
    <row r="584">
      <c r="D584" s="738"/>
      <c r="E584" s="738"/>
      <c r="F584" s="731"/>
      <c r="H584" s="950"/>
      <c r="I584" s="951"/>
      <c r="K584" s="730"/>
      <c r="L584" s="730"/>
    </row>
    <row r="585">
      <c r="D585" s="738"/>
      <c r="E585" s="738"/>
      <c r="F585" s="731"/>
      <c r="H585" s="950"/>
      <c r="I585" s="951"/>
      <c r="K585" s="730"/>
      <c r="L585" s="730"/>
    </row>
    <row r="586">
      <c r="D586" s="738"/>
      <c r="E586" s="738"/>
      <c r="F586" s="731"/>
      <c r="H586" s="950"/>
      <c r="I586" s="951"/>
      <c r="K586" s="730"/>
      <c r="L586" s="730"/>
    </row>
    <row r="587">
      <c r="D587" s="738"/>
      <c r="E587" s="738"/>
      <c r="F587" s="731"/>
      <c r="H587" s="950"/>
      <c r="I587" s="951"/>
      <c r="K587" s="730"/>
      <c r="L587" s="730"/>
    </row>
    <row r="588">
      <c r="D588" s="738"/>
      <c r="E588" s="738"/>
      <c r="F588" s="731"/>
      <c r="H588" s="950"/>
      <c r="I588" s="951"/>
      <c r="K588" s="730"/>
      <c r="L588" s="730"/>
    </row>
    <row r="589">
      <c r="D589" s="738"/>
      <c r="E589" s="738"/>
      <c r="F589" s="731"/>
      <c r="H589" s="950"/>
      <c r="I589" s="951"/>
      <c r="K589" s="730"/>
      <c r="L589" s="730"/>
    </row>
    <row r="590">
      <c r="D590" s="738"/>
      <c r="E590" s="738"/>
      <c r="F590" s="731"/>
      <c r="H590" s="950"/>
      <c r="I590" s="951"/>
      <c r="K590" s="730"/>
      <c r="L590" s="730"/>
    </row>
    <row r="591">
      <c r="D591" s="738"/>
      <c r="E591" s="738"/>
      <c r="F591" s="731"/>
      <c r="H591" s="950"/>
      <c r="I591" s="951"/>
      <c r="K591" s="730"/>
      <c r="L591" s="730"/>
    </row>
    <row r="592">
      <c r="D592" s="738"/>
      <c r="E592" s="738"/>
      <c r="F592" s="731"/>
      <c r="H592" s="950"/>
      <c r="I592" s="951"/>
      <c r="K592" s="730"/>
      <c r="L592" s="730"/>
    </row>
    <row r="593">
      <c r="D593" s="738"/>
      <c r="E593" s="738"/>
      <c r="F593" s="731"/>
      <c r="H593" s="950"/>
      <c r="I593" s="951"/>
      <c r="K593" s="730"/>
      <c r="L593" s="730"/>
    </row>
    <row r="594">
      <c r="D594" s="738"/>
      <c r="E594" s="738"/>
      <c r="F594" s="731"/>
      <c r="H594" s="950"/>
      <c r="I594" s="951"/>
      <c r="K594" s="730"/>
      <c r="L594" s="730"/>
    </row>
    <row r="595">
      <c r="D595" s="738"/>
      <c r="E595" s="738"/>
      <c r="F595" s="731"/>
      <c r="H595" s="950"/>
      <c r="I595" s="951"/>
      <c r="K595" s="730"/>
      <c r="L595" s="730"/>
    </row>
    <row r="596">
      <c r="D596" s="738"/>
      <c r="E596" s="738"/>
      <c r="F596" s="731"/>
      <c r="H596" s="950"/>
      <c r="I596" s="951"/>
      <c r="K596" s="730"/>
      <c r="L596" s="730"/>
    </row>
    <row r="597">
      <c r="D597" s="738"/>
      <c r="E597" s="738"/>
      <c r="F597" s="731"/>
      <c r="H597" s="950"/>
      <c r="I597" s="951"/>
      <c r="K597" s="730"/>
      <c r="L597" s="730"/>
    </row>
    <row r="598">
      <c r="D598" s="738"/>
      <c r="E598" s="738"/>
      <c r="F598" s="731"/>
      <c r="H598" s="950"/>
      <c r="I598" s="951"/>
      <c r="K598" s="730"/>
      <c r="L598" s="730"/>
    </row>
    <row r="599">
      <c r="D599" s="738"/>
      <c r="E599" s="738"/>
      <c r="F599" s="731"/>
      <c r="H599" s="950"/>
      <c r="I599" s="951"/>
      <c r="K599" s="730"/>
      <c r="L599" s="730"/>
    </row>
    <row r="600">
      <c r="D600" s="738"/>
      <c r="E600" s="738"/>
      <c r="F600" s="731"/>
      <c r="H600" s="950"/>
      <c r="I600" s="951"/>
      <c r="K600" s="730"/>
      <c r="L600" s="730"/>
    </row>
    <row r="601">
      <c r="D601" s="738"/>
      <c r="E601" s="738"/>
      <c r="F601" s="731"/>
      <c r="H601" s="950"/>
      <c r="I601" s="951"/>
      <c r="K601" s="730"/>
      <c r="L601" s="730"/>
    </row>
    <row r="602">
      <c r="D602" s="738"/>
      <c r="E602" s="738"/>
      <c r="F602" s="731"/>
      <c r="H602" s="950"/>
      <c r="I602" s="951"/>
      <c r="K602" s="730"/>
      <c r="L602" s="730"/>
    </row>
    <row r="603">
      <c r="D603" s="738"/>
      <c r="E603" s="738"/>
      <c r="F603" s="731"/>
      <c r="H603" s="950"/>
      <c r="I603" s="951"/>
      <c r="K603" s="730"/>
      <c r="L603" s="730"/>
    </row>
    <row r="604">
      <c r="D604" s="738"/>
      <c r="E604" s="738"/>
      <c r="F604" s="731"/>
      <c r="H604" s="950"/>
      <c r="I604" s="951"/>
      <c r="K604" s="730"/>
      <c r="L604" s="730"/>
    </row>
    <row r="605">
      <c r="D605" s="738"/>
      <c r="E605" s="738"/>
      <c r="F605" s="731"/>
      <c r="H605" s="950"/>
      <c r="I605" s="951"/>
      <c r="K605" s="730"/>
      <c r="L605" s="730"/>
    </row>
    <row r="606">
      <c r="D606" s="738"/>
      <c r="E606" s="738"/>
      <c r="F606" s="731"/>
      <c r="H606" s="950"/>
      <c r="I606" s="951"/>
      <c r="K606" s="730"/>
      <c r="L606" s="730"/>
    </row>
    <row r="607">
      <c r="D607" s="738"/>
      <c r="E607" s="738"/>
      <c r="F607" s="731"/>
      <c r="H607" s="950"/>
      <c r="I607" s="951"/>
      <c r="K607" s="730"/>
      <c r="L607" s="730"/>
    </row>
    <row r="608">
      <c r="D608" s="738"/>
      <c r="E608" s="738"/>
      <c r="F608" s="731"/>
      <c r="H608" s="950"/>
      <c r="I608" s="951"/>
      <c r="K608" s="730"/>
      <c r="L608" s="730"/>
    </row>
    <row r="609">
      <c r="D609" s="738"/>
      <c r="E609" s="738"/>
      <c r="F609" s="731"/>
      <c r="H609" s="950"/>
      <c r="I609" s="951"/>
      <c r="K609" s="730"/>
      <c r="L609" s="730"/>
    </row>
    <row r="610">
      <c r="D610" s="738"/>
      <c r="E610" s="738"/>
      <c r="F610" s="731"/>
      <c r="H610" s="950"/>
      <c r="I610" s="951"/>
      <c r="K610" s="730"/>
      <c r="L610" s="730"/>
    </row>
    <row r="611">
      <c r="D611" s="738"/>
      <c r="E611" s="738"/>
      <c r="F611" s="731"/>
      <c r="H611" s="950"/>
      <c r="I611" s="951"/>
      <c r="K611" s="730"/>
      <c r="L611" s="730"/>
    </row>
    <row r="612">
      <c r="D612" s="738"/>
      <c r="E612" s="738"/>
      <c r="F612" s="731"/>
      <c r="H612" s="950"/>
      <c r="I612" s="951"/>
      <c r="K612" s="730"/>
      <c r="L612" s="730"/>
    </row>
    <row r="613">
      <c r="D613" s="738"/>
      <c r="E613" s="738"/>
      <c r="F613" s="731"/>
      <c r="H613" s="950"/>
      <c r="I613" s="951"/>
      <c r="K613" s="730"/>
      <c r="L613" s="730"/>
    </row>
    <row r="614">
      <c r="D614" s="738"/>
      <c r="E614" s="738"/>
      <c r="F614" s="731"/>
      <c r="H614" s="950"/>
      <c r="I614" s="951"/>
      <c r="K614" s="730"/>
      <c r="L614" s="730"/>
    </row>
    <row r="615">
      <c r="D615" s="738"/>
      <c r="E615" s="738"/>
      <c r="F615" s="731"/>
      <c r="H615" s="950"/>
      <c r="I615" s="951"/>
      <c r="K615" s="730"/>
      <c r="L615" s="730"/>
    </row>
    <row r="616">
      <c r="D616" s="738"/>
      <c r="E616" s="738"/>
      <c r="F616" s="731"/>
      <c r="H616" s="950"/>
      <c r="I616" s="951"/>
      <c r="K616" s="730"/>
      <c r="L616" s="730"/>
    </row>
    <row r="617">
      <c r="D617" s="738"/>
      <c r="E617" s="738"/>
      <c r="F617" s="731"/>
      <c r="H617" s="950"/>
      <c r="I617" s="951"/>
      <c r="K617" s="730"/>
      <c r="L617" s="730"/>
    </row>
    <row r="618">
      <c r="D618" s="738"/>
      <c r="E618" s="738"/>
      <c r="F618" s="731"/>
      <c r="H618" s="950"/>
      <c r="I618" s="951"/>
      <c r="K618" s="730"/>
      <c r="L618" s="730"/>
    </row>
    <row r="619">
      <c r="D619" s="738"/>
      <c r="E619" s="738"/>
      <c r="F619" s="731"/>
      <c r="H619" s="950"/>
      <c r="I619" s="951"/>
      <c r="K619" s="730"/>
      <c r="L619" s="730"/>
    </row>
    <row r="620">
      <c r="D620" s="738"/>
      <c r="E620" s="738"/>
      <c r="F620" s="731"/>
      <c r="H620" s="950"/>
      <c r="I620" s="951"/>
      <c r="K620" s="730"/>
      <c r="L620" s="730"/>
    </row>
    <row r="621">
      <c r="D621" s="738"/>
      <c r="E621" s="738"/>
      <c r="F621" s="731"/>
      <c r="H621" s="950"/>
      <c r="I621" s="951"/>
      <c r="K621" s="730"/>
      <c r="L621" s="730"/>
    </row>
    <row r="622">
      <c r="D622" s="738"/>
      <c r="E622" s="738"/>
      <c r="F622" s="731"/>
      <c r="H622" s="950"/>
      <c r="I622" s="951"/>
      <c r="K622" s="730"/>
      <c r="L622" s="730"/>
    </row>
    <row r="623">
      <c r="D623" s="738"/>
      <c r="E623" s="738"/>
      <c r="F623" s="731"/>
      <c r="H623" s="950"/>
      <c r="I623" s="951"/>
      <c r="K623" s="730"/>
      <c r="L623" s="730"/>
    </row>
    <row r="624">
      <c r="D624" s="738"/>
      <c r="E624" s="738"/>
      <c r="F624" s="731"/>
      <c r="H624" s="950"/>
      <c r="I624" s="951"/>
      <c r="K624" s="730"/>
      <c r="L624" s="730"/>
    </row>
    <row r="625">
      <c r="D625" s="738"/>
      <c r="E625" s="738"/>
      <c r="F625" s="731"/>
      <c r="H625" s="950"/>
      <c r="I625" s="951"/>
      <c r="K625" s="730"/>
      <c r="L625" s="730"/>
    </row>
    <row r="626">
      <c r="D626" s="738"/>
      <c r="E626" s="738"/>
      <c r="F626" s="731"/>
      <c r="H626" s="950"/>
      <c r="I626" s="951"/>
      <c r="K626" s="730"/>
      <c r="L626" s="730"/>
    </row>
    <row r="627">
      <c r="D627" s="738"/>
      <c r="E627" s="738"/>
      <c r="F627" s="731"/>
      <c r="H627" s="950"/>
      <c r="I627" s="951"/>
      <c r="K627" s="730"/>
      <c r="L627" s="730"/>
    </row>
    <row r="628">
      <c r="D628" s="738"/>
      <c r="E628" s="738"/>
      <c r="F628" s="731"/>
      <c r="H628" s="950"/>
      <c r="I628" s="951"/>
      <c r="K628" s="730"/>
      <c r="L628" s="730"/>
    </row>
    <row r="629">
      <c r="D629" s="738"/>
      <c r="E629" s="738"/>
      <c r="F629" s="731"/>
      <c r="H629" s="950"/>
      <c r="I629" s="951"/>
      <c r="K629" s="730"/>
      <c r="L629" s="730"/>
    </row>
    <row r="630">
      <c r="D630" s="738"/>
      <c r="E630" s="738"/>
      <c r="F630" s="731"/>
      <c r="H630" s="950"/>
      <c r="I630" s="951"/>
      <c r="K630" s="730"/>
      <c r="L630" s="730"/>
    </row>
    <row r="631">
      <c r="D631" s="738"/>
      <c r="E631" s="738"/>
      <c r="F631" s="731"/>
      <c r="H631" s="950"/>
      <c r="I631" s="951"/>
      <c r="K631" s="730"/>
      <c r="L631" s="730"/>
    </row>
    <row r="632">
      <c r="D632" s="738"/>
      <c r="E632" s="738"/>
      <c r="F632" s="731"/>
      <c r="H632" s="950"/>
      <c r="I632" s="951"/>
      <c r="K632" s="730"/>
      <c r="L632" s="730"/>
    </row>
    <row r="633">
      <c r="D633" s="738"/>
      <c r="E633" s="738"/>
      <c r="F633" s="731"/>
      <c r="H633" s="950"/>
      <c r="I633" s="951"/>
      <c r="K633" s="730"/>
      <c r="L633" s="730"/>
    </row>
    <row r="634">
      <c r="D634" s="738"/>
      <c r="E634" s="738"/>
      <c r="F634" s="731"/>
      <c r="H634" s="950"/>
      <c r="I634" s="951"/>
      <c r="K634" s="730"/>
      <c r="L634" s="730"/>
    </row>
    <row r="635">
      <c r="D635" s="738"/>
      <c r="E635" s="738"/>
      <c r="F635" s="731"/>
      <c r="H635" s="950"/>
      <c r="I635" s="951"/>
      <c r="K635" s="730"/>
      <c r="L635" s="730"/>
    </row>
    <row r="636">
      <c r="D636" s="738"/>
      <c r="E636" s="738"/>
      <c r="F636" s="731"/>
      <c r="H636" s="950"/>
      <c r="I636" s="951"/>
      <c r="K636" s="730"/>
      <c r="L636" s="730"/>
    </row>
    <row r="637">
      <c r="D637" s="738"/>
      <c r="E637" s="738"/>
      <c r="F637" s="731"/>
      <c r="H637" s="950"/>
      <c r="I637" s="951"/>
      <c r="K637" s="730"/>
      <c r="L637" s="730"/>
    </row>
    <row r="638">
      <c r="D638" s="738"/>
      <c r="E638" s="738"/>
      <c r="F638" s="731"/>
      <c r="H638" s="950"/>
      <c r="I638" s="951"/>
      <c r="K638" s="730"/>
      <c r="L638" s="730"/>
    </row>
    <row r="639">
      <c r="D639" s="738"/>
      <c r="E639" s="738"/>
      <c r="F639" s="731"/>
      <c r="H639" s="950"/>
      <c r="I639" s="951"/>
      <c r="K639" s="730"/>
      <c r="L639" s="730"/>
    </row>
    <row r="640">
      <c r="D640" s="738"/>
      <c r="E640" s="738"/>
      <c r="F640" s="731"/>
      <c r="H640" s="950"/>
      <c r="I640" s="951"/>
      <c r="K640" s="730"/>
      <c r="L640" s="730"/>
    </row>
    <row r="641">
      <c r="D641" s="738"/>
      <c r="E641" s="738"/>
      <c r="F641" s="731"/>
      <c r="H641" s="950"/>
      <c r="I641" s="951"/>
      <c r="K641" s="730"/>
      <c r="L641" s="730"/>
    </row>
    <row r="642">
      <c r="D642" s="738"/>
      <c r="E642" s="738"/>
      <c r="F642" s="731"/>
      <c r="H642" s="950"/>
      <c r="I642" s="951"/>
      <c r="K642" s="730"/>
      <c r="L642" s="730"/>
    </row>
    <row r="643">
      <c r="D643" s="738"/>
      <c r="E643" s="738"/>
      <c r="F643" s="731"/>
      <c r="H643" s="950"/>
      <c r="I643" s="951"/>
      <c r="K643" s="730"/>
      <c r="L643" s="730"/>
    </row>
    <row r="644">
      <c r="D644" s="738"/>
      <c r="E644" s="738"/>
      <c r="F644" s="731"/>
      <c r="H644" s="950"/>
      <c r="I644" s="951"/>
      <c r="K644" s="730"/>
      <c r="L644" s="730"/>
    </row>
    <row r="645">
      <c r="D645" s="738"/>
      <c r="E645" s="738"/>
      <c r="F645" s="731"/>
      <c r="H645" s="950"/>
      <c r="I645" s="951"/>
      <c r="K645" s="730"/>
      <c r="L645" s="730"/>
    </row>
    <row r="646">
      <c r="D646" s="738"/>
      <c r="E646" s="738"/>
      <c r="F646" s="731"/>
      <c r="H646" s="950"/>
      <c r="I646" s="951"/>
      <c r="K646" s="730"/>
      <c r="L646" s="730"/>
    </row>
    <row r="647">
      <c r="D647" s="738"/>
      <c r="E647" s="738"/>
      <c r="F647" s="731"/>
      <c r="H647" s="950"/>
      <c r="I647" s="951"/>
      <c r="K647" s="730"/>
      <c r="L647" s="730"/>
    </row>
    <row r="648">
      <c r="D648" s="738"/>
      <c r="E648" s="738"/>
      <c r="F648" s="731"/>
      <c r="H648" s="950"/>
      <c r="I648" s="951"/>
      <c r="K648" s="730"/>
      <c r="L648" s="730"/>
    </row>
    <row r="649">
      <c r="D649" s="738"/>
      <c r="E649" s="738"/>
      <c r="F649" s="731"/>
      <c r="H649" s="950"/>
      <c r="I649" s="951"/>
      <c r="K649" s="730"/>
      <c r="L649" s="730"/>
    </row>
    <row r="650">
      <c r="D650" s="738"/>
      <c r="E650" s="738"/>
      <c r="F650" s="731"/>
      <c r="H650" s="950"/>
      <c r="I650" s="951"/>
      <c r="K650" s="730"/>
      <c r="L650" s="730"/>
    </row>
    <row r="651">
      <c r="D651" s="738"/>
      <c r="E651" s="738"/>
      <c r="F651" s="731"/>
      <c r="H651" s="950"/>
      <c r="I651" s="951"/>
      <c r="K651" s="730"/>
      <c r="L651" s="730"/>
    </row>
    <row r="652">
      <c r="D652" s="738"/>
      <c r="E652" s="738"/>
      <c r="F652" s="731"/>
      <c r="H652" s="950"/>
      <c r="I652" s="951"/>
      <c r="K652" s="730"/>
      <c r="L652" s="730"/>
    </row>
    <row r="653">
      <c r="D653" s="738"/>
      <c r="E653" s="738"/>
      <c r="F653" s="731"/>
      <c r="H653" s="950"/>
      <c r="I653" s="951"/>
      <c r="K653" s="730"/>
      <c r="L653" s="730"/>
    </row>
    <row r="654">
      <c r="D654" s="738"/>
      <c r="E654" s="738"/>
      <c r="F654" s="731"/>
      <c r="H654" s="950"/>
      <c r="I654" s="951"/>
      <c r="K654" s="730"/>
      <c r="L654" s="730"/>
    </row>
    <row r="655">
      <c r="D655" s="738"/>
      <c r="E655" s="738"/>
      <c r="F655" s="731"/>
      <c r="H655" s="950"/>
      <c r="I655" s="951"/>
      <c r="K655" s="730"/>
      <c r="L655" s="730"/>
    </row>
    <row r="656">
      <c r="D656" s="738"/>
      <c r="E656" s="738"/>
      <c r="F656" s="731"/>
      <c r="H656" s="950"/>
      <c r="I656" s="951"/>
      <c r="K656" s="730"/>
      <c r="L656" s="730"/>
    </row>
    <row r="657">
      <c r="D657" s="738"/>
      <c r="E657" s="738"/>
      <c r="F657" s="731"/>
      <c r="H657" s="950"/>
      <c r="I657" s="951"/>
      <c r="K657" s="730"/>
      <c r="L657" s="730"/>
    </row>
    <row r="658">
      <c r="D658" s="738"/>
      <c r="E658" s="738"/>
      <c r="F658" s="731"/>
      <c r="H658" s="950"/>
      <c r="I658" s="951"/>
      <c r="K658" s="730"/>
      <c r="L658" s="730"/>
    </row>
    <row r="659">
      <c r="D659" s="738"/>
      <c r="E659" s="738"/>
      <c r="F659" s="731"/>
      <c r="H659" s="950"/>
      <c r="I659" s="951"/>
      <c r="K659" s="730"/>
      <c r="L659" s="730"/>
    </row>
    <row r="660">
      <c r="D660" s="738"/>
      <c r="E660" s="738"/>
      <c r="F660" s="731"/>
      <c r="H660" s="950"/>
      <c r="I660" s="951"/>
      <c r="K660" s="730"/>
      <c r="L660" s="730"/>
    </row>
    <row r="661">
      <c r="D661" s="738"/>
      <c r="E661" s="738"/>
      <c r="F661" s="731"/>
      <c r="H661" s="950"/>
      <c r="I661" s="951"/>
      <c r="K661" s="730"/>
      <c r="L661" s="730"/>
    </row>
    <row r="662">
      <c r="D662" s="738"/>
      <c r="E662" s="738"/>
      <c r="F662" s="731"/>
      <c r="H662" s="950"/>
      <c r="I662" s="951"/>
      <c r="K662" s="730"/>
      <c r="L662" s="730"/>
    </row>
    <row r="663">
      <c r="D663" s="738"/>
      <c r="E663" s="738"/>
      <c r="F663" s="731"/>
      <c r="H663" s="950"/>
      <c r="I663" s="951"/>
      <c r="K663" s="730"/>
      <c r="L663" s="730"/>
    </row>
    <row r="664">
      <c r="D664" s="738"/>
      <c r="E664" s="738"/>
      <c r="F664" s="731"/>
      <c r="H664" s="950"/>
      <c r="I664" s="951"/>
      <c r="K664" s="730"/>
      <c r="L664" s="730"/>
    </row>
    <row r="665">
      <c r="D665" s="738"/>
      <c r="E665" s="738"/>
      <c r="F665" s="731"/>
      <c r="H665" s="950"/>
      <c r="I665" s="951"/>
      <c r="K665" s="730"/>
      <c r="L665" s="730"/>
    </row>
    <row r="666">
      <c r="D666" s="738"/>
      <c r="E666" s="738"/>
      <c r="F666" s="731"/>
      <c r="H666" s="950"/>
      <c r="I666" s="951"/>
      <c r="K666" s="730"/>
      <c r="L666" s="730"/>
    </row>
    <row r="667">
      <c r="D667" s="738"/>
      <c r="E667" s="738"/>
      <c r="F667" s="731"/>
      <c r="H667" s="950"/>
      <c r="I667" s="951"/>
      <c r="K667" s="730"/>
      <c r="L667" s="730"/>
    </row>
    <row r="668">
      <c r="D668" s="738"/>
      <c r="E668" s="738"/>
      <c r="F668" s="731"/>
      <c r="H668" s="950"/>
      <c r="I668" s="951"/>
      <c r="K668" s="730"/>
      <c r="L668" s="730"/>
    </row>
    <row r="669">
      <c r="D669" s="738"/>
      <c r="E669" s="738"/>
      <c r="F669" s="731"/>
      <c r="H669" s="950"/>
      <c r="I669" s="951"/>
      <c r="K669" s="730"/>
      <c r="L669" s="730"/>
    </row>
    <row r="670">
      <c r="D670" s="738"/>
      <c r="E670" s="738"/>
      <c r="F670" s="731"/>
      <c r="H670" s="950"/>
      <c r="I670" s="951"/>
      <c r="K670" s="730"/>
      <c r="L670" s="730"/>
    </row>
    <row r="671">
      <c r="D671" s="738"/>
      <c r="E671" s="738"/>
      <c r="F671" s="731"/>
      <c r="H671" s="950"/>
      <c r="I671" s="951"/>
      <c r="K671" s="730"/>
      <c r="L671" s="730"/>
    </row>
    <row r="672">
      <c r="D672" s="738"/>
      <c r="E672" s="738"/>
      <c r="F672" s="731"/>
      <c r="H672" s="950"/>
      <c r="I672" s="951"/>
      <c r="K672" s="730"/>
      <c r="L672" s="730"/>
    </row>
    <row r="673">
      <c r="D673" s="738"/>
      <c r="E673" s="738"/>
      <c r="F673" s="731"/>
      <c r="H673" s="950"/>
      <c r="I673" s="951"/>
      <c r="K673" s="730"/>
      <c r="L673" s="730"/>
    </row>
    <row r="674">
      <c r="D674" s="738"/>
      <c r="E674" s="738"/>
      <c r="F674" s="731"/>
      <c r="H674" s="950"/>
      <c r="I674" s="951"/>
      <c r="K674" s="730"/>
      <c r="L674" s="730"/>
    </row>
    <row r="675">
      <c r="D675" s="738"/>
      <c r="E675" s="738"/>
      <c r="F675" s="731"/>
      <c r="H675" s="950"/>
      <c r="I675" s="951"/>
      <c r="K675" s="730"/>
      <c r="L675" s="730"/>
    </row>
    <row r="676">
      <c r="D676" s="738"/>
      <c r="E676" s="738"/>
      <c r="F676" s="731"/>
      <c r="H676" s="950"/>
      <c r="I676" s="951"/>
      <c r="K676" s="730"/>
      <c r="L676" s="730"/>
    </row>
    <row r="677">
      <c r="D677" s="738"/>
      <c r="E677" s="738"/>
      <c r="F677" s="731"/>
      <c r="H677" s="950"/>
      <c r="I677" s="951"/>
      <c r="K677" s="730"/>
      <c r="L677" s="730"/>
    </row>
    <row r="678">
      <c r="D678" s="738"/>
      <c r="E678" s="738"/>
      <c r="F678" s="731"/>
      <c r="H678" s="950"/>
      <c r="I678" s="951"/>
      <c r="K678" s="730"/>
      <c r="L678" s="730"/>
    </row>
    <row r="679">
      <c r="D679" s="738"/>
      <c r="E679" s="738"/>
      <c r="F679" s="731"/>
      <c r="H679" s="950"/>
      <c r="I679" s="951"/>
      <c r="K679" s="730"/>
      <c r="L679" s="730"/>
    </row>
    <row r="680">
      <c r="D680" s="738"/>
      <c r="E680" s="738"/>
      <c r="F680" s="731"/>
      <c r="H680" s="950"/>
      <c r="I680" s="951"/>
      <c r="K680" s="730"/>
      <c r="L680" s="730"/>
    </row>
    <row r="681">
      <c r="D681" s="738"/>
      <c r="E681" s="738"/>
      <c r="F681" s="731"/>
      <c r="H681" s="950"/>
      <c r="I681" s="951"/>
      <c r="K681" s="730"/>
      <c r="L681" s="730"/>
    </row>
    <row r="682">
      <c r="D682" s="738"/>
      <c r="E682" s="738"/>
      <c r="F682" s="731"/>
      <c r="H682" s="950"/>
      <c r="I682" s="951"/>
      <c r="K682" s="730"/>
      <c r="L682" s="730"/>
    </row>
    <row r="683">
      <c r="D683" s="738"/>
      <c r="E683" s="738"/>
      <c r="F683" s="731"/>
      <c r="H683" s="950"/>
      <c r="I683" s="951"/>
      <c r="K683" s="730"/>
      <c r="L683" s="730"/>
    </row>
    <row r="684">
      <c r="D684" s="738"/>
      <c r="E684" s="738"/>
      <c r="F684" s="731"/>
      <c r="H684" s="950"/>
      <c r="I684" s="951"/>
      <c r="K684" s="730"/>
      <c r="L684" s="730"/>
    </row>
    <row r="685">
      <c r="D685" s="738"/>
      <c r="E685" s="738"/>
      <c r="F685" s="731"/>
      <c r="H685" s="950"/>
      <c r="I685" s="951"/>
      <c r="K685" s="730"/>
      <c r="L685" s="730"/>
    </row>
    <row r="686">
      <c r="D686" s="738"/>
      <c r="E686" s="738"/>
      <c r="F686" s="731"/>
      <c r="H686" s="950"/>
      <c r="I686" s="951"/>
      <c r="K686" s="730"/>
      <c r="L686" s="730"/>
    </row>
    <row r="687">
      <c r="D687" s="738"/>
      <c r="E687" s="738"/>
      <c r="F687" s="731"/>
      <c r="H687" s="950"/>
      <c r="I687" s="951"/>
      <c r="K687" s="730"/>
      <c r="L687" s="730"/>
    </row>
    <row r="688">
      <c r="D688" s="738"/>
      <c r="E688" s="738"/>
      <c r="F688" s="731"/>
      <c r="H688" s="950"/>
      <c r="I688" s="951"/>
      <c r="K688" s="730"/>
      <c r="L688" s="730"/>
    </row>
    <row r="689">
      <c r="D689" s="738"/>
      <c r="E689" s="738"/>
      <c r="F689" s="731"/>
      <c r="H689" s="950"/>
      <c r="I689" s="951"/>
      <c r="K689" s="730"/>
      <c r="L689" s="730"/>
    </row>
    <row r="690">
      <c r="D690" s="738"/>
      <c r="E690" s="738"/>
      <c r="F690" s="731"/>
      <c r="H690" s="950"/>
      <c r="I690" s="951"/>
      <c r="K690" s="730"/>
      <c r="L690" s="730"/>
    </row>
    <row r="691">
      <c r="D691" s="738"/>
      <c r="E691" s="738"/>
      <c r="F691" s="731"/>
      <c r="H691" s="950"/>
      <c r="I691" s="951"/>
      <c r="K691" s="730"/>
      <c r="L691" s="730"/>
    </row>
    <row r="692">
      <c r="D692" s="738"/>
      <c r="E692" s="738"/>
      <c r="F692" s="731"/>
      <c r="H692" s="950"/>
      <c r="I692" s="951"/>
      <c r="K692" s="730"/>
      <c r="L692" s="730"/>
    </row>
    <row r="693">
      <c r="D693" s="738"/>
      <c r="E693" s="738"/>
      <c r="F693" s="731"/>
      <c r="H693" s="950"/>
      <c r="I693" s="951"/>
      <c r="K693" s="730"/>
      <c r="L693" s="730"/>
    </row>
    <row r="694">
      <c r="D694" s="738"/>
      <c r="E694" s="738"/>
      <c r="F694" s="731"/>
      <c r="H694" s="950"/>
      <c r="I694" s="951"/>
      <c r="K694" s="730"/>
      <c r="L694" s="730"/>
    </row>
    <row r="695">
      <c r="D695" s="738"/>
      <c r="E695" s="738"/>
      <c r="F695" s="731"/>
      <c r="H695" s="950"/>
      <c r="I695" s="951"/>
    </row>
    <row r="696">
      <c r="D696" s="738"/>
      <c r="E696" s="738"/>
      <c r="F696" s="731"/>
      <c r="H696" s="950"/>
      <c r="I696" s="951"/>
    </row>
    <row r="697">
      <c r="D697" s="738"/>
      <c r="E697" s="738"/>
      <c r="F697" s="731"/>
      <c r="H697" s="950"/>
      <c r="I697" s="951"/>
    </row>
    <row r="698">
      <c r="D698" s="738"/>
      <c r="E698" s="738"/>
      <c r="F698" s="731"/>
      <c r="H698" s="950"/>
      <c r="I698" s="951"/>
    </row>
    <row r="699">
      <c r="D699" s="738"/>
      <c r="E699" s="738"/>
      <c r="F699" s="731"/>
      <c r="H699" s="950"/>
      <c r="I699" s="951"/>
    </row>
    <row r="700">
      <c r="D700" s="738"/>
      <c r="E700" s="738"/>
      <c r="F700" s="731"/>
      <c r="H700" s="950"/>
      <c r="I700" s="951"/>
    </row>
    <row r="701">
      <c r="D701" s="738"/>
      <c r="E701" s="738"/>
      <c r="F701" s="731"/>
      <c r="H701" s="950"/>
      <c r="I701" s="951"/>
    </row>
    <row r="702">
      <c r="D702" s="738"/>
      <c r="E702" s="738"/>
      <c r="F702" s="731"/>
      <c r="H702" s="950"/>
      <c r="I702" s="951"/>
    </row>
    <row r="703">
      <c r="D703" s="738"/>
      <c r="E703" s="738"/>
      <c r="F703" s="731"/>
      <c r="H703" s="950"/>
      <c r="I703" s="951"/>
    </row>
    <row r="704">
      <c r="D704" s="738"/>
      <c r="E704" s="738"/>
      <c r="F704" s="731"/>
      <c r="H704" s="950"/>
      <c r="I704" s="951"/>
    </row>
  </sheetData>
  <mergeCells count="111">
    <mergeCell ref="A44:A50"/>
    <mergeCell ref="B44:B50"/>
    <mergeCell ref="C44:C50"/>
    <mergeCell ref="A51:A57"/>
    <mergeCell ref="B51:B57"/>
    <mergeCell ref="C51:C57"/>
    <mergeCell ref="A58:A64"/>
    <mergeCell ref="A65:A70"/>
    <mergeCell ref="B65:B70"/>
    <mergeCell ref="C65:C70"/>
    <mergeCell ref="A71:A77"/>
    <mergeCell ref="B71:B77"/>
    <mergeCell ref="C71:C77"/>
    <mergeCell ref="A78:A84"/>
    <mergeCell ref="B20:B25"/>
    <mergeCell ref="C20:C25"/>
    <mergeCell ref="A2:A11"/>
    <mergeCell ref="B2:B11"/>
    <mergeCell ref="C2:C11"/>
    <mergeCell ref="A12:A19"/>
    <mergeCell ref="B12:B19"/>
    <mergeCell ref="C12:C19"/>
    <mergeCell ref="A20:A25"/>
    <mergeCell ref="B40:B43"/>
    <mergeCell ref="C40:C43"/>
    <mergeCell ref="E40:E43"/>
    <mergeCell ref="A26:A32"/>
    <mergeCell ref="B26:B32"/>
    <mergeCell ref="C26:C32"/>
    <mergeCell ref="A34:A39"/>
    <mergeCell ref="B34:B39"/>
    <mergeCell ref="C34:C39"/>
    <mergeCell ref="A40:A43"/>
    <mergeCell ref="B58:B64"/>
    <mergeCell ref="C58:C64"/>
    <mergeCell ref="B78:B84"/>
    <mergeCell ref="C78:C84"/>
    <mergeCell ref="A85:G85"/>
    <mergeCell ref="A102:A106"/>
    <mergeCell ref="B102:B106"/>
    <mergeCell ref="C102:C106"/>
    <mergeCell ref="A123:A129"/>
    <mergeCell ref="B123:B129"/>
    <mergeCell ref="C123:C129"/>
    <mergeCell ref="A130:A135"/>
    <mergeCell ref="B130:B135"/>
    <mergeCell ref="C130:C135"/>
    <mergeCell ref="A136:A140"/>
    <mergeCell ref="A141:A145"/>
    <mergeCell ref="B141:B145"/>
    <mergeCell ref="C141:C145"/>
    <mergeCell ref="A146:A153"/>
    <mergeCell ref="B146:B153"/>
    <mergeCell ref="C146:C153"/>
    <mergeCell ref="A154:A159"/>
    <mergeCell ref="B172:B175"/>
    <mergeCell ref="C172:C175"/>
    <mergeCell ref="A161:A167"/>
    <mergeCell ref="B161:B167"/>
    <mergeCell ref="C161:C167"/>
    <mergeCell ref="A168:A171"/>
    <mergeCell ref="B168:B171"/>
    <mergeCell ref="C168:C171"/>
    <mergeCell ref="A172:A175"/>
    <mergeCell ref="B191:B193"/>
    <mergeCell ref="C191:C193"/>
    <mergeCell ref="A180:A183"/>
    <mergeCell ref="B180:B183"/>
    <mergeCell ref="C180:C183"/>
    <mergeCell ref="A184:A189"/>
    <mergeCell ref="B184:B189"/>
    <mergeCell ref="C184:C189"/>
    <mergeCell ref="A191:A193"/>
    <mergeCell ref="B199:B200"/>
    <mergeCell ref="C199:C200"/>
    <mergeCell ref="D201:I201"/>
    <mergeCell ref="D202:I202"/>
    <mergeCell ref="A194:A195"/>
    <mergeCell ref="B194:B195"/>
    <mergeCell ref="C194:C195"/>
    <mergeCell ref="A196:A197"/>
    <mergeCell ref="B196:B197"/>
    <mergeCell ref="C196:C197"/>
    <mergeCell ref="A199:A200"/>
    <mergeCell ref="B96:B101"/>
    <mergeCell ref="C96:C101"/>
    <mergeCell ref="A86:A91"/>
    <mergeCell ref="B86:B91"/>
    <mergeCell ref="C86:C91"/>
    <mergeCell ref="A92:A95"/>
    <mergeCell ref="B92:B95"/>
    <mergeCell ref="C92:C95"/>
    <mergeCell ref="A96:A101"/>
    <mergeCell ref="B119:B122"/>
    <mergeCell ref="C119:C122"/>
    <mergeCell ref="A107:A113"/>
    <mergeCell ref="B107:B113"/>
    <mergeCell ref="C107:C113"/>
    <mergeCell ref="A114:A118"/>
    <mergeCell ref="B114:B118"/>
    <mergeCell ref="C114:C118"/>
    <mergeCell ref="A119:A122"/>
    <mergeCell ref="B136:B140"/>
    <mergeCell ref="C136:C140"/>
    <mergeCell ref="B154:B159"/>
    <mergeCell ref="C154:C159"/>
    <mergeCell ref="A160:G160"/>
    <mergeCell ref="A176:A179"/>
    <mergeCell ref="B176:B179"/>
    <mergeCell ref="C176:C179"/>
    <mergeCell ref="A190:G190"/>
  </mergeCells>
  <conditionalFormatting sqref="C2:C84 C86:C159 C161:C189 C191:C601">
    <cfRule type="colorScale" priority="1">
      <colorScale>
        <cfvo type="formula" val="6"/>
        <cfvo type="formula" val="10"/>
        <cfvo type="formula" val="15"/>
        <color rgb="FF93C47D"/>
        <color rgb="FFFFFF00"/>
        <color rgb="FFCC0000"/>
      </colorScale>
    </cfRule>
  </conditionalFormatting>
  <conditionalFormatting sqref="D1:G70 H1:I704 D72:G72 D74:G84 D86:G86 D88:G90 D92:G159 D161:G189 D191:G704">
    <cfRule type="expression" dxfId="0" priority="2">
      <formula>$I1="Arms &amp; Arm Attachments"</formula>
    </cfRule>
  </conditionalFormatting>
  <conditionalFormatting sqref="D1:G70 H1:I704 D72:G72 D74:G84 D86:G86 D88:G90 D92:G159 D161:G189 D191:G704">
    <cfRule type="expression" dxfId="1" priority="3">
      <formula>$I1="Auditory System"</formula>
    </cfRule>
  </conditionalFormatting>
  <conditionalFormatting sqref="D1:G70 H1:I704 D72:G72 D74:G84 D86:G86 D88:G90 D92:G159 D161:G189 D191:G704">
    <cfRule type="expression" dxfId="2" priority="4">
      <formula>$I1="Circulatory &amp; Immune Systems"</formula>
    </cfRule>
  </conditionalFormatting>
  <conditionalFormatting sqref="D1:G70 H1:I704 D72:G72 D74:G84 D86:G86 D88:G90 D92:G159 D161:G189 D191:G704">
    <cfRule type="expression" dxfId="3" priority="5">
      <formula>$I1="Hands &amp; Feet"</formula>
    </cfRule>
  </conditionalFormatting>
  <conditionalFormatting sqref="D1:G70 H1:I704 D72:G72 D74:G84 D86:G86 D88:G90 D92:G159 D161:G189 D191:G704">
    <cfRule type="expression" dxfId="4" priority="6">
      <formula>$I1="Integumentary System"</formula>
    </cfRule>
  </conditionalFormatting>
  <conditionalFormatting sqref="D1:G70 H1:I704 D72:G72 D74:G84 D86:G86 D88:G90 D92:G159 D161:G189 D191:G704">
    <cfRule type="expression" dxfId="5" priority="7">
      <formula>$I1="Legs &amp; Mobility"</formula>
    </cfRule>
  </conditionalFormatting>
  <conditionalFormatting sqref="D1:G70 H1:I704 D72:G72 D74:G84 D86:G86 D88:G90 D92:G159 D161:G189 D191:G704">
    <cfRule type="expression" dxfId="6" priority="8">
      <formula>$I1="Neural"</formula>
    </cfRule>
  </conditionalFormatting>
  <conditionalFormatting sqref="D1:G70 H1:I704 D72:G72 D74:G84 D86:G86 D88:G90 D92:G159 D161:G189 D191:G704">
    <cfRule type="expression" dxfId="7" priority="9">
      <formula>$I1="Universal Muscular (Arms/Legs/Tail)"</formula>
    </cfRule>
  </conditionalFormatting>
  <conditionalFormatting sqref="D1:G70 H1:I704 D72:G72 D74:G84 D86:G86 D88:G90 D92:G159 D161:G189 D191:G704">
    <cfRule type="expression" dxfId="8" priority="10">
      <formula>$I1="Ocular System"</formula>
    </cfRule>
  </conditionalFormatting>
  <conditionalFormatting sqref="D1:G70 H1:I704 D72:G72 D74:G84 D86:G86 D88:G90 D92:G159 D161:G189 D191:G704">
    <cfRule type="expression" dxfId="9" priority="11">
      <formula>$I1="Miscellaneous"</formula>
    </cfRule>
  </conditionalFormatting>
  <conditionalFormatting sqref="D1:G70 H1:I704 D72:G72 D74:G84 D86:G86 D88:G90 D92:G159 D161:G189 D191:G704">
    <cfRule type="expression" dxfId="10" priority="12">
      <formula>$I1="Skeleton &amp; Torso Musculature"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4" max="5" width="104.75"/>
    <col customWidth="1" min="6" max="6" width="58.25"/>
  </cols>
  <sheetData>
    <row r="1">
      <c r="A1" s="3" t="s">
        <v>1180</v>
      </c>
      <c r="B1" s="3"/>
      <c r="C1" s="3"/>
      <c r="D1" s="3"/>
      <c r="E1" s="3"/>
      <c r="F1" s="3"/>
    </row>
    <row r="2">
      <c r="A2" s="3"/>
      <c r="B2" s="3"/>
      <c r="C2" s="3"/>
      <c r="D2" s="3"/>
      <c r="E2" s="3"/>
      <c r="F2" s="3"/>
    </row>
    <row r="3">
      <c r="A3" s="3" t="s">
        <v>55</v>
      </c>
      <c r="B3" s="3">
        <v>1.0</v>
      </c>
      <c r="C3" s="3" t="s">
        <v>1181</v>
      </c>
      <c r="D3" s="3" t="s">
        <v>56</v>
      </c>
      <c r="E3" s="3" t="s">
        <v>57</v>
      </c>
      <c r="F3" s="3">
        <v>1200.0</v>
      </c>
    </row>
    <row r="4">
      <c r="A4" s="3" t="s">
        <v>126</v>
      </c>
      <c r="B4" s="3">
        <v>1.0</v>
      </c>
      <c r="C4" s="3" t="s">
        <v>1182</v>
      </c>
      <c r="D4" s="3" t="s">
        <v>1183</v>
      </c>
      <c r="E4" s="3" t="s">
        <v>1184</v>
      </c>
      <c r="F4" s="3">
        <v>4500.0</v>
      </c>
    </row>
    <row r="5">
      <c r="A5" s="3" t="s">
        <v>162</v>
      </c>
      <c r="B5" s="3">
        <v>2.0</v>
      </c>
      <c r="C5" s="3" t="s">
        <v>1185</v>
      </c>
      <c r="D5" s="3" t="s">
        <v>1186</v>
      </c>
      <c r="E5" s="3" t="s">
        <v>1187</v>
      </c>
      <c r="F5" s="3">
        <v>2500.0</v>
      </c>
    </row>
    <row r="6">
      <c r="A6" s="3" t="s">
        <v>153</v>
      </c>
      <c r="B6" s="3">
        <v>2.0</v>
      </c>
      <c r="C6" s="3" t="s">
        <v>144</v>
      </c>
      <c r="D6" s="3" t="s">
        <v>154</v>
      </c>
      <c r="E6" s="3" t="s">
        <v>155</v>
      </c>
      <c r="F6" s="3">
        <v>4500.0</v>
      </c>
    </row>
    <row r="7">
      <c r="A7" s="3" t="s">
        <v>22</v>
      </c>
      <c r="B7" s="3">
        <v>1.0</v>
      </c>
      <c r="C7" s="3" t="s">
        <v>1188</v>
      </c>
      <c r="D7" s="3" t="s">
        <v>265</v>
      </c>
      <c r="E7" s="3" t="s">
        <v>25</v>
      </c>
      <c r="F7" s="3">
        <v>1200.0</v>
      </c>
    </row>
    <row r="8">
      <c r="A8" s="3" t="s">
        <v>1189</v>
      </c>
      <c r="B8" s="952">
        <f>SUM(B3:B7)</f>
        <v>7</v>
      </c>
    </row>
    <row r="9">
      <c r="F9" s="732">
        <f>SUM(F3:F7)</f>
        <v>13900</v>
      </c>
    </row>
    <row r="11">
      <c r="A11" s="3" t="s">
        <v>1190</v>
      </c>
    </row>
    <row r="13">
      <c r="A13" s="3" t="s">
        <v>55</v>
      </c>
      <c r="B13" s="3">
        <v>1.0</v>
      </c>
      <c r="C13" s="3" t="s">
        <v>1191</v>
      </c>
      <c r="D13" s="3" t="s">
        <v>56</v>
      </c>
      <c r="E13" s="3" t="s">
        <v>57</v>
      </c>
      <c r="F13" s="3">
        <v>1200.0</v>
      </c>
    </row>
    <row r="14">
      <c r="A14" s="3" t="s">
        <v>1192</v>
      </c>
      <c r="B14" s="3">
        <v>1.0</v>
      </c>
      <c r="C14" s="3" t="s">
        <v>1193</v>
      </c>
      <c r="D14" s="3" t="s">
        <v>1183</v>
      </c>
      <c r="E14" s="3" t="s">
        <v>1184</v>
      </c>
      <c r="F14" s="3">
        <v>4500.0</v>
      </c>
    </row>
    <row r="15">
      <c r="A15" s="3" t="s">
        <v>162</v>
      </c>
      <c r="B15" s="3">
        <v>2.0</v>
      </c>
      <c r="C15" s="3" t="s">
        <v>1194</v>
      </c>
      <c r="D15" s="3" t="s">
        <v>1186</v>
      </c>
      <c r="E15" s="3" t="s">
        <v>1187</v>
      </c>
      <c r="F15" s="3">
        <v>2500.0</v>
      </c>
    </row>
    <row r="16">
      <c r="A16" s="3" t="s">
        <v>153</v>
      </c>
      <c r="B16" s="3">
        <v>2.0</v>
      </c>
      <c r="C16" s="3" t="s">
        <v>1195</v>
      </c>
      <c r="D16" s="3" t="s">
        <v>154</v>
      </c>
      <c r="E16" s="3" t="s">
        <v>155</v>
      </c>
      <c r="F16" s="3">
        <v>4500.0</v>
      </c>
    </row>
    <row r="17">
      <c r="A17" s="3" t="s">
        <v>22</v>
      </c>
      <c r="B17" s="3">
        <v>1.0</v>
      </c>
      <c r="C17" s="3" t="s">
        <v>1196</v>
      </c>
      <c r="D17" s="3" t="s">
        <v>265</v>
      </c>
      <c r="E17" s="3" t="s">
        <v>25</v>
      </c>
      <c r="F17" s="3">
        <v>1200.0</v>
      </c>
    </row>
    <row r="18">
      <c r="A18" s="3" t="s">
        <v>58</v>
      </c>
      <c r="B18" s="3">
        <v>1.0</v>
      </c>
      <c r="C18" s="3" t="s">
        <v>1197</v>
      </c>
      <c r="D18" s="3" t="s">
        <v>59</v>
      </c>
      <c r="E18" s="3" t="s">
        <v>60</v>
      </c>
      <c r="F18" s="3">
        <v>2500.0</v>
      </c>
    </row>
    <row r="19">
      <c r="A19" s="3" t="s">
        <v>1189</v>
      </c>
      <c r="B19" s="952">
        <f>SUM(B13:B18)</f>
        <v>8</v>
      </c>
    </row>
    <row r="20">
      <c r="F20" s="732">
        <f>SUM(F13:F18)</f>
        <v>16400</v>
      </c>
    </row>
    <row r="21">
      <c r="A21" s="3" t="s">
        <v>1198</v>
      </c>
    </row>
    <row r="23">
      <c r="A23" s="3" t="s">
        <v>55</v>
      </c>
      <c r="B23" s="3">
        <v>1.0</v>
      </c>
      <c r="C23" s="3" t="s">
        <v>1191</v>
      </c>
      <c r="D23" s="3" t="s">
        <v>56</v>
      </c>
      <c r="E23" s="3" t="s">
        <v>57</v>
      </c>
      <c r="F23" s="3">
        <v>1200.0</v>
      </c>
    </row>
    <row r="24">
      <c r="A24" s="3" t="s">
        <v>1192</v>
      </c>
      <c r="B24" s="3">
        <v>1.0</v>
      </c>
      <c r="C24" s="3" t="s">
        <v>1193</v>
      </c>
      <c r="D24" s="3" t="s">
        <v>1183</v>
      </c>
      <c r="E24" s="3" t="s">
        <v>1184</v>
      </c>
      <c r="F24" s="3">
        <v>4500.0</v>
      </c>
    </row>
    <row r="25">
      <c r="A25" s="3" t="s">
        <v>162</v>
      </c>
      <c r="B25" s="3">
        <v>2.0</v>
      </c>
      <c r="C25" s="3" t="s">
        <v>1194</v>
      </c>
      <c r="D25" s="3" t="s">
        <v>1186</v>
      </c>
      <c r="E25" s="3" t="s">
        <v>1187</v>
      </c>
      <c r="F25" s="3">
        <v>2500.0</v>
      </c>
    </row>
    <row r="26">
      <c r="A26" s="3" t="s">
        <v>153</v>
      </c>
      <c r="B26" s="3">
        <v>2.0</v>
      </c>
      <c r="C26" s="3" t="s">
        <v>1195</v>
      </c>
      <c r="D26" s="3" t="s">
        <v>154</v>
      </c>
      <c r="E26" s="3" t="s">
        <v>155</v>
      </c>
      <c r="F26" s="3">
        <v>4500.0</v>
      </c>
    </row>
    <row r="27">
      <c r="A27" s="3" t="s">
        <v>22</v>
      </c>
      <c r="B27" s="3">
        <v>1.0</v>
      </c>
      <c r="C27" s="3" t="s">
        <v>1196</v>
      </c>
      <c r="D27" s="3" t="s">
        <v>265</v>
      </c>
      <c r="E27" s="3" t="s">
        <v>25</v>
      </c>
      <c r="F27" s="3">
        <v>1200.0</v>
      </c>
    </row>
    <row r="28">
      <c r="A28" s="3" t="s">
        <v>114</v>
      </c>
      <c r="B28" s="3">
        <v>2.0</v>
      </c>
      <c r="C28" s="3" t="s">
        <v>144</v>
      </c>
      <c r="D28" s="3" t="s">
        <v>115</v>
      </c>
      <c r="E28" s="3" t="s">
        <v>1199</v>
      </c>
      <c r="F28" s="3">
        <v>3500.0</v>
      </c>
    </row>
    <row r="29">
      <c r="A29" s="3" t="s">
        <v>1189</v>
      </c>
      <c r="B29" s="952">
        <f>SUM(B23:B28)</f>
        <v>9</v>
      </c>
      <c r="C29" s="3"/>
    </row>
    <row r="30">
      <c r="A30" s="3"/>
      <c r="F30" s="732">
        <f>SUM(F23:F28)</f>
        <v>17400</v>
      </c>
    </row>
    <row r="32">
      <c r="A32" s="3" t="s">
        <v>1200</v>
      </c>
    </row>
    <row r="34">
      <c r="A34" s="3" t="s">
        <v>55</v>
      </c>
      <c r="B34" s="3">
        <v>1.0</v>
      </c>
      <c r="C34" s="3" t="s">
        <v>1181</v>
      </c>
      <c r="D34" s="3" t="s">
        <v>56</v>
      </c>
      <c r="E34" s="3" t="s">
        <v>57</v>
      </c>
      <c r="F34" s="3">
        <v>1200.0</v>
      </c>
    </row>
    <row r="35">
      <c r="A35" s="3" t="s">
        <v>126</v>
      </c>
      <c r="B35" s="3">
        <v>1.0</v>
      </c>
      <c r="C35" s="3" t="s">
        <v>1182</v>
      </c>
      <c r="D35" s="3" t="s">
        <v>1183</v>
      </c>
      <c r="E35" s="3" t="s">
        <v>1184</v>
      </c>
      <c r="F35" s="3">
        <v>4500.0</v>
      </c>
    </row>
    <row r="36">
      <c r="A36" s="3" t="s">
        <v>162</v>
      </c>
      <c r="B36" s="3">
        <v>2.0</v>
      </c>
      <c r="C36" s="3" t="s">
        <v>1185</v>
      </c>
      <c r="D36" s="3" t="s">
        <v>1186</v>
      </c>
      <c r="E36" s="3" t="s">
        <v>1187</v>
      </c>
      <c r="F36" s="3">
        <v>2500.0</v>
      </c>
    </row>
    <row r="37">
      <c r="A37" s="3" t="s">
        <v>153</v>
      </c>
      <c r="B37" s="3">
        <v>2.0</v>
      </c>
      <c r="C37" s="3" t="s">
        <v>144</v>
      </c>
      <c r="D37" s="3" t="s">
        <v>154</v>
      </c>
      <c r="E37" s="3" t="s">
        <v>155</v>
      </c>
      <c r="F37" s="3">
        <v>4500.0</v>
      </c>
    </row>
    <row r="38">
      <c r="A38" s="3" t="s">
        <v>22</v>
      </c>
      <c r="B38" s="3">
        <v>1.0</v>
      </c>
      <c r="C38" s="3" t="s">
        <v>1188</v>
      </c>
      <c r="D38" s="3" t="s">
        <v>265</v>
      </c>
      <c r="E38" s="3" t="s">
        <v>25</v>
      </c>
      <c r="F38" s="3">
        <v>1200.0</v>
      </c>
    </row>
    <row r="39">
      <c r="A39" s="3" t="s">
        <v>114</v>
      </c>
      <c r="B39" s="3">
        <v>2.0</v>
      </c>
      <c r="C39" s="3" t="s">
        <v>144</v>
      </c>
      <c r="D39" s="3" t="s">
        <v>115</v>
      </c>
      <c r="E39" s="3" t="s">
        <v>1199</v>
      </c>
      <c r="F39" s="3">
        <v>3500.0</v>
      </c>
    </row>
    <row r="40">
      <c r="A40" s="3" t="s">
        <v>156</v>
      </c>
      <c r="B40" s="3">
        <v>1.0</v>
      </c>
      <c r="C40" s="3" t="s">
        <v>144</v>
      </c>
      <c r="D40" s="3" t="s">
        <v>157</v>
      </c>
      <c r="E40" s="3" t="s">
        <v>158</v>
      </c>
      <c r="F40" s="3">
        <v>2500.0</v>
      </c>
    </row>
    <row r="41">
      <c r="A41" s="3" t="s">
        <v>1189</v>
      </c>
      <c r="B41" s="952">
        <f>SUM(B34:B40)</f>
        <v>10</v>
      </c>
    </row>
    <row r="42">
      <c r="F42" s="732">
        <f>SUM(F34:F40)</f>
        <v>19900</v>
      </c>
    </row>
    <row r="43">
      <c r="A43" s="3" t="s">
        <v>1201</v>
      </c>
    </row>
    <row r="53">
      <c r="A53" s="3" t="s">
        <v>1202</v>
      </c>
    </row>
    <row r="63">
      <c r="A63" s="3" t="s">
        <v>1198</v>
      </c>
      <c r="B63" s="3" t="s">
        <v>1189</v>
      </c>
      <c r="C63" s="3">
        <v>9.0</v>
      </c>
    </row>
    <row r="66">
      <c r="A66" s="3" t="s">
        <v>1203</v>
      </c>
    </row>
    <row r="69">
      <c r="A69" s="3" t="s">
        <v>55</v>
      </c>
      <c r="B69" s="3">
        <v>1.0</v>
      </c>
      <c r="C69" s="3" t="s">
        <v>1191</v>
      </c>
    </row>
    <row r="70">
      <c r="A70" s="3" t="s">
        <v>1192</v>
      </c>
      <c r="B70" s="3">
        <v>1.0</v>
      </c>
      <c r="C70" s="3" t="s">
        <v>1193</v>
      </c>
    </row>
    <row r="71">
      <c r="A71" s="3" t="s">
        <v>162</v>
      </c>
      <c r="B71" s="3">
        <v>2.0</v>
      </c>
      <c r="C71" s="3" t="s">
        <v>1194</v>
      </c>
    </row>
    <row r="72">
      <c r="A72" s="3" t="s">
        <v>153</v>
      </c>
      <c r="B72" s="3">
        <v>2.0</v>
      </c>
      <c r="C72" s="3" t="s">
        <v>1195</v>
      </c>
    </row>
    <row r="73">
      <c r="A73" s="3" t="s">
        <v>22</v>
      </c>
      <c r="B73" s="3">
        <v>1.0</v>
      </c>
      <c r="C73" s="3" t="s">
        <v>1196</v>
      </c>
    </row>
    <row r="74">
      <c r="A74" s="3" t="s">
        <v>114</v>
      </c>
      <c r="B74" s="3">
        <v>2.0</v>
      </c>
      <c r="C74" s="3" t="s">
        <v>144</v>
      </c>
    </row>
    <row r="75">
      <c r="B75" s="732">
        <f>sum(B69:B74)</f>
        <v>9</v>
      </c>
    </row>
    <row r="77">
      <c r="A77" s="3" t="s">
        <v>1204</v>
      </c>
    </row>
    <row r="79">
      <c r="A79" s="3" t="s">
        <v>55</v>
      </c>
      <c r="B79" s="3">
        <v>1.0</v>
      </c>
      <c r="C79" s="3" t="s">
        <v>1191</v>
      </c>
    </row>
    <row r="80">
      <c r="A80" s="3" t="s">
        <v>1192</v>
      </c>
      <c r="B80" s="3">
        <v>1.0</v>
      </c>
      <c r="C80" s="3" t="s">
        <v>1193</v>
      </c>
    </row>
    <row r="81">
      <c r="A81" s="3" t="s">
        <v>162</v>
      </c>
      <c r="B81" s="3">
        <v>2.0</v>
      </c>
      <c r="C81" s="3" t="s">
        <v>1194</v>
      </c>
    </row>
    <row r="82">
      <c r="A82" s="3" t="s">
        <v>153</v>
      </c>
      <c r="B82" s="3">
        <v>2.0</v>
      </c>
      <c r="C82" s="3" t="s">
        <v>1195</v>
      </c>
    </row>
    <row r="83">
      <c r="A83" s="3" t="s">
        <v>22</v>
      </c>
      <c r="B83" s="3">
        <v>1.0</v>
      </c>
      <c r="C83" s="3" t="s">
        <v>1196</v>
      </c>
    </row>
    <row r="84">
      <c r="A84" s="3" t="s">
        <v>58</v>
      </c>
      <c r="B84" s="3">
        <v>1.0</v>
      </c>
      <c r="C84" s="3" t="s">
        <v>1197</v>
      </c>
    </row>
    <row r="86">
      <c r="A86" s="3" t="s">
        <v>1205</v>
      </c>
    </row>
    <row r="88">
      <c r="A88" s="3" t="s">
        <v>55</v>
      </c>
      <c r="B88" s="3">
        <v>1.0</v>
      </c>
      <c r="C88" s="3" t="s">
        <v>1181</v>
      </c>
    </row>
    <row r="89">
      <c r="A89" s="3" t="s">
        <v>126</v>
      </c>
      <c r="B89" s="3">
        <v>1.0</v>
      </c>
      <c r="C89" s="3" t="s">
        <v>1182</v>
      </c>
    </row>
    <row r="90">
      <c r="A90" s="3" t="s">
        <v>162</v>
      </c>
      <c r="B90" s="3">
        <v>2.0</v>
      </c>
      <c r="C90" s="3" t="s">
        <v>1185</v>
      </c>
    </row>
    <row r="91">
      <c r="A91" s="3" t="s">
        <v>153</v>
      </c>
      <c r="B91" s="3">
        <v>2.0</v>
      </c>
      <c r="C91" s="3" t="s">
        <v>144</v>
      </c>
    </row>
    <row r="92">
      <c r="A92" s="3" t="s">
        <v>22</v>
      </c>
      <c r="B92" s="3">
        <v>1.0</v>
      </c>
      <c r="C92" s="3" t="s">
        <v>1188</v>
      </c>
    </row>
    <row r="93">
      <c r="G93" s="3" t="s">
        <v>1206</v>
      </c>
      <c r="H93" s="3" t="s">
        <v>1189</v>
      </c>
    </row>
    <row r="94">
      <c r="G94" s="3" t="s">
        <v>1207</v>
      </c>
      <c r="H94" s="3">
        <v>10.0</v>
      </c>
    </row>
    <row r="95">
      <c r="G95" s="3" t="s">
        <v>1207</v>
      </c>
      <c r="H95" s="3">
        <v>10.0</v>
      </c>
    </row>
    <row r="96">
      <c r="G96" s="3" t="s">
        <v>1207</v>
      </c>
      <c r="H96" s="3">
        <v>10.0</v>
      </c>
    </row>
    <row r="97">
      <c r="G97" s="3" t="s">
        <v>1207</v>
      </c>
      <c r="H97" s="3">
        <v>15.0</v>
      </c>
    </row>
    <row r="98">
      <c r="G98" s="3" t="s">
        <v>1207</v>
      </c>
      <c r="H98" s="3">
        <v>15.0</v>
      </c>
    </row>
    <row r="99">
      <c r="G99" s="3" t="s">
        <v>1207</v>
      </c>
      <c r="H99" s="3">
        <v>15.0</v>
      </c>
    </row>
    <row r="100">
      <c r="G100" s="3" t="s">
        <v>1207</v>
      </c>
      <c r="H100" s="3">
        <v>15.0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3.13"/>
    <col customWidth="1" min="3" max="3" width="4.88"/>
    <col customWidth="1" min="4" max="4" width="27.63"/>
    <col customWidth="1" min="5" max="5" width="82.13"/>
    <col customWidth="1" min="6" max="6" width="76.0"/>
  </cols>
  <sheetData>
    <row r="1">
      <c r="A1" s="3" t="s">
        <v>1208</v>
      </c>
      <c r="B1" s="3" t="s">
        <v>213</v>
      </c>
      <c r="C1" s="3" t="s">
        <v>1</v>
      </c>
      <c r="D1" s="3" t="s">
        <v>2</v>
      </c>
    </row>
    <row r="2">
      <c r="A2" s="3" t="s">
        <v>1209</v>
      </c>
      <c r="B2" s="3" t="s">
        <v>94</v>
      </c>
      <c r="C2" s="953" t="s">
        <v>1210</v>
      </c>
      <c r="D2" s="3" t="s">
        <v>65</v>
      </c>
    </row>
    <row r="3">
      <c r="A3" s="3" t="s">
        <v>1209</v>
      </c>
      <c r="B3" s="3" t="s">
        <v>185</v>
      </c>
      <c r="C3" s="953" t="s">
        <v>1210</v>
      </c>
      <c r="D3" s="3" t="s">
        <v>186</v>
      </c>
    </row>
    <row r="4">
      <c r="A4" s="3" t="s">
        <v>1209</v>
      </c>
      <c r="B4" s="3" t="s">
        <v>111</v>
      </c>
      <c r="C4" s="953" t="s">
        <v>1210</v>
      </c>
      <c r="D4" s="3" t="s">
        <v>105</v>
      </c>
    </row>
    <row r="5">
      <c r="A5" s="3" t="s">
        <v>1209</v>
      </c>
      <c r="B5" s="3" t="s">
        <v>117</v>
      </c>
      <c r="C5" s="953" t="s">
        <v>1210</v>
      </c>
      <c r="D5" s="3" t="s">
        <v>105</v>
      </c>
    </row>
    <row r="6">
      <c r="A6" s="3" t="s">
        <v>1209</v>
      </c>
      <c r="B6" s="3" t="s">
        <v>120</v>
      </c>
      <c r="C6" s="953" t="s">
        <v>1210</v>
      </c>
      <c r="D6" s="3" t="s">
        <v>105</v>
      </c>
    </row>
    <row r="7">
      <c r="A7" s="3" t="s">
        <v>1209</v>
      </c>
      <c r="B7" s="3" t="s">
        <v>123</v>
      </c>
      <c r="C7" s="953" t="s">
        <v>1210</v>
      </c>
      <c r="D7" s="3" t="s">
        <v>105</v>
      </c>
    </row>
    <row r="8">
      <c r="A8" s="3" t="s">
        <v>1211</v>
      </c>
      <c r="B8" s="3" t="s">
        <v>94</v>
      </c>
      <c r="C8" s="953" t="s">
        <v>1210</v>
      </c>
      <c r="D8" s="3" t="s">
        <v>65</v>
      </c>
    </row>
    <row r="9">
      <c r="A9" s="3" t="s">
        <v>1211</v>
      </c>
      <c r="B9" s="3" t="s">
        <v>185</v>
      </c>
      <c r="C9" s="953" t="s">
        <v>1210</v>
      </c>
      <c r="D9" s="3" t="s">
        <v>186</v>
      </c>
    </row>
    <row r="10">
      <c r="A10" s="3" t="s">
        <v>1211</v>
      </c>
      <c r="B10" s="3" t="s">
        <v>111</v>
      </c>
      <c r="C10" s="953" t="s">
        <v>1210</v>
      </c>
      <c r="D10" s="3" t="s">
        <v>105</v>
      </c>
    </row>
    <row r="11">
      <c r="A11" s="3" t="s">
        <v>1211</v>
      </c>
      <c r="B11" s="3" t="s">
        <v>117</v>
      </c>
      <c r="C11" s="953" t="s">
        <v>1210</v>
      </c>
      <c r="D11" s="3" t="s">
        <v>105</v>
      </c>
    </row>
    <row r="12">
      <c r="A12" s="3" t="s">
        <v>1211</v>
      </c>
      <c r="B12" s="3" t="s">
        <v>120</v>
      </c>
      <c r="C12" s="953" t="s">
        <v>1210</v>
      </c>
      <c r="D12" s="3" t="s">
        <v>105</v>
      </c>
    </row>
    <row r="13">
      <c r="A13" s="3" t="s">
        <v>1211</v>
      </c>
      <c r="B13" s="3" t="s">
        <v>123</v>
      </c>
      <c r="C13" s="953" t="s">
        <v>1210</v>
      </c>
      <c r="D13" s="3" t="s">
        <v>105</v>
      </c>
    </row>
    <row r="14">
      <c r="A14" s="3" t="s">
        <v>1211</v>
      </c>
      <c r="B14" s="3" t="s">
        <v>126</v>
      </c>
      <c r="C14" s="953" t="s">
        <v>1210</v>
      </c>
      <c r="D14" s="3" t="s">
        <v>105</v>
      </c>
    </row>
    <row r="15">
      <c r="A15" s="3" t="s">
        <v>1211</v>
      </c>
      <c r="B15" s="3" t="s">
        <v>131</v>
      </c>
      <c r="C15" s="953" t="s">
        <v>1210</v>
      </c>
      <c r="D15" s="3" t="s">
        <v>105</v>
      </c>
    </row>
    <row r="16">
      <c r="A16" s="3" t="s">
        <v>1211</v>
      </c>
      <c r="B16" s="3" t="s">
        <v>134</v>
      </c>
      <c r="C16" s="953" t="s">
        <v>1210</v>
      </c>
      <c r="D16" s="3" t="s">
        <v>105</v>
      </c>
    </row>
    <row r="17">
      <c r="A17" s="3" t="s">
        <v>1211</v>
      </c>
      <c r="B17" s="3" t="s">
        <v>137</v>
      </c>
      <c r="C17" s="953" t="s">
        <v>1210</v>
      </c>
      <c r="D17" s="3" t="s">
        <v>105</v>
      </c>
    </row>
    <row r="18">
      <c r="A18" s="3" t="s">
        <v>1212</v>
      </c>
      <c r="B18" s="3" t="s">
        <v>94</v>
      </c>
      <c r="C18" s="953" t="s">
        <v>1210</v>
      </c>
      <c r="D18" s="3" t="s">
        <v>65</v>
      </c>
    </row>
    <row r="19">
      <c r="A19" s="3" t="s">
        <v>1212</v>
      </c>
      <c r="B19" s="3" t="s">
        <v>185</v>
      </c>
      <c r="C19" s="953" t="s">
        <v>1210</v>
      </c>
      <c r="D19" s="3" t="s">
        <v>186</v>
      </c>
    </row>
    <row r="20">
      <c r="A20" s="3" t="s">
        <v>1212</v>
      </c>
      <c r="B20" s="3" t="s">
        <v>111</v>
      </c>
      <c r="C20" s="953" t="s">
        <v>1210</v>
      </c>
      <c r="D20" s="3" t="s">
        <v>105</v>
      </c>
    </row>
    <row r="21">
      <c r="A21" s="3" t="s">
        <v>1212</v>
      </c>
      <c r="B21" s="3" t="s">
        <v>117</v>
      </c>
      <c r="C21" s="953" t="s">
        <v>1210</v>
      </c>
      <c r="D21" s="3" t="s">
        <v>105</v>
      </c>
    </row>
    <row r="22">
      <c r="A22" s="3" t="s">
        <v>1212</v>
      </c>
      <c r="B22" s="3" t="s">
        <v>120</v>
      </c>
      <c r="C22" s="953" t="s">
        <v>1210</v>
      </c>
      <c r="D22" s="3" t="s">
        <v>105</v>
      </c>
    </row>
    <row r="23">
      <c r="A23" s="3" t="s">
        <v>1212</v>
      </c>
      <c r="B23" s="3" t="s">
        <v>123</v>
      </c>
      <c r="C23" s="953" t="s">
        <v>1210</v>
      </c>
      <c r="D23" s="3" t="s">
        <v>105</v>
      </c>
    </row>
    <row r="24">
      <c r="A24" s="3" t="s">
        <v>1212</v>
      </c>
      <c r="B24" s="3" t="s">
        <v>126</v>
      </c>
      <c r="C24" s="953" t="s">
        <v>1210</v>
      </c>
      <c r="D24" s="3" t="s">
        <v>105</v>
      </c>
    </row>
    <row r="25">
      <c r="A25" s="3" t="s">
        <v>1212</v>
      </c>
      <c r="B25" s="3" t="s">
        <v>131</v>
      </c>
      <c r="C25" s="953" t="s">
        <v>1210</v>
      </c>
      <c r="D25" s="3" t="s">
        <v>105</v>
      </c>
    </row>
    <row r="26">
      <c r="A26" s="3" t="s">
        <v>1212</v>
      </c>
      <c r="B26" s="3" t="s">
        <v>134</v>
      </c>
      <c r="C26" s="953" t="s">
        <v>1210</v>
      </c>
      <c r="D26" s="3" t="s">
        <v>105</v>
      </c>
    </row>
    <row r="27">
      <c r="A27" s="3" t="s">
        <v>1212</v>
      </c>
      <c r="B27" s="3" t="s">
        <v>137</v>
      </c>
      <c r="C27" s="953" t="s">
        <v>1210</v>
      </c>
      <c r="D27" s="3" t="s">
        <v>105</v>
      </c>
    </row>
    <row r="28">
      <c r="A28" s="3" t="s">
        <v>1212</v>
      </c>
      <c r="B28" s="3" t="s">
        <v>140</v>
      </c>
      <c r="C28" s="953" t="s">
        <v>1210</v>
      </c>
      <c r="D28" s="3" t="s">
        <v>105</v>
      </c>
    </row>
    <row r="29">
      <c r="A29" s="3" t="s">
        <v>1212</v>
      </c>
      <c r="B29" s="3" t="s">
        <v>159</v>
      </c>
      <c r="C29" s="953" t="s">
        <v>1210</v>
      </c>
      <c r="D29" s="3" t="s">
        <v>144</v>
      </c>
    </row>
    <row r="30">
      <c r="A30" s="3" t="s">
        <v>1212</v>
      </c>
      <c r="B30" s="3" t="s">
        <v>169</v>
      </c>
      <c r="C30" s="953" t="s">
        <v>1210</v>
      </c>
      <c r="D30" s="3" t="s">
        <v>163</v>
      </c>
    </row>
    <row r="31">
      <c r="A31" s="3" t="s">
        <v>1212</v>
      </c>
      <c r="B31" s="3" t="s">
        <v>26</v>
      </c>
      <c r="C31" s="953" t="s">
        <v>1210</v>
      </c>
      <c r="D31" s="3" t="s">
        <v>23</v>
      </c>
    </row>
    <row r="32">
      <c r="A32" s="3" t="s">
        <v>1212</v>
      </c>
      <c r="B32" s="3" t="s">
        <v>33</v>
      </c>
      <c r="C32" s="953" t="s">
        <v>1210</v>
      </c>
      <c r="D32" s="3" t="s">
        <v>30</v>
      </c>
    </row>
    <row r="33">
      <c r="A33" s="3" t="s">
        <v>1213</v>
      </c>
      <c r="B33" s="3" t="s">
        <v>94</v>
      </c>
      <c r="C33" s="953" t="s">
        <v>1210</v>
      </c>
      <c r="D33" s="3" t="s">
        <v>65</v>
      </c>
    </row>
    <row r="34">
      <c r="A34" s="3" t="s">
        <v>1213</v>
      </c>
      <c r="B34" s="3" t="s">
        <v>185</v>
      </c>
      <c r="C34" s="953" t="s">
        <v>1210</v>
      </c>
      <c r="D34" s="3" t="s">
        <v>186</v>
      </c>
    </row>
    <row r="35">
      <c r="A35" s="3" t="s">
        <v>1213</v>
      </c>
      <c r="B35" s="3" t="s">
        <v>111</v>
      </c>
      <c r="C35" s="953" t="s">
        <v>1210</v>
      </c>
      <c r="D35" s="3" t="s">
        <v>105</v>
      </c>
    </row>
    <row r="36">
      <c r="A36" s="3" t="s">
        <v>1213</v>
      </c>
      <c r="B36" s="3" t="s">
        <v>117</v>
      </c>
      <c r="C36" s="953" t="s">
        <v>1210</v>
      </c>
      <c r="D36" s="3" t="s">
        <v>105</v>
      </c>
    </row>
    <row r="37">
      <c r="A37" s="3" t="s">
        <v>1213</v>
      </c>
      <c r="B37" s="3" t="s">
        <v>120</v>
      </c>
      <c r="C37" s="953" t="s">
        <v>1210</v>
      </c>
      <c r="D37" s="3" t="s">
        <v>105</v>
      </c>
    </row>
    <row r="38">
      <c r="A38" s="3" t="s">
        <v>1213</v>
      </c>
      <c r="B38" s="3" t="s">
        <v>123</v>
      </c>
      <c r="C38" s="953" t="s">
        <v>1210</v>
      </c>
      <c r="D38" s="3" t="s">
        <v>105</v>
      </c>
    </row>
    <row r="39">
      <c r="A39" s="3" t="s">
        <v>1214</v>
      </c>
      <c r="B39" s="3" t="s">
        <v>94</v>
      </c>
      <c r="C39" s="953" t="s">
        <v>1210</v>
      </c>
      <c r="D39" s="3" t="s">
        <v>65</v>
      </c>
    </row>
    <row r="40">
      <c r="A40" s="3" t="s">
        <v>1214</v>
      </c>
      <c r="B40" s="3" t="s">
        <v>185</v>
      </c>
      <c r="C40" s="953" t="s">
        <v>1210</v>
      </c>
      <c r="D40" s="3" t="s">
        <v>186</v>
      </c>
    </row>
    <row r="41">
      <c r="A41" s="3" t="s">
        <v>1214</v>
      </c>
      <c r="B41" s="3" t="s">
        <v>111</v>
      </c>
      <c r="C41" s="953" t="s">
        <v>1210</v>
      </c>
      <c r="D41" s="3" t="s">
        <v>105</v>
      </c>
    </row>
    <row r="42">
      <c r="A42" s="3" t="s">
        <v>1214</v>
      </c>
      <c r="B42" s="3" t="s">
        <v>117</v>
      </c>
      <c r="C42" s="953" t="s">
        <v>1210</v>
      </c>
      <c r="D42" s="3" t="s">
        <v>105</v>
      </c>
    </row>
    <row r="43">
      <c r="A43" s="3" t="s">
        <v>1214</v>
      </c>
      <c r="B43" s="3" t="s">
        <v>120</v>
      </c>
      <c r="C43" s="953" t="s">
        <v>1210</v>
      </c>
      <c r="D43" s="3" t="s">
        <v>105</v>
      </c>
    </row>
    <row r="44">
      <c r="A44" s="3" t="s">
        <v>1214</v>
      </c>
      <c r="B44" s="3" t="s">
        <v>123</v>
      </c>
      <c r="C44" s="953" t="s">
        <v>1210</v>
      </c>
      <c r="D44" s="3" t="s">
        <v>105</v>
      </c>
    </row>
    <row r="45">
      <c r="A45" s="3" t="s">
        <v>1214</v>
      </c>
      <c r="B45" s="3" t="s">
        <v>126</v>
      </c>
      <c r="C45" s="953" t="s">
        <v>1210</v>
      </c>
      <c r="D45" s="3" t="s">
        <v>105</v>
      </c>
    </row>
    <row r="46">
      <c r="A46" s="3" t="s">
        <v>1214</v>
      </c>
      <c r="B46" s="3" t="s">
        <v>131</v>
      </c>
      <c r="C46" s="953" t="s">
        <v>1210</v>
      </c>
      <c r="D46" s="3" t="s">
        <v>105</v>
      </c>
    </row>
    <row r="47">
      <c r="A47" s="3" t="s">
        <v>1214</v>
      </c>
      <c r="B47" s="3" t="s">
        <v>134</v>
      </c>
      <c r="C47" s="953" t="s">
        <v>1210</v>
      </c>
      <c r="D47" s="3" t="s">
        <v>105</v>
      </c>
    </row>
    <row r="48">
      <c r="A48" s="3" t="s">
        <v>1214</v>
      </c>
      <c r="B48" s="3" t="s">
        <v>137</v>
      </c>
      <c r="C48" s="953" t="s">
        <v>1210</v>
      </c>
      <c r="D48" s="3" t="s">
        <v>105</v>
      </c>
    </row>
    <row r="49">
      <c r="A49" s="3" t="s">
        <v>1215</v>
      </c>
      <c r="B49" s="3" t="s">
        <v>94</v>
      </c>
      <c r="C49" s="953" t="s">
        <v>1210</v>
      </c>
      <c r="D49" s="3" t="s">
        <v>65</v>
      </c>
    </row>
    <row r="50">
      <c r="A50" s="3" t="s">
        <v>1215</v>
      </c>
      <c r="B50" s="3" t="s">
        <v>185</v>
      </c>
      <c r="C50" s="953" t="s">
        <v>1210</v>
      </c>
      <c r="D50" s="3" t="s">
        <v>186</v>
      </c>
    </row>
    <row r="51">
      <c r="A51" s="3" t="s">
        <v>1215</v>
      </c>
      <c r="B51" s="3" t="s">
        <v>111</v>
      </c>
      <c r="C51" s="953" t="s">
        <v>1210</v>
      </c>
      <c r="D51" s="3" t="s">
        <v>105</v>
      </c>
    </row>
    <row r="52">
      <c r="A52" s="3" t="s">
        <v>1215</v>
      </c>
      <c r="B52" s="3" t="s">
        <v>117</v>
      </c>
      <c r="C52" s="953" t="s">
        <v>1210</v>
      </c>
      <c r="D52" s="3" t="s">
        <v>105</v>
      </c>
    </row>
    <row r="53">
      <c r="A53" s="3" t="s">
        <v>1215</v>
      </c>
      <c r="B53" s="3" t="s">
        <v>120</v>
      </c>
      <c r="C53" s="953" t="s">
        <v>1210</v>
      </c>
      <c r="D53" s="3" t="s">
        <v>105</v>
      </c>
    </row>
    <row r="54">
      <c r="A54" s="3" t="s">
        <v>1215</v>
      </c>
      <c r="B54" s="3" t="s">
        <v>123</v>
      </c>
      <c r="C54" s="953" t="s">
        <v>1210</v>
      </c>
      <c r="D54" s="3" t="s">
        <v>105</v>
      </c>
    </row>
    <row r="55">
      <c r="A55" s="3" t="s">
        <v>1215</v>
      </c>
      <c r="B55" s="3" t="s">
        <v>126</v>
      </c>
      <c r="C55" s="953" t="s">
        <v>1210</v>
      </c>
      <c r="D55" s="3" t="s">
        <v>105</v>
      </c>
    </row>
    <row r="56">
      <c r="A56" s="3" t="s">
        <v>1215</v>
      </c>
      <c r="B56" s="3" t="s">
        <v>131</v>
      </c>
      <c r="C56" s="953" t="s">
        <v>1210</v>
      </c>
      <c r="D56" s="3" t="s">
        <v>105</v>
      </c>
    </row>
    <row r="57">
      <c r="A57" s="3" t="s">
        <v>1215</v>
      </c>
      <c r="B57" s="3" t="s">
        <v>134</v>
      </c>
      <c r="C57" s="953" t="s">
        <v>1210</v>
      </c>
      <c r="D57" s="3" t="s">
        <v>105</v>
      </c>
    </row>
    <row r="58">
      <c r="A58" s="3" t="s">
        <v>1215</v>
      </c>
      <c r="B58" s="3" t="s">
        <v>137</v>
      </c>
      <c r="C58" s="953" t="s">
        <v>1210</v>
      </c>
      <c r="D58" s="3" t="s">
        <v>105</v>
      </c>
    </row>
    <row r="59">
      <c r="A59" s="3" t="s">
        <v>1215</v>
      </c>
      <c r="B59" s="3" t="s">
        <v>140</v>
      </c>
      <c r="C59" s="953" t="s">
        <v>1210</v>
      </c>
      <c r="D59" s="3" t="s">
        <v>105</v>
      </c>
    </row>
    <row r="60">
      <c r="A60" s="3" t="s">
        <v>1215</v>
      </c>
      <c r="B60" s="3" t="s">
        <v>159</v>
      </c>
      <c r="C60" s="953" t="s">
        <v>1210</v>
      </c>
      <c r="D60" s="3" t="s">
        <v>144</v>
      </c>
    </row>
    <row r="61">
      <c r="A61" s="3" t="s">
        <v>1215</v>
      </c>
      <c r="B61" s="3" t="s">
        <v>169</v>
      </c>
      <c r="C61" s="953" t="s">
        <v>1210</v>
      </c>
      <c r="D61" s="3" t="s">
        <v>163</v>
      </c>
    </row>
    <row r="62">
      <c r="A62" s="3" t="s">
        <v>1215</v>
      </c>
      <c r="B62" s="3" t="s">
        <v>26</v>
      </c>
      <c r="C62" s="953" t="s">
        <v>1210</v>
      </c>
      <c r="D62" s="3" t="s">
        <v>23</v>
      </c>
    </row>
    <row r="63">
      <c r="A63" s="3" t="s">
        <v>1215</v>
      </c>
      <c r="B63" s="3" t="s">
        <v>33</v>
      </c>
      <c r="C63" s="953" t="s">
        <v>1210</v>
      </c>
      <c r="D63" s="3" t="s">
        <v>30</v>
      </c>
    </row>
    <row r="64">
      <c r="A64" s="3" t="s">
        <v>1216</v>
      </c>
      <c r="B64" s="3" t="s">
        <v>94</v>
      </c>
      <c r="C64" s="953" t="s">
        <v>1210</v>
      </c>
      <c r="D64" s="3" t="s">
        <v>65</v>
      </c>
    </row>
    <row r="65">
      <c r="A65" s="3" t="s">
        <v>1216</v>
      </c>
      <c r="B65" s="3" t="s">
        <v>185</v>
      </c>
      <c r="C65" s="953" t="s">
        <v>1210</v>
      </c>
      <c r="D65" s="3" t="s">
        <v>186</v>
      </c>
    </row>
    <row r="66">
      <c r="A66" s="3" t="s">
        <v>1216</v>
      </c>
      <c r="B66" s="3" t="s">
        <v>111</v>
      </c>
      <c r="C66" s="953" t="s">
        <v>1210</v>
      </c>
      <c r="D66" s="3" t="s">
        <v>105</v>
      </c>
    </row>
    <row r="67">
      <c r="A67" s="3" t="s">
        <v>1216</v>
      </c>
      <c r="B67" s="3" t="s">
        <v>117</v>
      </c>
      <c r="C67" s="953" t="s">
        <v>1210</v>
      </c>
      <c r="D67" s="3" t="s">
        <v>105</v>
      </c>
    </row>
    <row r="68">
      <c r="A68" s="3" t="s">
        <v>1216</v>
      </c>
      <c r="B68" s="3" t="s">
        <v>120</v>
      </c>
      <c r="C68" s="953" t="s">
        <v>1210</v>
      </c>
      <c r="D68" s="3" t="s">
        <v>105</v>
      </c>
    </row>
    <row r="69">
      <c r="A69" s="3" t="s">
        <v>1216</v>
      </c>
      <c r="B69" s="3" t="s">
        <v>123</v>
      </c>
      <c r="C69" s="953" t="s">
        <v>1210</v>
      </c>
      <c r="D69" s="3" t="s">
        <v>105</v>
      </c>
    </row>
    <row r="70">
      <c r="A70" s="3" t="s">
        <v>1217</v>
      </c>
      <c r="B70" s="3" t="s">
        <v>94</v>
      </c>
      <c r="C70" s="953" t="s">
        <v>1210</v>
      </c>
      <c r="D70" s="3" t="s">
        <v>65</v>
      </c>
    </row>
    <row r="71">
      <c r="A71" s="3" t="s">
        <v>1217</v>
      </c>
      <c r="B71" s="3" t="s">
        <v>185</v>
      </c>
      <c r="C71" s="953" t="s">
        <v>1210</v>
      </c>
      <c r="D71" s="3" t="s">
        <v>186</v>
      </c>
    </row>
    <row r="72">
      <c r="A72" s="3" t="s">
        <v>1217</v>
      </c>
      <c r="B72" s="3" t="s">
        <v>111</v>
      </c>
      <c r="C72" s="953" t="s">
        <v>1210</v>
      </c>
      <c r="D72" s="3" t="s">
        <v>105</v>
      </c>
    </row>
    <row r="73">
      <c r="A73" s="3" t="s">
        <v>1217</v>
      </c>
      <c r="B73" s="3" t="s">
        <v>117</v>
      </c>
      <c r="C73" s="953" t="s">
        <v>1210</v>
      </c>
      <c r="D73" s="3" t="s">
        <v>105</v>
      </c>
    </row>
    <row r="74">
      <c r="A74" s="3" t="s">
        <v>1217</v>
      </c>
      <c r="B74" s="3" t="s">
        <v>120</v>
      </c>
      <c r="C74" s="953" t="s">
        <v>1210</v>
      </c>
      <c r="D74" s="3" t="s">
        <v>105</v>
      </c>
    </row>
    <row r="75">
      <c r="A75" s="3" t="s">
        <v>1217</v>
      </c>
      <c r="B75" s="3" t="s">
        <v>123</v>
      </c>
      <c r="C75" s="953" t="s">
        <v>1210</v>
      </c>
      <c r="D75" s="3" t="s">
        <v>105</v>
      </c>
    </row>
    <row r="76">
      <c r="A76" s="3" t="s">
        <v>1217</v>
      </c>
      <c r="B76" s="3" t="s">
        <v>126</v>
      </c>
      <c r="C76" s="953" t="s">
        <v>1210</v>
      </c>
      <c r="D76" s="3" t="s">
        <v>105</v>
      </c>
    </row>
    <row r="77">
      <c r="A77" s="3" t="s">
        <v>1217</v>
      </c>
      <c r="B77" s="3" t="s">
        <v>131</v>
      </c>
      <c r="C77" s="953" t="s">
        <v>1210</v>
      </c>
      <c r="D77" s="3" t="s">
        <v>105</v>
      </c>
    </row>
    <row r="78">
      <c r="A78" s="3" t="s">
        <v>1217</v>
      </c>
      <c r="B78" s="3" t="s">
        <v>134</v>
      </c>
      <c r="C78" s="953" t="s">
        <v>1210</v>
      </c>
      <c r="D78" s="3" t="s">
        <v>105</v>
      </c>
    </row>
    <row r="79">
      <c r="A79" s="3" t="s">
        <v>1217</v>
      </c>
      <c r="B79" s="3" t="s">
        <v>137</v>
      </c>
      <c r="C79" s="953" t="s">
        <v>1210</v>
      </c>
      <c r="D79" s="3" t="s">
        <v>105</v>
      </c>
    </row>
    <row r="80">
      <c r="A80" s="3" t="s">
        <v>1218</v>
      </c>
      <c r="B80" s="3" t="s">
        <v>94</v>
      </c>
      <c r="C80" s="953" t="s">
        <v>1210</v>
      </c>
      <c r="D80" s="3" t="s">
        <v>65</v>
      </c>
    </row>
    <row r="81">
      <c r="A81" s="3" t="s">
        <v>1218</v>
      </c>
      <c r="B81" s="3" t="s">
        <v>185</v>
      </c>
      <c r="C81" s="953" t="s">
        <v>1210</v>
      </c>
      <c r="D81" s="3" t="s">
        <v>186</v>
      </c>
    </row>
    <row r="82">
      <c r="A82" s="3" t="s">
        <v>1218</v>
      </c>
      <c r="B82" s="3" t="s">
        <v>111</v>
      </c>
      <c r="C82" s="953" t="s">
        <v>1210</v>
      </c>
      <c r="D82" s="3" t="s">
        <v>105</v>
      </c>
    </row>
    <row r="83">
      <c r="A83" s="3" t="s">
        <v>1218</v>
      </c>
      <c r="B83" s="3" t="s">
        <v>117</v>
      </c>
      <c r="C83" s="953" t="s">
        <v>1210</v>
      </c>
      <c r="D83" s="3" t="s">
        <v>105</v>
      </c>
    </row>
    <row r="84">
      <c r="A84" s="3" t="s">
        <v>1218</v>
      </c>
      <c r="B84" s="3" t="s">
        <v>120</v>
      </c>
      <c r="C84" s="953" t="s">
        <v>1210</v>
      </c>
      <c r="D84" s="3" t="s">
        <v>105</v>
      </c>
    </row>
    <row r="85">
      <c r="A85" s="3" t="s">
        <v>1218</v>
      </c>
      <c r="B85" s="3" t="s">
        <v>123</v>
      </c>
      <c r="C85" s="953" t="s">
        <v>1210</v>
      </c>
      <c r="D85" s="3" t="s">
        <v>105</v>
      </c>
    </row>
    <row r="86">
      <c r="A86" s="3" t="s">
        <v>1218</v>
      </c>
      <c r="B86" s="3" t="s">
        <v>126</v>
      </c>
      <c r="C86" s="953" t="s">
        <v>1210</v>
      </c>
      <c r="D86" s="3" t="s">
        <v>105</v>
      </c>
    </row>
    <row r="87">
      <c r="A87" s="3" t="s">
        <v>1218</v>
      </c>
      <c r="B87" s="3" t="s">
        <v>131</v>
      </c>
      <c r="C87" s="953" t="s">
        <v>1210</v>
      </c>
      <c r="D87" s="3" t="s">
        <v>105</v>
      </c>
    </row>
    <row r="88">
      <c r="A88" s="3" t="s">
        <v>1218</v>
      </c>
      <c r="B88" s="3" t="s">
        <v>134</v>
      </c>
      <c r="C88" s="953" t="s">
        <v>1210</v>
      </c>
      <c r="D88" s="3" t="s">
        <v>105</v>
      </c>
    </row>
    <row r="89">
      <c r="A89" s="3" t="s">
        <v>1218</v>
      </c>
      <c r="B89" s="3" t="s">
        <v>137</v>
      </c>
      <c r="C89" s="953" t="s">
        <v>1210</v>
      </c>
      <c r="D89" s="3" t="s">
        <v>105</v>
      </c>
    </row>
    <row r="90">
      <c r="A90" s="3" t="s">
        <v>1218</v>
      </c>
      <c r="B90" s="3" t="s">
        <v>140</v>
      </c>
      <c r="C90" s="953" t="s">
        <v>1210</v>
      </c>
      <c r="D90" s="3" t="s">
        <v>105</v>
      </c>
    </row>
    <row r="91">
      <c r="A91" s="3" t="s">
        <v>1218</v>
      </c>
      <c r="B91" s="3" t="s">
        <v>159</v>
      </c>
      <c r="C91" s="953" t="s">
        <v>1210</v>
      </c>
      <c r="D91" s="3" t="s">
        <v>144</v>
      </c>
    </row>
    <row r="92">
      <c r="A92" s="3" t="s">
        <v>1218</v>
      </c>
      <c r="B92" s="3" t="s">
        <v>169</v>
      </c>
      <c r="C92" s="953" t="s">
        <v>1210</v>
      </c>
      <c r="D92" s="3" t="s">
        <v>163</v>
      </c>
    </row>
    <row r="93">
      <c r="A93" s="3" t="s">
        <v>1218</v>
      </c>
      <c r="B93" s="3" t="s">
        <v>26</v>
      </c>
      <c r="C93" s="953" t="s">
        <v>1210</v>
      </c>
      <c r="D93" s="3" t="s">
        <v>23</v>
      </c>
    </row>
    <row r="94">
      <c r="A94" s="3" t="s">
        <v>1218</v>
      </c>
      <c r="B94" s="3" t="s">
        <v>33</v>
      </c>
      <c r="C94" s="953" t="s">
        <v>1210</v>
      </c>
      <c r="D94" s="3" t="s">
        <v>30</v>
      </c>
    </row>
    <row r="95">
      <c r="A95" s="3" t="s">
        <v>1219</v>
      </c>
      <c r="B95" s="3" t="s">
        <v>94</v>
      </c>
      <c r="C95" s="953" t="s">
        <v>1210</v>
      </c>
      <c r="D95" s="3" t="s">
        <v>65</v>
      </c>
    </row>
    <row r="96">
      <c r="A96" s="3" t="s">
        <v>1219</v>
      </c>
      <c r="B96" s="3" t="s">
        <v>185</v>
      </c>
      <c r="C96" s="953" t="s">
        <v>1210</v>
      </c>
      <c r="D96" s="3" t="s">
        <v>186</v>
      </c>
    </row>
    <row r="97">
      <c r="A97" s="3" t="s">
        <v>1219</v>
      </c>
      <c r="B97" s="3" t="s">
        <v>111</v>
      </c>
      <c r="C97" s="953" t="s">
        <v>1210</v>
      </c>
      <c r="D97" s="3" t="s">
        <v>105</v>
      </c>
    </row>
    <row r="98">
      <c r="A98" s="3" t="s">
        <v>1219</v>
      </c>
      <c r="B98" s="3" t="s">
        <v>117</v>
      </c>
      <c r="C98" s="953" t="s">
        <v>1210</v>
      </c>
      <c r="D98" s="3" t="s">
        <v>105</v>
      </c>
    </row>
    <row r="99">
      <c r="A99" s="3" t="s">
        <v>1219</v>
      </c>
      <c r="B99" s="3" t="s">
        <v>120</v>
      </c>
      <c r="C99" s="953" t="s">
        <v>1210</v>
      </c>
      <c r="D99" s="3" t="s">
        <v>105</v>
      </c>
    </row>
    <row r="100">
      <c r="A100" s="3" t="s">
        <v>1219</v>
      </c>
      <c r="B100" s="3" t="s">
        <v>123</v>
      </c>
      <c r="C100" s="953" t="s">
        <v>1210</v>
      </c>
      <c r="D100" s="3" t="s">
        <v>105</v>
      </c>
    </row>
    <row r="101">
      <c r="A101" s="3" t="s">
        <v>1220</v>
      </c>
      <c r="B101" s="3" t="s">
        <v>94</v>
      </c>
      <c r="C101" s="953" t="s">
        <v>1210</v>
      </c>
      <c r="D101" s="3" t="s">
        <v>65</v>
      </c>
    </row>
    <row r="102">
      <c r="A102" s="3" t="s">
        <v>1220</v>
      </c>
      <c r="B102" s="3" t="s">
        <v>185</v>
      </c>
      <c r="C102" s="953" t="s">
        <v>1210</v>
      </c>
      <c r="D102" s="3" t="s">
        <v>186</v>
      </c>
    </row>
    <row r="103">
      <c r="A103" s="3" t="s">
        <v>1220</v>
      </c>
      <c r="B103" s="3" t="s">
        <v>111</v>
      </c>
      <c r="C103" s="953" t="s">
        <v>1210</v>
      </c>
      <c r="D103" s="3" t="s">
        <v>105</v>
      </c>
    </row>
    <row r="104">
      <c r="A104" s="3" t="s">
        <v>1220</v>
      </c>
      <c r="B104" s="3" t="s">
        <v>117</v>
      </c>
      <c r="C104" s="953" t="s">
        <v>1210</v>
      </c>
      <c r="D104" s="3" t="s">
        <v>105</v>
      </c>
    </row>
    <row r="105">
      <c r="A105" s="3" t="s">
        <v>1220</v>
      </c>
      <c r="B105" s="3" t="s">
        <v>120</v>
      </c>
      <c r="C105" s="953" t="s">
        <v>1210</v>
      </c>
      <c r="D105" s="3" t="s">
        <v>105</v>
      </c>
    </row>
    <row r="106">
      <c r="A106" s="3" t="s">
        <v>1220</v>
      </c>
      <c r="B106" s="3" t="s">
        <v>123</v>
      </c>
      <c r="C106" s="953" t="s">
        <v>1210</v>
      </c>
      <c r="D106" s="3" t="s">
        <v>105</v>
      </c>
    </row>
    <row r="107">
      <c r="A107" s="3" t="s">
        <v>1220</v>
      </c>
      <c r="B107" s="3" t="s">
        <v>126</v>
      </c>
      <c r="C107" s="953" t="s">
        <v>1210</v>
      </c>
      <c r="D107" s="3" t="s">
        <v>105</v>
      </c>
    </row>
    <row r="108">
      <c r="A108" s="3" t="s">
        <v>1220</v>
      </c>
      <c r="B108" s="3" t="s">
        <v>131</v>
      </c>
      <c r="C108" s="953" t="s">
        <v>1210</v>
      </c>
      <c r="D108" s="3" t="s">
        <v>105</v>
      </c>
    </row>
    <row r="109">
      <c r="A109" s="3" t="s">
        <v>1220</v>
      </c>
      <c r="B109" s="3" t="s">
        <v>134</v>
      </c>
      <c r="C109" s="953" t="s">
        <v>1210</v>
      </c>
      <c r="D109" s="3" t="s">
        <v>105</v>
      </c>
    </row>
    <row r="110">
      <c r="A110" s="3" t="s">
        <v>1220</v>
      </c>
      <c r="B110" s="3" t="s">
        <v>137</v>
      </c>
      <c r="C110" s="953" t="s">
        <v>1210</v>
      </c>
      <c r="D110" s="3" t="s">
        <v>105</v>
      </c>
    </row>
    <row r="111">
      <c r="A111" s="3" t="s">
        <v>1221</v>
      </c>
      <c r="B111" s="3" t="s">
        <v>94</v>
      </c>
      <c r="C111" s="953" t="s">
        <v>1210</v>
      </c>
      <c r="D111" s="3" t="s">
        <v>65</v>
      </c>
    </row>
    <row r="112">
      <c r="A112" s="3" t="s">
        <v>1221</v>
      </c>
      <c r="B112" s="3" t="s">
        <v>185</v>
      </c>
      <c r="C112" s="953" t="s">
        <v>1210</v>
      </c>
      <c r="D112" s="3" t="s">
        <v>186</v>
      </c>
    </row>
    <row r="113">
      <c r="A113" s="3" t="s">
        <v>1221</v>
      </c>
      <c r="B113" s="3" t="s">
        <v>111</v>
      </c>
      <c r="C113" s="953" t="s">
        <v>1210</v>
      </c>
      <c r="D113" s="3" t="s">
        <v>105</v>
      </c>
    </row>
    <row r="114">
      <c r="A114" s="3" t="s">
        <v>1221</v>
      </c>
      <c r="B114" s="3" t="s">
        <v>117</v>
      </c>
      <c r="C114" s="953" t="s">
        <v>1210</v>
      </c>
      <c r="D114" s="3" t="s">
        <v>105</v>
      </c>
    </row>
    <row r="115">
      <c r="A115" s="3" t="s">
        <v>1221</v>
      </c>
      <c r="B115" s="3" t="s">
        <v>120</v>
      </c>
      <c r="C115" s="953" t="s">
        <v>1210</v>
      </c>
      <c r="D115" s="3" t="s">
        <v>105</v>
      </c>
    </row>
    <row r="116">
      <c r="A116" s="3" t="s">
        <v>1221</v>
      </c>
      <c r="B116" s="3" t="s">
        <v>123</v>
      </c>
      <c r="C116" s="953" t="s">
        <v>1210</v>
      </c>
      <c r="D116" s="3" t="s">
        <v>105</v>
      </c>
    </row>
    <row r="117">
      <c r="A117" s="3" t="s">
        <v>1221</v>
      </c>
      <c r="B117" s="3" t="s">
        <v>126</v>
      </c>
      <c r="C117" s="953" t="s">
        <v>1210</v>
      </c>
      <c r="D117" s="3" t="s">
        <v>105</v>
      </c>
    </row>
    <row r="118">
      <c r="A118" s="3" t="s">
        <v>1221</v>
      </c>
      <c r="B118" s="3" t="s">
        <v>131</v>
      </c>
      <c r="C118" s="953" t="s">
        <v>1210</v>
      </c>
      <c r="D118" s="3" t="s">
        <v>105</v>
      </c>
    </row>
    <row r="119">
      <c r="A119" s="3" t="s">
        <v>1221</v>
      </c>
      <c r="B119" s="3" t="s">
        <v>134</v>
      </c>
      <c r="C119" s="953" t="s">
        <v>1210</v>
      </c>
      <c r="D119" s="3" t="s">
        <v>105</v>
      </c>
    </row>
    <row r="120">
      <c r="A120" s="3" t="s">
        <v>1221</v>
      </c>
      <c r="B120" s="3" t="s">
        <v>137</v>
      </c>
      <c r="C120" s="953" t="s">
        <v>1210</v>
      </c>
      <c r="D120" s="3" t="s">
        <v>105</v>
      </c>
    </row>
    <row r="121">
      <c r="A121" s="3" t="s">
        <v>1221</v>
      </c>
      <c r="B121" s="3" t="s">
        <v>140</v>
      </c>
      <c r="C121" s="953" t="s">
        <v>1210</v>
      </c>
      <c r="D121" s="3" t="s">
        <v>105</v>
      </c>
    </row>
    <row r="122">
      <c r="A122" s="3" t="s">
        <v>1221</v>
      </c>
      <c r="B122" s="3" t="s">
        <v>159</v>
      </c>
      <c r="C122" s="953" t="s">
        <v>1210</v>
      </c>
      <c r="D122" s="3" t="s">
        <v>144</v>
      </c>
    </row>
    <row r="123">
      <c r="A123" s="3" t="s">
        <v>1221</v>
      </c>
      <c r="B123" s="3" t="s">
        <v>169</v>
      </c>
      <c r="C123" s="953" t="s">
        <v>1210</v>
      </c>
      <c r="D123" s="3" t="s">
        <v>163</v>
      </c>
    </row>
    <row r="124">
      <c r="A124" s="3" t="s">
        <v>1221</v>
      </c>
      <c r="B124" s="3" t="s">
        <v>26</v>
      </c>
      <c r="C124" s="953" t="s">
        <v>1210</v>
      </c>
      <c r="D124" s="3" t="s">
        <v>23</v>
      </c>
    </row>
    <row r="125">
      <c r="A125" s="3" t="s">
        <v>1221</v>
      </c>
      <c r="B125" s="3" t="s">
        <v>33</v>
      </c>
      <c r="C125" s="953" t="s">
        <v>1210</v>
      </c>
      <c r="D125" s="3" t="s">
        <v>30</v>
      </c>
    </row>
    <row r="126">
      <c r="A126" s="3" t="s">
        <v>1222</v>
      </c>
      <c r="B126" s="3" t="s">
        <v>94</v>
      </c>
      <c r="C126" s="953" t="s">
        <v>1210</v>
      </c>
      <c r="D126" s="3" t="s">
        <v>65</v>
      </c>
    </row>
    <row r="127">
      <c r="A127" s="3" t="s">
        <v>1222</v>
      </c>
      <c r="B127" s="3" t="s">
        <v>185</v>
      </c>
      <c r="C127" s="953" t="s">
        <v>1210</v>
      </c>
      <c r="D127" s="3" t="s">
        <v>186</v>
      </c>
    </row>
    <row r="128">
      <c r="A128" s="3" t="s">
        <v>1222</v>
      </c>
      <c r="B128" s="3" t="s">
        <v>111</v>
      </c>
      <c r="C128" s="953" t="s">
        <v>1210</v>
      </c>
      <c r="D128" s="3" t="s">
        <v>105</v>
      </c>
    </row>
    <row r="129">
      <c r="A129" s="3" t="s">
        <v>1222</v>
      </c>
      <c r="B129" s="3" t="s">
        <v>117</v>
      </c>
      <c r="C129" s="953" t="s">
        <v>1210</v>
      </c>
      <c r="D129" s="3" t="s">
        <v>105</v>
      </c>
    </row>
    <row r="130">
      <c r="A130" s="3" t="s">
        <v>1222</v>
      </c>
      <c r="B130" s="3" t="s">
        <v>120</v>
      </c>
      <c r="C130" s="953" t="s">
        <v>1210</v>
      </c>
      <c r="D130" s="3" t="s">
        <v>105</v>
      </c>
    </row>
    <row r="131">
      <c r="A131" s="3" t="s">
        <v>1222</v>
      </c>
      <c r="B131" s="3" t="s">
        <v>123</v>
      </c>
      <c r="C131" s="953" t="s">
        <v>1210</v>
      </c>
      <c r="D131" s="3" t="s">
        <v>105</v>
      </c>
    </row>
    <row r="132">
      <c r="A132" s="3" t="s">
        <v>1223</v>
      </c>
      <c r="B132" s="3" t="s">
        <v>94</v>
      </c>
      <c r="C132" s="953" t="s">
        <v>1210</v>
      </c>
      <c r="D132" s="3" t="s">
        <v>65</v>
      </c>
    </row>
    <row r="133">
      <c r="A133" s="3" t="s">
        <v>1223</v>
      </c>
      <c r="B133" s="3" t="s">
        <v>185</v>
      </c>
      <c r="C133" s="953" t="s">
        <v>1210</v>
      </c>
      <c r="D133" s="3" t="s">
        <v>186</v>
      </c>
    </row>
    <row r="134">
      <c r="A134" s="3" t="s">
        <v>1223</v>
      </c>
      <c r="B134" s="3" t="s">
        <v>111</v>
      </c>
      <c r="C134" s="953" t="s">
        <v>1210</v>
      </c>
      <c r="D134" s="3" t="s">
        <v>105</v>
      </c>
    </row>
    <row r="135">
      <c r="A135" s="3" t="s">
        <v>1223</v>
      </c>
      <c r="B135" s="3" t="s">
        <v>117</v>
      </c>
      <c r="C135" s="953" t="s">
        <v>1210</v>
      </c>
      <c r="D135" s="3" t="s">
        <v>105</v>
      </c>
    </row>
    <row r="136">
      <c r="A136" s="3" t="s">
        <v>1223</v>
      </c>
      <c r="B136" s="3" t="s">
        <v>120</v>
      </c>
      <c r="C136" s="953" t="s">
        <v>1210</v>
      </c>
      <c r="D136" s="3" t="s">
        <v>105</v>
      </c>
    </row>
    <row r="137">
      <c r="A137" s="3" t="s">
        <v>1223</v>
      </c>
      <c r="B137" s="3" t="s">
        <v>123</v>
      </c>
      <c r="C137" s="953" t="s">
        <v>1210</v>
      </c>
      <c r="D137" s="3" t="s">
        <v>105</v>
      </c>
    </row>
    <row r="138">
      <c r="A138" s="3" t="s">
        <v>1223</v>
      </c>
      <c r="B138" s="3" t="s">
        <v>126</v>
      </c>
      <c r="C138" s="953" t="s">
        <v>1210</v>
      </c>
      <c r="D138" s="3" t="s">
        <v>105</v>
      </c>
    </row>
    <row r="139">
      <c r="A139" s="3" t="s">
        <v>1223</v>
      </c>
      <c r="B139" s="3" t="s">
        <v>131</v>
      </c>
      <c r="C139" s="953" t="s">
        <v>1210</v>
      </c>
      <c r="D139" s="3" t="s">
        <v>105</v>
      </c>
    </row>
    <row r="140">
      <c r="A140" s="3" t="s">
        <v>1223</v>
      </c>
      <c r="B140" s="3" t="s">
        <v>134</v>
      </c>
      <c r="C140" s="953" t="s">
        <v>1210</v>
      </c>
      <c r="D140" s="3" t="s">
        <v>105</v>
      </c>
    </row>
    <row r="141">
      <c r="A141" s="3" t="s">
        <v>1223</v>
      </c>
      <c r="B141" s="3" t="s">
        <v>137</v>
      </c>
      <c r="C141" s="953" t="s">
        <v>1210</v>
      </c>
      <c r="D141" s="3" t="s">
        <v>105</v>
      </c>
    </row>
    <row r="142">
      <c r="A142" s="3" t="s">
        <v>1224</v>
      </c>
      <c r="B142" s="3" t="s">
        <v>94</v>
      </c>
      <c r="C142" s="953" t="s">
        <v>1210</v>
      </c>
      <c r="D142" s="3" t="s">
        <v>65</v>
      </c>
    </row>
    <row r="143">
      <c r="A143" s="3" t="s">
        <v>1224</v>
      </c>
      <c r="B143" s="3" t="s">
        <v>185</v>
      </c>
      <c r="C143" s="953" t="s">
        <v>1210</v>
      </c>
      <c r="D143" s="3" t="s">
        <v>186</v>
      </c>
    </row>
    <row r="144">
      <c r="A144" s="3" t="s">
        <v>1224</v>
      </c>
      <c r="B144" s="3" t="s">
        <v>111</v>
      </c>
      <c r="C144" s="953" t="s">
        <v>1210</v>
      </c>
      <c r="D144" s="3" t="s">
        <v>105</v>
      </c>
    </row>
    <row r="145">
      <c r="A145" s="3" t="s">
        <v>1224</v>
      </c>
      <c r="B145" s="3" t="s">
        <v>117</v>
      </c>
      <c r="C145" s="953" t="s">
        <v>1210</v>
      </c>
      <c r="D145" s="3" t="s">
        <v>105</v>
      </c>
    </row>
    <row r="146">
      <c r="A146" s="3" t="s">
        <v>1224</v>
      </c>
      <c r="B146" s="3" t="s">
        <v>120</v>
      </c>
      <c r="C146" s="953" t="s">
        <v>1210</v>
      </c>
      <c r="D146" s="3" t="s">
        <v>105</v>
      </c>
    </row>
    <row r="147">
      <c r="A147" s="3" t="s">
        <v>1224</v>
      </c>
      <c r="B147" s="3" t="s">
        <v>123</v>
      </c>
      <c r="C147" s="953" t="s">
        <v>1210</v>
      </c>
      <c r="D147" s="3" t="s">
        <v>105</v>
      </c>
    </row>
    <row r="148">
      <c r="A148" s="3" t="s">
        <v>1224</v>
      </c>
      <c r="B148" s="3" t="s">
        <v>126</v>
      </c>
      <c r="C148" s="953" t="s">
        <v>1210</v>
      </c>
      <c r="D148" s="3" t="s">
        <v>105</v>
      </c>
    </row>
    <row r="149">
      <c r="A149" s="3" t="s">
        <v>1224</v>
      </c>
      <c r="B149" s="3" t="s">
        <v>131</v>
      </c>
      <c r="C149" s="953" t="s">
        <v>1210</v>
      </c>
      <c r="D149" s="3" t="s">
        <v>105</v>
      </c>
    </row>
    <row r="150">
      <c r="A150" s="3" t="s">
        <v>1224</v>
      </c>
      <c r="B150" s="3" t="s">
        <v>134</v>
      </c>
      <c r="C150" s="953" t="s">
        <v>1210</v>
      </c>
      <c r="D150" s="3" t="s">
        <v>105</v>
      </c>
    </row>
    <row r="151">
      <c r="A151" s="3" t="s">
        <v>1224</v>
      </c>
      <c r="B151" s="3" t="s">
        <v>137</v>
      </c>
      <c r="C151" s="953" t="s">
        <v>1210</v>
      </c>
      <c r="D151" s="3" t="s">
        <v>105</v>
      </c>
    </row>
    <row r="152">
      <c r="A152" s="3" t="s">
        <v>1224</v>
      </c>
      <c r="B152" s="3" t="s">
        <v>140</v>
      </c>
      <c r="C152" s="953" t="s">
        <v>1210</v>
      </c>
      <c r="D152" s="3" t="s">
        <v>105</v>
      </c>
    </row>
    <row r="153">
      <c r="A153" s="3" t="s">
        <v>1224</v>
      </c>
      <c r="B153" s="3" t="s">
        <v>159</v>
      </c>
      <c r="C153" s="953" t="s">
        <v>1210</v>
      </c>
      <c r="D153" s="3" t="s">
        <v>144</v>
      </c>
    </row>
    <row r="154">
      <c r="A154" s="3" t="s">
        <v>1224</v>
      </c>
      <c r="B154" s="3" t="s">
        <v>169</v>
      </c>
      <c r="C154" s="953" t="s">
        <v>1210</v>
      </c>
      <c r="D154" s="3" t="s">
        <v>163</v>
      </c>
    </row>
    <row r="155">
      <c r="A155" s="3" t="s">
        <v>1224</v>
      </c>
      <c r="B155" s="3" t="s">
        <v>26</v>
      </c>
      <c r="C155" s="953" t="s">
        <v>1210</v>
      </c>
      <c r="D155" s="3" t="s">
        <v>23</v>
      </c>
    </row>
    <row r="156">
      <c r="A156" s="3" t="s">
        <v>1224</v>
      </c>
      <c r="B156" s="3" t="s">
        <v>33</v>
      </c>
      <c r="C156" s="953" t="s">
        <v>1210</v>
      </c>
      <c r="D156" s="3" t="s">
        <v>30</v>
      </c>
    </row>
    <row r="157">
      <c r="A157" s="3" t="s">
        <v>1225</v>
      </c>
      <c r="B157" s="3" t="s">
        <v>94</v>
      </c>
      <c r="C157" s="953" t="s">
        <v>1210</v>
      </c>
      <c r="D157" s="3" t="s">
        <v>65</v>
      </c>
    </row>
    <row r="158">
      <c r="A158" s="3" t="s">
        <v>1225</v>
      </c>
      <c r="B158" s="3" t="s">
        <v>185</v>
      </c>
      <c r="C158" s="953" t="s">
        <v>1210</v>
      </c>
      <c r="D158" s="3" t="s">
        <v>186</v>
      </c>
    </row>
    <row r="159">
      <c r="A159" s="3" t="s">
        <v>1225</v>
      </c>
      <c r="B159" s="3" t="s">
        <v>111</v>
      </c>
      <c r="C159" s="953" t="s">
        <v>1210</v>
      </c>
      <c r="D159" s="3" t="s">
        <v>105</v>
      </c>
    </row>
    <row r="160">
      <c r="A160" s="3" t="s">
        <v>1225</v>
      </c>
      <c r="B160" s="3" t="s">
        <v>117</v>
      </c>
      <c r="C160" s="953" t="s">
        <v>1210</v>
      </c>
      <c r="D160" s="3" t="s">
        <v>105</v>
      </c>
    </row>
    <row r="161">
      <c r="A161" s="3" t="s">
        <v>1225</v>
      </c>
      <c r="B161" s="3" t="s">
        <v>120</v>
      </c>
      <c r="C161" s="953" t="s">
        <v>1210</v>
      </c>
      <c r="D161" s="3" t="s">
        <v>105</v>
      </c>
    </row>
    <row r="162">
      <c r="A162" s="3" t="s">
        <v>1225</v>
      </c>
      <c r="B162" s="3" t="s">
        <v>123</v>
      </c>
      <c r="C162" s="953" t="s">
        <v>1210</v>
      </c>
      <c r="D162" s="3" t="s">
        <v>105</v>
      </c>
    </row>
    <row r="163">
      <c r="A163" s="3" t="s">
        <v>1226</v>
      </c>
      <c r="B163" s="3" t="s">
        <v>94</v>
      </c>
      <c r="C163" s="953" t="s">
        <v>1210</v>
      </c>
      <c r="D163" s="3" t="s">
        <v>65</v>
      </c>
    </row>
    <row r="164">
      <c r="A164" s="3" t="s">
        <v>1226</v>
      </c>
      <c r="B164" s="3" t="s">
        <v>185</v>
      </c>
      <c r="C164" s="953" t="s">
        <v>1210</v>
      </c>
      <c r="D164" s="3" t="s">
        <v>186</v>
      </c>
    </row>
    <row r="165">
      <c r="A165" s="3" t="s">
        <v>1226</v>
      </c>
      <c r="B165" s="3" t="s">
        <v>111</v>
      </c>
      <c r="C165" s="953" t="s">
        <v>1210</v>
      </c>
      <c r="D165" s="3" t="s">
        <v>105</v>
      </c>
    </row>
    <row r="166">
      <c r="A166" s="3" t="s">
        <v>1226</v>
      </c>
      <c r="B166" s="3" t="s">
        <v>117</v>
      </c>
      <c r="C166" s="953" t="s">
        <v>1210</v>
      </c>
      <c r="D166" s="3" t="s">
        <v>105</v>
      </c>
    </row>
    <row r="167">
      <c r="A167" s="3" t="s">
        <v>1226</v>
      </c>
      <c r="B167" s="3" t="s">
        <v>120</v>
      </c>
      <c r="C167" s="953" t="s">
        <v>1210</v>
      </c>
      <c r="D167" s="3" t="s">
        <v>105</v>
      </c>
    </row>
    <row r="168">
      <c r="A168" s="3" t="s">
        <v>1226</v>
      </c>
      <c r="B168" s="3" t="s">
        <v>123</v>
      </c>
      <c r="C168" s="953" t="s">
        <v>1210</v>
      </c>
      <c r="D168" s="3" t="s">
        <v>105</v>
      </c>
    </row>
    <row r="169">
      <c r="A169" s="3" t="s">
        <v>1226</v>
      </c>
      <c r="B169" s="3" t="s">
        <v>126</v>
      </c>
      <c r="C169" s="953" t="s">
        <v>1210</v>
      </c>
      <c r="D169" s="3" t="s">
        <v>105</v>
      </c>
    </row>
    <row r="170">
      <c r="A170" s="3" t="s">
        <v>1226</v>
      </c>
      <c r="B170" s="3" t="s">
        <v>131</v>
      </c>
      <c r="C170" s="953" t="s">
        <v>1210</v>
      </c>
      <c r="D170" s="3" t="s">
        <v>105</v>
      </c>
    </row>
    <row r="171">
      <c r="A171" s="3" t="s">
        <v>1226</v>
      </c>
      <c r="B171" s="3" t="s">
        <v>134</v>
      </c>
      <c r="C171" s="953" t="s">
        <v>1210</v>
      </c>
      <c r="D171" s="3" t="s">
        <v>105</v>
      </c>
    </row>
    <row r="172">
      <c r="A172" s="3" t="s">
        <v>1226</v>
      </c>
      <c r="B172" s="3" t="s">
        <v>137</v>
      </c>
      <c r="C172" s="953" t="s">
        <v>1210</v>
      </c>
      <c r="D172" s="3" t="s">
        <v>105</v>
      </c>
    </row>
    <row r="173">
      <c r="A173" s="3" t="s">
        <v>1227</v>
      </c>
      <c r="B173" s="3" t="s">
        <v>94</v>
      </c>
      <c r="C173" s="953" t="s">
        <v>1210</v>
      </c>
      <c r="D173" s="3" t="s">
        <v>65</v>
      </c>
    </row>
    <row r="174">
      <c r="A174" s="3" t="s">
        <v>1227</v>
      </c>
      <c r="B174" s="3" t="s">
        <v>185</v>
      </c>
      <c r="C174" s="953" t="s">
        <v>1210</v>
      </c>
      <c r="D174" s="3" t="s">
        <v>186</v>
      </c>
    </row>
    <row r="175">
      <c r="A175" s="3" t="s">
        <v>1227</v>
      </c>
      <c r="B175" s="3" t="s">
        <v>111</v>
      </c>
      <c r="C175" s="953" t="s">
        <v>1210</v>
      </c>
      <c r="D175" s="3" t="s">
        <v>105</v>
      </c>
    </row>
    <row r="176">
      <c r="A176" s="3" t="s">
        <v>1227</v>
      </c>
      <c r="B176" s="3" t="s">
        <v>117</v>
      </c>
      <c r="C176" s="953" t="s">
        <v>1210</v>
      </c>
      <c r="D176" s="3" t="s">
        <v>105</v>
      </c>
    </row>
    <row r="177">
      <c r="A177" s="3" t="s">
        <v>1227</v>
      </c>
      <c r="B177" s="3" t="s">
        <v>120</v>
      </c>
      <c r="C177" s="953" t="s">
        <v>1210</v>
      </c>
      <c r="D177" s="3" t="s">
        <v>105</v>
      </c>
    </row>
    <row r="178">
      <c r="A178" s="3" t="s">
        <v>1227</v>
      </c>
      <c r="B178" s="3" t="s">
        <v>123</v>
      </c>
      <c r="C178" s="953" t="s">
        <v>1210</v>
      </c>
      <c r="D178" s="3" t="s">
        <v>105</v>
      </c>
    </row>
    <row r="179">
      <c r="A179" s="3" t="s">
        <v>1227</v>
      </c>
      <c r="B179" s="3" t="s">
        <v>126</v>
      </c>
      <c r="C179" s="953" t="s">
        <v>1210</v>
      </c>
      <c r="D179" s="3" t="s">
        <v>105</v>
      </c>
    </row>
    <row r="180">
      <c r="A180" s="3" t="s">
        <v>1227</v>
      </c>
      <c r="B180" s="3" t="s">
        <v>131</v>
      </c>
      <c r="C180" s="953" t="s">
        <v>1210</v>
      </c>
      <c r="D180" s="3" t="s">
        <v>105</v>
      </c>
    </row>
    <row r="181">
      <c r="A181" s="3" t="s">
        <v>1227</v>
      </c>
      <c r="B181" s="3" t="s">
        <v>134</v>
      </c>
      <c r="C181" s="953" t="s">
        <v>1210</v>
      </c>
      <c r="D181" s="3" t="s">
        <v>105</v>
      </c>
    </row>
    <row r="182">
      <c r="A182" s="3" t="s">
        <v>1227</v>
      </c>
      <c r="B182" s="3" t="s">
        <v>137</v>
      </c>
      <c r="C182" s="953" t="s">
        <v>1210</v>
      </c>
      <c r="D182" s="3" t="s">
        <v>105</v>
      </c>
    </row>
    <row r="183">
      <c r="A183" s="3" t="s">
        <v>1227</v>
      </c>
      <c r="B183" s="3" t="s">
        <v>140</v>
      </c>
      <c r="C183" s="953" t="s">
        <v>1210</v>
      </c>
      <c r="D183" s="3" t="s">
        <v>105</v>
      </c>
    </row>
    <row r="184">
      <c r="A184" s="3" t="s">
        <v>1227</v>
      </c>
      <c r="B184" s="3" t="s">
        <v>159</v>
      </c>
      <c r="C184" s="953" t="s">
        <v>1210</v>
      </c>
      <c r="D184" s="3" t="s">
        <v>144</v>
      </c>
    </row>
    <row r="185">
      <c r="A185" s="3" t="s">
        <v>1227</v>
      </c>
      <c r="B185" s="3" t="s">
        <v>169</v>
      </c>
      <c r="C185" s="953" t="s">
        <v>1210</v>
      </c>
      <c r="D185" s="3" t="s">
        <v>163</v>
      </c>
    </row>
    <row r="186">
      <c r="A186" s="3" t="s">
        <v>1227</v>
      </c>
      <c r="B186" s="3" t="s">
        <v>26</v>
      </c>
      <c r="C186" s="953" t="s">
        <v>1210</v>
      </c>
      <c r="D186" s="3" t="s">
        <v>23</v>
      </c>
    </row>
    <row r="187">
      <c r="A187" s="3" t="s">
        <v>1227</v>
      </c>
      <c r="B187" s="3" t="s">
        <v>33</v>
      </c>
      <c r="C187" s="953" t="s">
        <v>1210</v>
      </c>
      <c r="D187" s="3" t="s">
        <v>30</v>
      </c>
    </row>
    <row r="188">
      <c r="A188" s="3" t="s">
        <v>1228</v>
      </c>
      <c r="B188" s="3" t="s">
        <v>94</v>
      </c>
      <c r="C188" s="953" t="s">
        <v>1210</v>
      </c>
      <c r="D188" s="3" t="s">
        <v>65</v>
      </c>
    </row>
    <row r="189">
      <c r="A189" s="3" t="s">
        <v>1228</v>
      </c>
      <c r="B189" s="3" t="s">
        <v>185</v>
      </c>
      <c r="C189" s="953" t="s">
        <v>1210</v>
      </c>
      <c r="D189" s="3" t="s">
        <v>186</v>
      </c>
    </row>
    <row r="190">
      <c r="A190" s="3" t="s">
        <v>1228</v>
      </c>
      <c r="B190" s="3" t="s">
        <v>111</v>
      </c>
      <c r="C190" s="953" t="s">
        <v>1210</v>
      </c>
      <c r="D190" s="3" t="s">
        <v>105</v>
      </c>
    </row>
    <row r="191">
      <c r="A191" s="3" t="s">
        <v>1228</v>
      </c>
      <c r="B191" s="3" t="s">
        <v>117</v>
      </c>
      <c r="C191" s="953" t="s">
        <v>1210</v>
      </c>
      <c r="D191" s="3" t="s">
        <v>105</v>
      </c>
    </row>
    <row r="192">
      <c r="A192" s="3" t="s">
        <v>1228</v>
      </c>
      <c r="B192" s="3" t="s">
        <v>120</v>
      </c>
      <c r="C192" s="953" t="s">
        <v>1210</v>
      </c>
      <c r="D192" s="3" t="s">
        <v>105</v>
      </c>
    </row>
    <row r="193">
      <c r="A193" s="3" t="s">
        <v>1228</v>
      </c>
      <c r="B193" s="3" t="s">
        <v>123</v>
      </c>
      <c r="C193" s="953" t="s">
        <v>1210</v>
      </c>
      <c r="D193" s="3" t="s">
        <v>105</v>
      </c>
    </row>
    <row r="194">
      <c r="A194" s="3" t="s">
        <v>1229</v>
      </c>
      <c r="B194" s="3" t="s">
        <v>94</v>
      </c>
      <c r="C194" s="953" t="s">
        <v>1210</v>
      </c>
      <c r="D194" s="3" t="s">
        <v>65</v>
      </c>
    </row>
    <row r="195">
      <c r="A195" s="3" t="s">
        <v>1229</v>
      </c>
      <c r="B195" s="3" t="s">
        <v>185</v>
      </c>
      <c r="C195" s="953" t="s">
        <v>1210</v>
      </c>
      <c r="D195" s="3" t="s">
        <v>186</v>
      </c>
    </row>
    <row r="196">
      <c r="A196" s="3" t="s">
        <v>1229</v>
      </c>
      <c r="B196" s="3" t="s">
        <v>111</v>
      </c>
      <c r="C196" s="953" t="s">
        <v>1210</v>
      </c>
      <c r="D196" s="3" t="s">
        <v>105</v>
      </c>
    </row>
    <row r="197">
      <c r="A197" s="3" t="s">
        <v>1229</v>
      </c>
      <c r="B197" s="3" t="s">
        <v>117</v>
      </c>
      <c r="C197" s="953" t="s">
        <v>1210</v>
      </c>
      <c r="D197" s="3" t="s">
        <v>105</v>
      </c>
    </row>
    <row r="198">
      <c r="A198" s="3" t="s">
        <v>1229</v>
      </c>
      <c r="B198" s="3" t="s">
        <v>120</v>
      </c>
      <c r="C198" s="953" t="s">
        <v>1210</v>
      </c>
      <c r="D198" s="3" t="s">
        <v>105</v>
      </c>
    </row>
    <row r="199">
      <c r="A199" s="3" t="s">
        <v>1229</v>
      </c>
      <c r="B199" s="3" t="s">
        <v>123</v>
      </c>
      <c r="C199" s="953" t="s">
        <v>1210</v>
      </c>
      <c r="D199" s="3" t="s">
        <v>105</v>
      </c>
    </row>
    <row r="200">
      <c r="A200" s="3" t="s">
        <v>1229</v>
      </c>
      <c r="B200" s="3" t="s">
        <v>126</v>
      </c>
      <c r="C200" s="953" t="s">
        <v>1210</v>
      </c>
      <c r="D200" s="3" t="s">
        <v>105</v>
      </c>
    </row>
    <row r="201">
      <c r="A201" s="3" t="s">
        <v>1229</v>
      </c>
      <c r="B201" s="3" t="s">
        <v>131</v>
      </c>
      <c r="C201" s="953" t="s">
        <v>1210</v>
      </c>
      <c r="D201" s="3" t="s">
        <v>105</v>
      </c>
    </row>
    <row r="202">
      <c r="A202" s="3" t="s">
        <v>1229</v>
      </c>
      <c r="B202" s="3" t="s">
        <v>134</v>
      </c>
      <c r="C202" s="953" t="s">
        <v>1210</v>
      </c>
      <c r="D202" s="3" t="s">
        <v>105</v>
      </c>
    </row>
    <row r="203">
      <c r="A203" s="3" t="s">
        <v>1229</v>
      </c>
      <c r="B203" s="3" t="s">
        <v>137</v>
      </c>
      <c r="C203" s="953" t="s">
        <v>1210</v>
      </c>
      <c r="D203" s="3" t="s">
        <v>105</v>
      </c>
    </row>
    <row r="204">
      <c r="A204" s="3" t="s">
        <v>1230</v>
      </c>
      <c r="B204" s="3" t="s">
        <v>94</v>
      </c>
      <c r="C204" s="953" t="s">
        <v>1210</v>
      </c>
      <c r="D204" s="3" t="s">
        <v>65</v>
      </c>
    </row>
    <row r="205">
      <c r="A205" s="3" t="s">
        <v>1230</v>
      </c>
      <c r="B205" s="3" t="s">
        <v>185</v>
      </c>
      <c r="C205" s="953" t="s">
        <v>1210</v>
      </c>
      <c r="D205" s="3" t="s">
        <v>186</v>
      </c>
    </row>
    <row r="206">
      <c r="A206" s="3" t="s">
        <v>1230</v>
      </c>
      <c r="B206" s="3" t="s">
        <v>111</v>
      </c>
      <c r="C206" s="953" t="s">
        <v>1210</v>
      </c>
      <c r="D206" s="3" t="s">
        <v>105</v>
      </c>
    </row>
    <row r="207">
      <c r="A207" s="3" t="s">
        <v>1230</v>
      </c>
      <c r="B207" s="3" t="s">
        <v>117</v>
      </c>
      <c r="C207" s="953" t="s">
        <v>1210</v>
      </c>
      <c r="D207" s="3" t="s">
        <v>105</v>
      </c>
    </row>
    <row r="208">
      <c r="A208" s="3" t="s">
        <v>1230</v>
      </c>
      <c r="B208" s="3" t="s">
        <v>120</v>
      </c>
      <c r="C208" s="953" t="s">
        <v>1210</v>
      </c>
      <c r="D208" s="3" t="s">
        <v>105</v>
      </c>
    </row>
    <row r="209">
      <c r="A209" s="3" t="s">
        <v>1230</v>
      </c>
      <c r="B209" s="3" t="s">
        <v>123</v>
      </c>
      <c r="C209" s="953" t="s">
        <v>1210</v>
      </c>
      <c r="D209" s="3" t="s">
        <v>105</v>
      </c>
    </row>
    <row r="210">
      <c r="A210" s="3" t="s">
        <v>1230</v>
      </c>
      <c r="B210" s="3" t="s">
        <v>126</v>
      </c>
      <c r="C210" s="953" t="s">
        <v>1210</v>
      </c>
      <c r="D210" s="3" t="s">
        <v>105</v>
      </c>
    </row>
    <row r="211">
      <c r="A211" s="3" t="s">
        <v>1230</v>
      </c>
      <c r="B211" s="3" t="s">
        <v>131</v>
      </c>
      <c r="C211" s="953" t="s">
        <v>1210</v>
      </c>
      <c r="D211" s="3" t="s">
        <v>105</v>
      </c>
    </row>
    <row r="212">
      <c r="A212" s="3" t="s">
        <v>1230</v>
      </c>
      <c r="B212" s="3" t="s">
        <v>134</v>
      </c>
      <c r="C212" s="953" t="s">
        <v>1210</v>
      </c>
      <c r="D212" s="3" t="s">
        <v>105</v>
      </c>
    </row>
    <row r="213">
      <c r="A213" s="3" t="s">
        <v>1230</v>
      </c>
      <c r="B213" s="3" t="s">
        <v>137</v>
      </c>
      <c r="C213" s="953" t="s">
        <v>1210</v>
      </c>
      <c r="D213" s="3" t="s">
        <v>105</v>
      </c>
    </row>
    <row r="214">
      <c r="A214" s="3" t="s">
        <v>1230</v>
      </c>
      <c r="B214" s="3" t="s">
        <v>140</v>
      </c>
      <c r="C214" s="953" t="s">
        <v>1210</v>
      </c>
      <c r="D214" s="3" t="s">
        <v>105</v>
      </c>
    </row>
    <row r="215">
      <c r="A215" s="3" t="s">
        <v>1230</v>
      </c>
      <c r="B215" s="3" t="s">
        <v>159</v>
      </c>
      <c r="C215" s="953" t="s">
        <v>1210</v>
      </c>
      <c r="D215" s="3" t="s">
        <v>144</v>
      </c>
    </row>
    <row r="216">
      <c r="A216" s="3" t="s">
        <v>1230</v>
      </c>
      <c r="B216" s="3" t="s">
        <v>169</v>
      </c>
      <c r="C216" s="953" t="s">
        <v>1210</v>
      </c>
      <c r="D216" s="3" t="s">
        <v>163</v>
      </c>
    </row>
    <row r="217">
      <c r="A217" s="3" t="s">
        <v>1230</v>
      </c>
      <c r="B217" s="3" t="s">
        <v>26</v>
      </c>
      <c r="C217" s="953" t="s">
        <v>1210</v>
      </c>
      <c r="D217" s="3" t="s">
        <v>23</v>
      </c>
    </row>
    <row r="218">
      <c r="A218" s="3" t="s">
        <v>1230</v>
      </c>
      <c r="B218" s="3" t="s">
        <v>33</v>
      </c>
      <c r="C218" s="953" t="s">
        <v>1210</v>
      </c>
      <c r="D218" s="3" t="s">
        <v>30</v>
      </c>
    </row>
    <row r="219">
      <c r="A219" s="3" t="s">
        <v>1231</v>
      </c>
      <c r="B219" s="3" t="s">
        <v>94</v>
      </c>
      <c r="C219" s="953" t="s">
        <v>1210</v>
      </c>
      <c r="D219" s="3" t="s">
        <v>65</v>
      </c>
    </row>
    <row r="220">
      <c r="A220" s="3" t="s">
        <v>1231</v>
      </c>
      <c r="B220" s="3" t="s">
        <v>185</v>
      </c>
      <c r="C220" s="953" t="s">
        <v>1210</v>
      </c>
      <c r="D220" s="3" t="s">
        <v>186</v>
      </c>
    </row>
    <row r="221">
      <c r="A221" s="3" t="s">
        <v>1231</v>
      </c>
      <c r="B221" s="3" t="s">
        <v>111</v>
      </c>
      <c r="C221" s="953" t="s">
        <v>1210</v>
      </c>
      <c r="D221" s="3" t="s">
        <v>105</v>
      </c>
    </row>
    <row r="222">
      <c r="A222" s="3" t="s">
        <v>1231</v>
      </c>
      <c r="B222" s="3" t="s">
        <v>117</v>
      </c>
      <c r="C222" s="953" t="s">
        <v>1210</v>
      </c>
      <c r="D222" s="3" t="s">
        <v>105</v>
      </c>
    </row>
    <row r="223">
      <c r="A223" s="3" t="s">
        <v>1231</v>
      </c>
      <c r="B223" s="3" t="s">
        <v>120</v>
      </c>
      <c r="C223" s="953" t="s">
        <v>1210</v>
      </c>
      <c r="D223" s="3" t="s">
        <v>105</v>
      </c>
    </row>
    <row r="224">
      <c r="A224" s="3" t="s">
        <v>1231</v>
      </c>
      <c r="B224" s="3" t="s">
        <v>123</v>
      </c>
      <c r="C224" s="953" t="s">
        <v>1210</v>
      </c>
      <c r="D224" s="3" t="s">
        <v>105</v>
      </c>
    </row>
    <row r="225">
      <c r="A225" s="3" t="s">
        <v>1232</v>
      </c>
      <c r="B225" s="3" t="s">
        <v>94</v>
      </c>
      <c r="C225" s="953" t="s">
        <v>1210</v>
      </c>
      <c r="D225" s="3" t="s">
        <v>65</v>
      </c>
    </row>
    <row r="226">
      <c r="A226" s="3" t="s">
        <v>1232</v>
      </c>
      <c r="B226" s="3" t="s">
        <v>185</v>
      </c>
      <c r="C226" s="953" t="s">
        <v>1210</v>
      </c>
      <c r="D226" s="3" t="s">
        <v>186</v>
      </c>
    </row>
    <row r="227">
      <c r="A227" s="3" t="s">
        <v>1232</v>
      </c>
      <c r="B227" s="3" t="s">
        <v>111</v>
      </c>
      <c r="C227" s="953" t="s">
        <v>1210</v>
      </c>
      <c r="D227" s="3" t="s">
        <v>105</v>
      </c>
    </row>
    <row r="228">
      <c r="A228" s="3" t="s">
        <v>1232</v>
      </c>
      <c r="B228" s="3" t="s">
        <v>117</v>
      </c>
      <c r="C228" s="953" t="s">
        <v>1210</v>
      </c>
      <c r="D228" s="3" t="s">
        <v>105</v>
      </c>
    </row>
    <row r="229">
      <c r="A229" s="3" t="s">
        <v>1232</v>
      </c>
      <c r="B229" s="3" t="s">
        <v>120</v>
      </c>
      <c r="C229" s="953" t="s">
        <v>1210</v>
      </c>
      <c r="D229" s="3" t="s">
        <v>105</v>
      </c>
    </row>
    <row r="230">
      <c r="A230" s="3" t="s">
        <v>1232</v>
      </c>
      <c r="B230" s="3" t="s">
        <v>123</v>
      </c>
      <c r="C230" s="953" t="s">
        <v>1210</v>
      </c>
      <c r="D230" s="3" t="s">
        <v>105</v>
      </c>
    </row>
    <row r="231">
      <c r="A231" s="3" t="s">
        <v>1232</v>
      </c>
      <c r="B231" s="3" t="s">
        <v>126</v>
      </c>
      <c r="C231" s="953" t="s">
        <v>1210</v>
      </c>
      <c r="D231" s="3" t="s">
        <v>105</v>
      </c>
    </row>
    <row r="232">
      <c r="A232" s="3" t="s">
        <v>1232</v>
      </c>
      <c r="B232" s="3" t="s">
        <v>131</v>
      </c>
      <c r="C232" s="953" t="s">
        <v>1210</v>
      </c>
      <c r="D232" s="3" t="s">
        <v>105</v>
      </c>
    </row>
    <row r="233">
      <c r="A233" s="3" t="s">
        <v>1232</v>
      </c>
      <c r="B233" s="3" t="s">
        <v>134</v>
      </c>
      <c r="C233" s="953" t="s">
        <v>1210</v>
      </c>
      <c r="D233" s="3" t="s">
        <v>105</v>
      </c>
    </row>
    <row r="234">
      <c r="A234" s="3" t="s">
        <v>1232</v>
      </c>
      <c r="B234" s="3" t="s">
        <v>137</v>
      </c>
      <c r="C234" s="953" t="s">
        <v>1210</v>
      </c>
      <c r="D234" s="3" t="s">
        <v>105</v>
      </c>
    </row>
    <row r="235">
      <c r="A235" s="3" t="s">
        <v>1233</v>
      </c>
      <c r="B235" s="3" t="s">
        <v>94</v>
      </c>
      <c r="C235" s="953" t="s">
        <v>1210</v>
      </c>
      <c r="D235" s="3" t="s">
        <v>65</v>
      </c>
    </row>
    <row r="236">
      <c r="A236" s="3" t="s">
        <v>1233</v>
      </c>
      <c r="B236" s="3" t="s">
        <v>185</v>
      </c>
      <c r="C236" s="953" t="s">
        <v>1210</v>
      </c>
      <c r="D236" s="3" t="s">
        <v>186</v>
      </c>
    </row>
    <row r="237">
      <c r="A237" s="3" t="s">
        <v>1233</v>
      </c>
      <c r="B237" s="3" t="s">
        <v>111</v>
      </c>
      <c r="C237" s="953" t="s">
        <v>1210</v>
      </c>
      <c r="D237" s="3" t="s">
        <v>105</v>
      </c>
    </row>
    <row r="238">
      <c r="A238" s="3" t="s">
        <v>1233</v>
      </c>
      <c r="B238" s="3" t="s">
        <v>117</v>
      </c>
      <c r="C238" s="953" t="s">
        <v>1210</v>
      </c>
      <c r="D238" s="3" t="s">
        <v>105</v>
      </c>
    </row>
    <row r="239">
      <c r="A239" s="3" t="s">
        <v>1233</v>
      </c>
      <c r="B239" s="3" t="s">
        <v>120</v>
      </c>
      <c r="C239" s="953" t="s">
        <v>1210</v>
      </c>
      <c r="D239" s="3" t="s">
        <v>105</v>
      </c>
    </row>
    <row r="240">
      <c r="A240" s="3" t="s">
        <v>1233</v>
      </c>
      <c r="B240" s="3" t="s">
        <v>123</v>
      </c>
      <c r="C240" s="953" t="s">
        <v>1210</v>
      </c>
      <c r="D240" s="3" t="s">
        <v>105</v>
      </c>
    </row>
    <row r="241">
      <c r="A241" s="3" t="s">
        <v>1233</v>
      </c>
      <c r="B241" s="3" t="s">
        <v>126</v>
      </c>
      <c r="C241" s="953" t="s">
        <v>1210</v>
      </c>
      <c r="D241" s="3" t="s">
        <v>105</v>
      </c>
    </row>
    <row r="242">
      <c r="A242" s="3" t="s">
        <v>1233</v>
      </c>
      <c r="B242" s="3" t="s">
        <v>131</v>
      </c>
      <c r="C242" s="953" t="s">
        <v>1210</v>
      </c>
      <c r="D242" s="3" t="s">
        <v>105</v>
      </c>
    </row>
    <row r="243">
      <c r="A243" s="3" t="s">
        <v>1233</v>
      </c>
      <c r="B243" s="3" t="s">
        <v>134</v>
      </c>
      <c r="C243" s="953" t="s">
        <v>1210</v>
      </c>
      <c r="D243" s="3" t="s">
        <v>105</v>
      </c>
    </row>
    <row r="244">
      <c r="A244" s="3" t="s">
        <v>1233</v>
      </c>
      <c r="B244" s="3" t="s">
        <v>137</v>
      </c>
      <c r="C244" s="953" t="s">
        <v>1210</v>
      </c>
      <c r="D244" s="3" t="s">
        <v>105</v>
      </c>
    </row>
    <row r="245">
      <c r="A245" s="3" t="s">
        <v>1233</v>
      </c>
      <c r="B245" s="3" t="s">
        <v>140</v>
      </c>
      <c r="C245" s="953" t="s">
        <v>1210</v>
      </c>
      <c r="D245" s="3" t="s">
        <v>105</v>
      </c>
    </row>
    <row r="246">
      <c r="A246" s="3" t="s">
        <v>1233</v>
      </c>
      <c r="B246" s="3" t="s">
        <v>159</v>
      </c>
      <c r="C246" s="953" t="s">
        <v>1210</v>
      </c>
      <c r="D246" s="3" t="s">
        <v>144</v>
      </c>
    </row>
    <row r="247">
      <c r="A247" s="3" t="s">
        <v>1233</v>
      </c>
      <c r="B247" s="3" t="s">
        <v>169</v>
      </c>
      <c r="C247" s="953" t="s">
        <v>1210</v>
      </c>
      <c r="D247" s="3" t="s">
        <v>163</v>
      </c>
    </row>
    <row r="248">
      <c r="A248" s="3" t="s">
        <v>1233</v>
      </c>
      <c r="B248" s="3" t="s">
        <v>26</v>
      </c>
      <c r="C248" s="953" t="s">
        <v>1210</v>
      </c>
      <c r="D248" s="3" t="s">
        <v>23</v>
      </c>
    </row>
    <row r="249">
      <c r="A249" s="3" t="s">
        <v>1233</v>
      </c>
      <c r="B249" s="3" t="s">
        <v>33</v>
      </c>
      <c r="C249" s="953" t="s">
        <v>1210</v>
      </c>
      <c r="D249" s="3" t="s">
        <v>30</v>
      </c>
    </row>
    <row r="250">
      <c r="A250" s="3" t="s">
        <v>1234</v>
      </c>
      <c r="B250" s="3" t="s">
        <v>94</v>
      </c>
      <c r="C250" s="953" t="s">
        <v>1210</v>
      </c>
      <c r="D250" s="3" t="s">
        <v>65</v>
      </c>
    </row>
    <row r="251">
      <c r="A251" s="3" t="s">
        <v>1234</v>
      </c>
      <c r="B251" s="3" t="s">
        <v>185</v>
      </c>
      <c r="C251" s="953" t="s">
        <v>1210</v>
      </c>
      <c r="D251" s="3" t="s">
        <v>186</v>
      </c>
    </row>
    <row r="252">
      <c r="A252" s="3" t="s">
        <v>1234</v>
      </c>
      <c r="B252" s="3" t="s">
        <v>111</v>
      </c>
      <c r="C252" s="953" t="s">
        <v>1210</v>
      </c>
      <c r="D252" s="3" t="s">
        <v>105</v>
      </c>
    </row>
    <row r="253">
      <c r="A253" s="3" t="s">
        <v>1234</v>
      </c>
      <c r="B253" s="3" t="s">
        <v>117</v>
      </c>
      <c r="C253" s="953" t="s">
        <v>1210</v>
      </c>
      <c r="D253" s="3" t="s">
        <v>105</v>
      </c>
    </row>
    <row r="254">
      <c r="A254" s="3" t="s">
        <v>1234</v>
      </c>
      <c r="B254" s="3" t="s">
        <v>120</v>
      </c>
      <c r="C254" s="953" t="s">
        <v>1210</v>
      </c>
      <c r="D254" s="3" t="s">
        <v>105</v>
      </c>
    </row>
    <row r="255">
      <c r="A255" s="3" t="s">
        <v>1234</v>
      </c>
      <c r="B255" s="3" t="s">
        <v>123</v>
      </c>
      <c r="C255" s="953" t="s">
        <v>1210</v>
      </c>
      <c r="D255" s="3" t="s">
        <v>105</v>
      </c>
    </row>
    <row r="256">
      <c r="A256" s="3" t="s">
        <v>1235</v>
      </c>
      <c r="B256" s="3" t="s">
        <v>94</v>
      </c>
      <c r="C256" s="953" t="s">
        <v>1210</v>
      </c>
      <c r="D256" s="3" t="s">
        <v>65</v>
      </c>
    </row>
    <row r="257">
      <c r="A257" s="3" t="s">
        <v>1235</v>
      </c>
      <c r="B257" s="3" t="s">
        <v>185</v>
      </c>
      <c r="C257" s="953" t="s">
        <v>1210</v>
      </c>
      <c r="D257" s="3" t="s">
        <v>186</v>
      </c>
    </row>
    <row r="258">
      <c r="A258" s="3" t="s">
        <v>1235</v>
      </c>
      <c r="B258" s="3" t="s">
        <v>111</v>
      </c>
      <c r="C258" s="953" t="s">
        <v>1210</v>
      </c>
      <c r="D258" s="3" t="s">
        <v>105</v>
      </c>
    </row>
    <row r="259">
      <c r="A259" s="3" t="s">
        <v>1235</v>
      </c>
      <c r="B259" s="3" t="s">
        <v>117</v>
      </c>
      <c r="C259" s="953" t="s">
        <v>1210</v>
      </c>
      <c r="D259" s="3" t="s">
        <v>105</v>
      </c>
    </row>
    <row r="260">
      <c r="A260" s="3" t="s">
        <v>1235</v>
      </c>
      <c r="B260" s="3" t="s">
        <v>120</v>
      </c>
      <c r="C260" s="953" t="s">
        <v>1210</v>
      </c>
      <c r="D260" s="3" t="s">
        <v>105</v>
      </c>
    </row>
    <row r="261">
      <c r="A261" s="3" t="s">
        <v>1235</v>
      </c>
      <c r="B261" s="3" t="s">
        <v>123</v>
      </c>
      <c r="C261" s="953" t="s">
        <v>1210</v>
      </c>
      <c r="D261" s="3" t="s">
        <v>105</v>
      </c>
    </row>
    <row r="262">
      <c r="A262" s="3" t="s">
        <v>1235</v>
      </c>
      <c r="B262" s="3" t="s">
        <v>126</v>
      </c>
      <c r="C262" s="953" t="s">
        <v>1210</v>
      </c>
      <c r="D262" s="3" t="s">
        <v>105</v>
      </c>
    </row>
    <row r="263">
      <c r="A263" s="3" t="s">
        <v>1235</v>
      </c>
      <c r="B263" s="3" t="s">
        <v>131</v>
      </c>
      <c r="C263" s="953" t="s">
        <v>1210</v>
      </c>
      <c r="D263" s="3" t="s">
        <v>105</v>
      </c>
    </row>
    <row r="264">
      <c r="A264" s="3" t="s">
        <v>1235</v>
      </c>
      <c r="B264" s="3" t="s">
        <v>134</v>
      </c>
      <c r="C264" s="953" t="s">
        <v>1210</v>
      </c>
      <c r="D264" s="3" t="s">
        <v>105</v>
      </c>
    </row>
    <row r="265">
      <c r="A265" s="3" t="s">
        <v>1235</v>
      </c>
      <c r="B265" s="3" t="s">
        <v>137</v>
      </c>
      <c r="C265" s="953" t="s">
        <v>1210</v>
      </c>
      <c r="D265" s="3" t="s">
        <v>105</v>
      </c>
    </row>
    <row r="266">
      <c r="A266" s="3" t="s">
        <v>1236</v>
      </c>
      <c r="B266" s="3" t="s">
        <v>94</v>
      </c>
      <c r="C266" s="953" t="s">
        <v>1210</v>
      </c>
      <c r="D266" s="3" t="s">
        <v>65</v>
      </c>
    </row>
    <row r="267">
      <c r="A267" s="3" t="s">
        <v>1236</v>
      </c>
      <c r="B267" s="3" t="s">
        <v>185</v>
      </c>
      <c r="C267" s="953" t="s">
        <v>1210</v>
      </c>
      <c r="D267" s="3" t="s">
        <v>186</v>
      </c>
    </row>
    <row r="268">
      <c r="A268" s="3" t="s">
        <v>1236</v>
      </c>
      <c r="B268" s="3" t="s">
        <v>111</v>
      </c>
      <c r="C268" s="953" t="s">
        <v>1210</v>
      </c>
      <c r="D268" s="3" t="s">
        <v>105</v>
      </c>
    </row>
    <row r="269">
      <c r="A269" s="3" t="s">
        <v>1236</v>
      </c>
      <c r="B269" s="3" t="s">
        <v>117</v>
      </c>
      <c r="C269" s="953" t="s">
        <v>1210</v>
      </c>
      <c r="D269" s="3" t="s">
        <v>105</v>
      </c>
    </row>
    <row r="270">
      <c r="A270" s="3" t="s">
        <v>1236</v>
      </c>
      <c r="B270" s="3" t="s">
        <v>120</v>
      </c>
      <c r="C270" s="953" t="s">
        <v>1210</v>
      </c>
      <c r="D270" s="3" t="s">
        <v>105</v>
      </c>
    </row>
    <row r="271">
      <c r="A271" s="3" t="s">
        <v>1236</v>
      </c>
      <c r="B271" s="3" t="s">
        <v>123</v>
      </c>
      <c r="C271" s="953" t="s">
        <v>1210</v>
      </c>
      <c r="D271" s="3" t="s">
        <v>105</v>
      </c>
    </row>
    <row r="272">
      <c r="A272" s="3" t="s">
        <v>1236</v>
      </c>
      <c r="B272" s="3" t="s">
        <v>126</v>
      </c>
      <c r="C272" s="953" t="s">
        <v>1210</v>
      </c>
      <c r="D272" s="3" t="s">
        <v>105</v>
      </c>
    </row>
    <row r="273">
      <c r="A273" s="3" t="s">
        <v>1236</v>
      </c>
      <c r="B273" s="3" t="s">
        <v>131</v>
      </c>
      <c r="C273" s="953" t="s">
        <v>1210</v>
      </c>
      <c r="D273" s="3" t="s">
        <v>105</v>
      </c>
    </row>
    <row r="274">
      <c r="A274" s="3" t="s">
        <v>1236</v>
      </c>
      <c r="B274" s="3" t="s">
        <v>134</v>
      </c>
      <c r="C274" s="953" t="s">
        <v>1210</v>
      </c>
      <c r="D274" s="3" t="s">
        <v>105</v>
      </c>
    </row>
    <row r="275">
      <c r="A275" s="3" t="s">
        <v>1236</v>
      </c>
      <c r="B275" s="3" t="s">
        <v>137</v>
      </c>
      <c r="C275" s="953" t="s">
        <v>1210</v>
      </c>
      <c r="D275" s="3" t="s">
        <v>105</v>
      </c>
    </row>
    <row r="276">
      <c r="A276" s="3" t="s">
        <v>1236</v>
      </c>
      <c r="B276" s="3" t="s">
        <v>140</v>
      </c>
      <c r="C276" s="953" t="s">
        <v>1210</v>
      </c>
      <c r="D276" s="3" t="s">
        <v>105</v>
      </c>
    </row>
    <row r="277">
      <c r="A277" s="3" t="s">
        <v>1236</v>
      </c>
      <c r="B277" s="3" t="s">
        <v>159</v>
      </c>
      <c r="C277" s="953" t="s">
        <v>1210</v>
      </c>
      <c r="D277" s="3" t="s">
        <v>144</v>
      </c>
    </row>
    <row r="278">
      <c r="A278" s="3" t="s">
        <v>1236</v>
      </c>
      <c r="B278" s="3" t="s">
        <v>169</v>
      </c>
      <c r="C278" s="953" t="s">
        <v>1210</v>
      </c>
      <c r="D278" s="3" t="s">
        <v>163</v>
      </c>
    </row>
    <row r="279">
      <c r="A279" s="3" t="s">
        <v>1236</v>
      </c>
      <c r="B279" s="3" t="s">
        <v>26</v>
      </c>
      <c r="C279" s="953" t="s">
        <v>1210</v>
      </c>
      <c r="D279" s="3" t="s">
        <v>23</v>
      </c>
    </row>
    <row r="280">
      <c r="A280" s="3" t="s">
        <v>1236</v>
      </c>
      <c r="B280" s="3" t="s">
        <v>33</v>
      </c>
      <c r="C280" s="953" t="s">
        <v>1210</v>
      </c>
      <c r="D280" s="3" t="s">
        <v>30</v>
      </c>
    </row>
  </sheetData>
  <conditionalFormatting sqref="A2:D280">
    <cfRule type="expression" dxfId="11" priority="1">
      <formula>ISNUMBER(SEARCH("(6)", $A2))</formula>
    </cfRule>
  </conditionalFormatting>
  <conditionalFormatting sqref="A2:D280">
    <cfRule type="expression" dxfId="12" priority="2">
      <formula>ISNUMBER(SEARCH("(10)", $A2))</formula>
    </cfRule>
  </conditionalFormatting>
  <conditionalFormatting sqref="A2:D280">
    <cfRule type="expression" dxfId="13" priority="3">
      <formula>ISNUMBER(SEARCH("(15)", $A2))</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3.38"/>
    <col customWidth="1" min="3" max="3" width="1.88"/>
    <col customWidth="1" min="5" max="5" width="82.13"/>
    <col customWidth="1" min="6" max="6" width="53.63"/>
    <col customWidth="1" min="7" max="7" width="4.75"/>
    <col customWidth="1" min="8" max="8" width="1.88"/>
  </cols>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6.25"/>
    <col customWidth="1" min="5" max="5" width="82.13"/>
    <col customWidth="1" min="6" max="6" width="56.38"/>
  </cols>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5" max="5" width="82.13"/>
    <col customWidth="1" min="6" max="6" width="76.0"/>
  </cols>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0"/>
    <col customWidth="1" min="5" max="5" width="45.13"/>
    <col customWidth="1" min="6" max="6" width="50.13"/>
  </cols>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5" max="5" width="82.13"/>
    <col customWidth="1" min="6" max="6" width="53.63"/>
  </cols>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5" max="5" width="61.0"/>
    <col customWidth="1" min="6" max="6" width="56.38"/>
  </cols>
  <sheetData/>
  <drawing r:id="rId1"/>
</worksheet>
</file>